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ebersicht" sheetId="1" state="visible" r:id="rId1"/>
    <sheet name="Projekte" sheetId="2" state="visible" r:id="rId2"/>
    <sheet name="Kostenarten" sheetId="3" state="visible" r:id="rId3"/>
    <sheet name="Buch_Periode" sheetId="4" state="visible" r:id="rId4"/>
    <sheet name="Buch_Projekt" sheetId="5" state="visible" r:id="rId5"/>
    <sheet name="Buch_Kostenart" sheetId="6" state="visible" r:id="rId6"/>
    <sheet name="Buch_AuftragPeriode" sheetId="7" state="visible" r:id="rId7"/>
    <sheet name="Import Monatsdaten_Import Monat" sheetId="8" state="visible" r:id="rId8"/>
    <sheet name="GuV_GuV" sheetId="9" state="visible" r:id="rId9"/>
    <sheet name="FC Eingabe_FC Eingabe" sheetId="10" state="visible" r:id="rId10"/>
    <sheet name="Cockpit_GuV" sheetId="11" state="visible" r:id="rId11"/>
    <sheet name="Cockpit_FC Eingabe" sheetId="12" state="visible" r:id="rId12"/>
    <sheet name="Cockpit_Import Monatsdate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TVF ALTWERT – gerettete Zahlen</t>
        </is>
      </c>
    </row>
    <row r="3">
      <c r="A3" t="inlineStr">
        <is>
          <t>Quelle</t>
        </is>
      </c>
      <c r="B3" t="inlineStr">
        <is>
          <t>Inhalt</t>
        </is>
      </c>
      <c r="C3" t="inlineStr">
        <is>
          <t>Zeilen</t>
        </is>
      </c>
    </row>
    <row r="4">
      <c r="A4" t="inlineStr">
        <is>
          <t>database.sql</t>
        </is>
      </c>
      <c r="B4" t="inlineStr">
        <is>
          <t>projekte</t>
        </is>
      </c>
      <c r="C4" t="n">
        <v>153</v>
      </c>
    </row>
    <row r="5">
      <c r="A5" t="inlineStr">
        <is>
          <t>database.sql</t>
        </is>
      </c>
      <c r="B5" t="inlineStr">
        <is>
          <t>kostenarten</t>
        </is>
      </c>
      <c r="C5" t="n">
        <v>108</v>
      </c>
    </row>
    <row r="6">
      <c r="A6" t="inlineStr">
        <is>
          <t>database.sql</t>
        </is>
      </c>
      <c r="B6" t="inlineStr">
        <is>
          <t>buchungen (aggregiert)</t>
        </is>
      </c>
      <c r="C6" t="n">
        <v>10509</v>
      </c>
    </row>
    <row r="7">
      <c r="A7" t="inlineStr">
        <is>
          <t>database.sql</t>
        </is>
      </c>
      <c r="B7" t="inlineStr">
        <is>
          <t>buchungen_agg_auftrag_periode</t>
        </is>
      </c>
      <c r="C7" t="n">
        <v>685</v>
      </c>
    </row>
    <row r="8">
      <c r="A8" t="inlineStr">
        <is>
          <t>database.sql</t>
        </is>
      </c>
      <c r="B8" t="inlineStr">
        <is>
          <t>buchungen_agg_periode</t>
        </is>
      </c>
      <c r="C8" t="n">
        <v>8</v>
      </c>
    </row>
    <row r="9">
      <c r="A9" t="inlineStr">
        <is>
          <t>Excel-Dateien</t>
        </is>
      </c>
      <c r="B9" t="inlineStr">
        <is>
          <t>Blätter exportiert</t>
        </is>
      </c>
      <c r="C9" t="n">
        <v>19</v>
      </c>
    </row>
    <row r="12">
      <c r="A12" t="inlineStr">
        <is>
          <t>Hinweis: Buchungen sind auf Auftrag×Periode und Kostenart summiert (keine 10.509 Einzelzeilen im Excel).</t>
        </is>
      </c>
    </row>
    <row r="13">
      <c r="A13" t="inlineStr">
        <is>
          <t>Vollständige Belege bleiben in db/database.sql. CSVs liegen unter zahlen/.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projekt_nr</t>
        </is>
      </c>
      <c r="B1" s="2" t="inlineStr">
        <is>
          <t>projektname</t>
        </is>
      </c>
      <c r="C1" s="2" t="inlineStr">
        <is>
          <t>projektart</t>
        </is>
      </c>
      <c r="D1" s="2" t="inlineStr">
        <is>
          <t>status</t>
        </is>
      </c>
      <c r="E1" s="2" t="inlineStr">
        <is>
          <t>budget_umsatz</t>
        </is>
      </c>
      <c r="F1" s="2" t="inlineStr">
        <is>
          <t>budget_kosten</t>
        </is>
      </c>
    </row>
    <row r="2">
      <c r="A2" t="inlineStr">
        <is>
          <t>P4102157208</t>
        </is>
      </c>
      <c r="B2" t="inlineStr">
        <is>
          <t>Waggonverschrottung</t>
        </is>
      </c>
      <c r="C2" t="inlineStr">
        <is>
          <t>RECYCLING</t>
        </is>
      </c>
    </row>
    <row r="3">
      <c r="A3" t="inlineStr">
        <is>
          <t>P4102157411</t>
        </is>
      </c>
      <c r="B3" t="inlineStr">
        <is>
          <t>ARGE RB Chemiepark Krefeld</t>
        </is>
      </c>
      <c r="C3" t="inlineStr">
        <is>
          <t>SONSTIGES</t>
        </is>
      </c>
    </row>
    <row r="4">
      <c r="A4" t="inlineStr">
        <is>
          <t>P4102157414</t>
        </is>
      </c>
      <c r="B4" t="inlineStr">
        <is>
          <t>Krandemontage</t>
        </is>
      </c>
      <c r="C4" t="inlineStr">
        <is>
          <t>SONSTIGES</t>
        </is>
      </c>
    </row>
    <row r="5">
      <c r="A5" t="inlineStr">
        <is>
          <t>P4102157420</t>
        </is>
      </c>
      <c r="B5" t="inlineStr">
        <is>
          <t>ARGE RB GWA+SGA 4</t>
        </is>
      </c>
      <c r="C5" t="inlineStr">
        <is>
          <t>SONSTIGES</t>
        </is>
      </c>
    </row>
    <row r="6">
      <c r="A6" t="inlineStr">
        <is>
          <t>P4102157429</t>
        </is>
      </c>
      <c r="B6" t="inlineStr">
        <is>
          <t>Covestro - Rückbau LEV O13</t>
        </is>
      </c>
      <c r="C6" t="inlineStr">
        <is>
          <t>BAU</t>
        </is>
      </c>
    </row>
    <row r="7">
      <c r="A7" t="inlineStr">
        <is>
          <t>P4102157431</t>
        </is>
      </c>
      <c r="B7" t="inlineStr">
        <is>
          <t>RB drei Sandfilter</t>
        </is>
      </c>
      <c r="C7" t="inlineStr">
        <is>
          <t>SONSTIGES</t>
        </is>
      </c>
    </row>
    <row r="8">
      <c r="A8" t="inlineStr">
        <is>
          <t>P4102157436</t>
        </is>
      </c>
      <c r="B8" t="inlineStr">
        <is>
          <t>Sanierung Kompensatoren</t>
        </is>
      </c>
      <c r="C8" t="inlineStr">
        <is>
          <t>BAU</t>
        </is>
      </c>
    </row>
    <row r="9">
      <c r="A9" t="inlineStr">
        <is>
          <t>P4102157439</t>
        </is>
      </c>
      <c r="B9" t="inlineStr">
        <is>
          <t>RB Sperrmüllschereefeld</t>
        </is>
      </c>
      <c r="C9" t="inlineStr">
        <is>
          <t>SONSTIGES</t>
        </is>
      </c>
    </row>
    <row r="10">
      <c r="A10" t="inlineStr">
        <is>
          <t>P4102157440</t>
        </is>
      </c>
      <c r="B10" t="inlineStr">
        <is>
          <t>tkse RB 2025</t>
        </is>
      </c>
      <c r="C10" t="inlineStr">
        <is>
          <t>SONSTIGES</t>
        </is>
      </c>
    </row>
    <row r="11">
      <c r="A11" t="inlineStr">
        <is>
          <t>P4102157442</t>
        </is>
      </c>
      <c r="B11" t="inlineStr">
        <is>
          <t>RB Leitstand Flämmaschine</t>
        </is>
      </c>
      <c r="C11" t="inlineStr">
        <is>
          <t>SONSTIGES</t>
        </is>
      </c>
    </row>
    <row r="12">
      <c r="A12" t="inlineStr">
        <is>
          <t>P4102157443</t>
        </is>
      </c>
      <c r="B12" t="inlineStr">
        <is>
          <t>Medice Arzneim. RB 2 Tanks</t>
        </is>
      </c>
      <c r="C12" t="inlineStr">
        <is>
          <t>SONSTIGES</t>
        </is>
      </c>
    </row>
    <row r="13">
      <c r="A13" t="inlineStr">
        <is>
          <t>P4102157445</t>
        </is>
      </c>
      <c r="B13" t="inlineStr">
        <is>
          <t>RB 2 Stahlwände Lüra Halle</t>
        </is>
      </c>
      <c r="C13" t="inlineStr">
        <is>
          <t>SONSTIGES</t>
        </is>
      </c>
    </row>
    <row r="14">
      <c r="A14" t="inlineStr">
        <is>
          <t>P4102157447</t>
        </is>
      </c>
      <c r="B14" t="inlineStr">
        <is>
          <t>Hkm Demontage DN 500</t>
        </is>
      </c>
      <c r="C14" t="inlineStr">
        <is>
          <t>SONSTIGES</t>
        </is>
      </c>
    </row>
    <row r="15">
      <c r="A15" t="inlineStr">
        <is>
          <t>P4102157449</t>
        </is>
      </c>
      <c r="B15" t="inlineStr">
        <is>
          <t>RB Kessel KW Lausward</t>
        </is>
      </c>
      <c r="C15" t="inlineStr">
        <is>
          <t>SONSTIGES</t>
        </is>
      </c>
    </row>
    <row r="16">
      <c r="A16" t="inlineStr">
        <is>
          <t>P4102157450</t>
        </is>
      </c>
      <c r="B16" t="inlineStr">
        <is>
          <t>Verschr. Brennkammer BA-301 Oxygen</t>
        </is>
      </c>
      <c r="C16" t="inlineStr">
        <is>
          <t>SONSTIGES</t>
        </is>
      </c>
    </row>
    <row r="17">
      <c r="A17" t="inlineStr">
        <is>
          <t>P4102157451</t>
        </is>
      </c>
      <c r="B17" t="inlineStr">
        <is>
          <t>Sanierung Campus Golzheim</t>
        </is>
      </c>
      <c r="C17" t="inlineStr">
        <is>
          <t>BAU</t>
        </is>
      </c>
    </row>
    <row r="18">
      <c r="A18" t="inlineStr">
        <is>
          <t>P4102157452</t>
        </is>
      </c>
      <c r="B18" t="inlineStr">
        <is>
          <t>RB Cont.anlage TKSE Gelände</t>
        </is>
      </c>
      <c r="C18" t="inlineStr">
        <is>
          <t>SONSTIGES</t>
        </is>
      </c>
    </row>
    <row r="19">
      <c r="A19" t="inlineStr">
        <is>
          <t>P4102157453</t>
        </is>
      </c>
      <c r="B19" t="inlineStr">
        <is>
          <t>Wbw 4 Hallenrückbau</t>
        </is>
      </c>
      <c r="C19" t="inlineStr">
        <is>
          <t>BAU</t>
        </is>
      </c>
    </row>
    <row r="20">
      <c r="A20" t="inlineStr">
        <is>
          <t>P4102157455</t>
        </is>
      </c>
      <c r="B20" t="inlineStr">
        <is>
          <t>Currenta San.+RB G22 Los 1+2 Anm.fehlt</t>
        </is>
      </c>
      <c r="C20" t="inlineStr">
        <is>
          <t>SONSTIGES</t>
        </is>
      </c>
    </row>
    <row r="21">
      <c r="A21" t="inlineStr">
        <is>
          <t>P4102157456</t>
        </is>
      </c>
      <c r="B21" t="inlineStr">
        <is>
          <t>RB und Entsorgung Fundament Schleifbank</t>
        </is>
      </c>
      <c r="C21" t="inlineStr">
        <is>
          <t>SONSTIGES</t>
        </is>
      </c>
    </row>
    <row r="22">
      <c r="A22" t="inlineStr">
        <is>
          <t>P4102157457</t>
        </is>
      </c>
      <c r="B22" t="inlineStr">
        <is>
          <t>tkse RB 2026</t>
        </is>
      </c>
      <c r="C22" t="inlineStr">
        <is>
          <t>SONSTIGES</t>
        </is>
      </c>
    </row>
    <row r="23">
      <c r="A23" t="inlineStr">
        <is>
          <t>P4102157458</t>
        </is>
      </c>
      <c r="B23" t="inlineStr">
        <is>
          <t>Kleinaufträge Region West 2026</t>
        </is>
      </c>
      <c r="C23" t="inlineStr">
        <is>
          <t>SONSTIGES</t>
        </is>
      </c>
    </row>
    <row r="24">
      <c r="A24" t="inlineStr">
        <is>
          <t>P4102157459</t>
        </is>
      </c>
      <c r="B24" t="inlineStr">
        <is>
          <t>RB alte Beizanlage</t>
        </is>
      </c>
      <c r="C24" t="inlineStr">
        <is>
          <t>SONSTIGES</t>
        </is>
      </c>
    </row>
    <row r="25">
      <c r="A25" t="inlineStr">
        <is>
          <t>P4102157461</t>
        </is>
      </c>
      <c r="B25" t="inlineStr">
        <is>
          <t>Brücke D 1 Seitenteile</t>
        </is>
      </c>
      <c r="C25" t="inlineStr">
        <is>
          <t>BAU</t>
        </is>
      </c>
    </row>
    <row r="26">
      <c r="A26" t="inlineStr">
        <is>
          <t>P4102157462</t>
        </is>
      </c>
      <c r="B26" t="inlineStr">
        <is>
          <t>Waggonverschrottung 2026</t>
        </is>
      </c>
      <c r="C26" t="inlineStr">
        <is>
          <t>RECYCLING</t>
        </is>
      </c>
    </row>
    <row r="27">
      <c r="A27" t="inlineStr">
        <is>
          <t>P4102157463</t>
        </is>
      </c>
      <c r="B27" t="inlineStr">
        <is>
          <t>RB Maschinenhaus Bl. B+C</t>
        </is>
      </c>
      <c r="C27" t="inlineStr">
        <is>
          <t>SONSTIGES</t>
        </is>
      </c>
    </row>
    <row r="28">
      <c r="A28" t="inlineStr">
        <is>
          <t>P4102157464</t>
        </is>
      </c>
      <c r="B28" t="inlineStr">
        <is>
          <t>Asbest Schadstoffsanierung C 601</t>
        </is>
      </c>
      <c r="C28" t="inlineStr">
        <is>
          <t>BAU</t>
        </is>
      </c>
    </row>
    <row r="29">
      <c r="A29" t="inlineStr">
        <is>
          <t>P4102157465</t>
        </is>
      </c>
      <c r="B29" t="inlineStr">
        <is>
          <t>Reinigungsarbeiten Block B</t>
        </is>
      </c>
      <c r="C29" t="inlineStr">
        <is>
          <t>SONSTIGES</t>
        </is>
      </c>
    </row>
    <row r="30">
      <c r="A30" t="inlineStr">
        <is>
          <t>P4102157466</t>
        </is>
      </c>
      <c r="B30" t="inlineStr">
        <is>
          <t>Verschrottung Anlagenteile</t>
        </is>
      </c>
      <c r="C30" t="inlineStr">
        <is>
          <t>RECYCLING</t>
        </is>
      </c>
    </row>
    <row r="31">
      <c r="A31" t="inlineStr">
        <is>
          <t>P4102157467</t>
        </is>
      </c>
      <c r="B31" t="inlineStr">
        <is>
          <t>Plakoma - Dem. Roheisenfähren</t>
        </is>
      </c>
      <c r="C31" t="inlineStr">
        <is>
          <t>SONSTIGES</t>
        </is>
      </c>
    </row>
    <row r="32">
      <c r="A32" t="inlineStr">
        <is>
          <t>P4102157468</t>
        </is>
      </c>
      <c r="B32" t="inlineStr">
        <is>
          <t>Verschr. Kondensattank Kokerei Schwelger</t>
        </is>
      </c>
      <c r="C32" t="inlineStr">
        <is>
          <t>SONSTIGES</t>
        </is>
      </c>
    </row>
    <row r="33">
      <c r="A33" t="inlineStr">
        <is>
          <t>P4102157469</t>
        </is>
      </c>
      <c r="B33" t="inlineStr">
        <is>
          <t>Anmeldung fehlt</t>
        </is>
      </c>
      <c r="C33" t="inlineStr">
        <is>
          <t>SONSTIGES</t>
        </is>
      </c>
    </row>
    <row r="34">
      <c r="A34" t="inlineStr">
        <is>
          <t>P4102307304</t>
        </is>
      </c>
      <c r="B34" t="inlineStr">
        <is>
          <t>HKW Süd</t>
        </is>
      </c>
      <c r="C34" t="inlineStr">
        <is>
          <t>SONSTIGES</t>
        </is>
      </c>
    </row>
    <row r="35">
      <c r="A35" t="inlineStr">
        <is>
          <t>P4102307306</t>
        </is>
      </c>
      <c r="B35" t="inlineStr">
        <is>
          <t>RB Halle Karlsruhe</t>
        </is>
      </c>
      <c r="C35" t="inlineStr">
        <is>
          <t>SONSTIGES</t>
        </is>
      </c>
    </row>
    <row r="36">
      <c r="A36" t="inlineStr">
        <is>
          <t>P4102307411</t>
        </is>
      </c>
      <c r="B36" t="inlineStr">
        <is>
          <t>BASF G 521</t>
        </is>
      </c>
      <c r="C36" t="inlineStr">
        <is>
          <t>SONSTIGES</t>
        </is>
      </c>
    </row>
    <row r="37">
      <c r="A37" t="inlineStr">
        <is>
          <t>P4102307416</t>
        </is>
      </c>
      <c r="B37" t="inlineStr">
        <is>
          <t>BASF O 405 Ammoniak</t>
        </is>
      </c>
      <c r="C37" t="inlineStr">
        <is>
          <t>SONSTIGES</t>
        </is>
      </c>
    </row>
    <row r="38">
      <c r="A38" t="inlineStr">
        <is>
          <t>P4102307422</t>
        </is>
      </c>
      <c r="B38" t="inlineStr">
        <is>
          <t>BASF M 950</t>
        </is>
      </c>
      <c r="C38" t="inlineStr">
        <is>
          <t>SONSTIGES</t>
        </is>
      </c>
    </row>
    <row r="39">
      <c r="A39" t="inlineStr">
        <is>
          <t>P4102307423</t>
        </is>
      </c>
      <c r="B39" t="inlineStr">
        <is>
          <t>BASF F 712</t>
        </is>
      </c>
      <c r="C39" t="inlineStr">
        <is>
          <t>SONSTIGES</t>
        </is>
      </c>
    </row>
    <row r="40">
      <c r="A40" t="inlineStr">
        <is>
          <t>P4102307424</t>
        </is>
      </c>
      <c r="B40" t="inlineStr">
        <is>
          <t>BASF P 703</t>
        </is>
      </c>
      <c r="C40" t="inlineStr">
        <is>
          <t>SONSTIGES</t>
        </is>
      </c>
    </row>
    <row r="41">
      <c r="A41" t="inlineStr">
        <is>
          <t>P4102307426</t>
        </is>
      </c>
      <c r="B41" t="inlineStr">
        <is>
          <t>BASF Z 300</t>
        </is>
      </c>
      <c r="C41" t="inlineStr">
        <is>
          <t>SONSTIGES</t>
        </is>
      </c>
    </row>
    <row r="42">
      <c r="A42" t="inlineStr">
        <is>
          <t>P4102307427</t>
        </is>
      </c>
      <c r="B42" t="inlineStr">
        <is>
          <t>BASF N 720</t>
        </is>
      </c>
      <c r="C42" t="inlineStr">
        <is>
          <t>SONSTIGES</t>
        </is>
      </c>
    </row>
    <row r="43">
      <c r="A43" t="inlineStr">
        <is>
          <t>P4102307428</t>
        </is>
      </c>
      <c r="B43" t="inlineStr">
        <is>
          <t>BASF O 405</t>
        </is>
      </c>
      <c r="C43" t="inlineStr">
        <is>
          <t>SONSTIGES</t>
        </is>
      </c>
    </row>
    <row r="44">
      <c r="A44" t="inlineStr">
        <is>
          <t>P4102307429</t>
        </is>
      </c>
      <c r="B44" t="inlineStr">
        <is>
          <t>BASF C 509</t>
        </is>
      </c>
      <c r="C44" t="inlineStr">
        <is>
          <t>SONSTIGES</t>
        </is>
      </c>
    </row>
    <row r="45">
      <c r="A45" t="inlineStr">
        <is>
          <t>P4102307430</t>
        </is>
      </c>
      <c r="B45" t="inlineStr">
        <is>
          <t>BASF E 701</t>
        </is>
      </c>
      <c r="C45" t="inlineStr">
        <is>
          <t>SONSTIGES</t>
        </is>
      </c>
    </row>
    <row r="46">
      <c r="A46" t="inlineStr">
        <is>
          <t>P4102307431</t>
        </is>
      </c>
      <c r="B46" t="inlineStr">
        <is>
          <t>HNVG Bauph. II Gaswerk</t>
        </is>
      </c>
      <c r="C46" t="inlineStr">
        <is>
          <t>BAU</t>
        </is>
      </c>
    </row>
    <row r="47">
      <c r="A47" t="inlineStr">
        <is>
          <t>P4102307432</t>
        </is>
      </c>
      <c r="B47" t="inlineStr">
        <is>
          <t>HNVG - Bauph. III Gaswerk</t>
        </is>
      </c>
      <c r="C47" t="inlineStr">
        <is>
          <t>BAU</t>
        </is>
      </c>
    </row>
    <row r="48">
      <c r="A48" t="inlineStr">
        <is>
          <t>P4102307433</t>
        </is>
      </c>
      <c r="B48" t="inlineStr">
        <is>
          <t>BASF U 505 Blauer Block</t>
        </is>
      </c>
      <c r="C48" t="inlineStr">
        <is>
          <t>SONSTIGES</t>
        </is>
      </c>
    </row>
    <row r="49">
      <c r="A49" t="inlineStr">
        <is>
          <t>P4102307434</t>
        </is>
      </c>
      <c r="B49" t="inlineStr">
        <is>
          <t>BASF S 304</t>
        </is>
      </c>
      <c r="C49" t="inlineStr">
        <is>
          <t>SONSTIGES</t>
        </is>
      </c>
    </row>
    <row r="50">
      <c r="A50" t="inlineStr">
        <is>
          <t>P4102307435</t>
        </is>
      </c>
      <c r="B50" t="inlineStr">
        <is>
          <t>ENBW - KW Walheim</t>
        </is>
      </c>
      <c r="C50" t="inlineStr">
        <is>
          <t>SONSTIGES</t>
        </is>
      </c>
    </row>
    <row r="51">
      <c r="A51" t="inlineStr">
        <is>
          <t>P4102307436</t>
        </is>
      </c>
      <c r="B51" t="inlineStr">
        <is>
          <t>BASF O 914 - O 915</t>
        </is>
      </c>
      <c r="C51" t="inlineStr">
        <is>
          <t>SONSTIGES</t>
        </is>
      </c>
    </row>
    <row r="52">
      <c r="A52" t="inlineStr">
        <is>
          <t>P4102307437</t>
        </is>
      </c>
      <c r="B52" t="inlineStr">
        <is>
          <t>ENBW - KW Walheim, Permutit-Anlage</t>
        </is>
      </c>
      <c r="C52" t="inlineStr">
        <is>
          <t>SONSTIGES</t>
        </is>
      </c>
    </row>
    <row r="53">
      <c r="A53" t="inlineStr">
        <is>
          <t>P4102307438</t>
        </is>
      </c>
      <c r="B53" t="inlineStr">
        <is>
          <t>Netze BW- UW Bruchsal</t>
        </is>
      </c>
      <c r="C53" t="inlineStr">
        <is>
          <t>SONSTIGES</t>
        </is>
      </c>
    </row>
    <row r="54">
      <c r="A54" t="inlineStr">
        <is>
          <t>P4102307439</t>
        </is>
      </c>
      <c r="B54" t="inlineStr">
        <is>
          <t>BASF U 405 Teil 1</t>
        </is>
      </c>
      <c r="C54" t="inlineStr">
        <is>
          <t>SONSTIGES</t>
        </is>
      </c>
    </row>
    <row r="55">
      <c r="A55" t="inlineStr">
        <is>
          <t>P4102307440</t>
        </is>
      </c>
      <c r="B55" t="inlineStr">
        <is>
          <t>BASF  L 605</t>
        </is>
      </c>
      <c r="C55" t="inlineStr">
        <is>
          <t>SONSTIGES</t>
        </is>
      </c>
    </row>
    <row r="56">
      <c r="A56" t="inlineStr">
        <is>
          <t>P4102307441</t>
        </is>
      </c>
      <c r="B56" t="inlineStr">
        <is>
          <t>BASF  E 301</t>
        </is>
      </c>
      <c r="C56" t="inlineStr">
        <is>
          <t>SONSTIGES</t>
        </is>
      </c>
    </row>
    <row r="57">
      <c r="A57" t="inlineStr">
        <is>
          <t>P4102307442</t>
        </is>
      </c>
      <c r="B57" t="inlineStr">
        <is>
          <t>Leingarten Schwimmhalle 1</t>
        </is>
      </c>
      <c r="C57" t="inlineStr">
        <is>
          <t>SONSTIGES</t>
        </is>
      </c>
    </row>
    <row r="58">
      <c r="A58" t="inlineStr">
        <is>
          <t>P4102307443</t>
        </is>
      </c>
      <c r="B58" t="inlineStr">
        <is>
          <t>Leingarten Schwimmhalle 2</t>
        </is>
      </c>
      <c r="C58" t="inlineStr">
        <is>
          <t>SONSTIGES</t>
        </is>
      </c>
    </row>
    <row r="59">
      <c r="A59" t="inlineStr">
        <is>
          <t>P4102307444</t>
        </is>
      </c>
      <c r="B59" t="inlineStr">
        <is>
          <t>BASF  N 416-O 405</t>
        </is>
      </c>
      <c r="C59" t="inlineStr">
        <is>
          <t>SONSTIGES</t>
        </is>
      </c>
    </row>
    <row r="60">
      <c r="A60" t="inlineStr">
        <is>
          <t>P4102307447</t>
        </is>
      </c>
      <c r="B60" t="inlineStr">
        <is>
          <t>BASF C 317</t>
        </is>
      </c>
      <c r="C60" t="inlineStr">
        <is>
          <t>SONSTIGES</t>
        </is>
      </c>
    </row>
    <row r="61">
      <c r="A61" t="inlineStr">
        <is>
          <t>P4102307448</t>
        </is>
      </c>
      <c r="B61" t="inlineStr">
        <is>
          <t>Kopf SynGas - Klärschlammvergasung</t>
        </is>
      </c>
      <c r="C61" t="inlineStr">
        <is>
          <t>SONSTIGES</t>
        </is>
      </c>
    </row>
    <row r="62">
      <c r="A62" t="inlineStr">
        <is>
          <t>P4102307449</t>
        </is>
      </c>
      <c r="B62" t="inlineStr">
        <is>
          <t>BASF S 607</t>
        </is>
      </c>
      <c r="C62" t="inlineStr">
        <is>
          <t>SONSTIGES</t>
        </is>
      </c>
    </row>
    <row r="63">
      <c r="A63" t="inlineStr">
        <is>
          <t>P4102309044</t>
        </is>
      </c>
      <c r="B63" t="inlineStr">
        <is>
          <t>RB BASF 2022</t>
        </is>
      </c>
      <c r="C63" t="inlineStr">
        <is>
          <t>SONSTIGES</t>
        </is>
      </c>
    </row>
    <row r="64">
      <c r="A64" t="inlineStr">
        <is>
          <t>P4102309045</t>
        </is>
      </c>
      <c r="B64" t="inlineStr">
        <is>
          <t>BASF Sonstige Kleinmaßnahmen</t>
        </is>
      </c>
      <c r="C64" t="inlineStr">
        <is>
          <t>SONSTIGES</t>
        </is>
      </c>
    </row>
    <row r="65">
      <c r="A65" t="inlineStr">
        <is>
          <t>P4102309046</t>
        </is>
      </c>
      <c r="B65" t="inlineStr">
        <is>
          <t>Sonstige Kleinmaßnahmen</t>
        </is>
      </c>
      <c r="C65" t="inlineStr">
        <is>
          <t>SONSTIGES</t>
        </is>
      </c>
    </row>
    <row r="66">
      <c r="A66" t="inlineStr">
        <is>
          <t>P4102602023</t>
        </is>
      </c>
      <c r="B66" t="inlineStr">
        <is>
          <t>nachlaufende Kosten</t>
        </is>
      </c>
      <c r="C66" t="inlineStr">
        <is>
          <t>SONSTIGES</t>
        </is>
      </c>
    </row>
    <row r="67">
      <c r="A67" t="inlineStr">
        <is>
          <t>P4102604612</t>
        </is>
      </c>
      <c r="B67" t="inlineStr">
        <is>
          <t>Recyclingplatz Boxberg</t>
        </is>
      </c>
      <c r="C67" t="inlineStr">
        <is>
          <t>RECYCLING</t>
        </is>
      </c>
    </row>
    <row r="68">
      <c r="A68" t="inlineStr">
        <is>
          <t>P4102607989</t>
        </is>
      </c>
      <c r="B68" t="inlineStr">
        <is>
          <t>Kleinaufträge</t>
        </is>
      </c>
      <c r="C68" t="inlineStr">
        <is>
          <t>SONSTIGES</t>
        </is>
      </c>
    </row>
    <row r="69">
      <c r="A69" t="inlineStr">
        <is>
          <t>P4102608224</t>
        </is>
      </c>
      <c r="B69" t="inlineStr">
        <is>
          <t>RB Turbinen Hirschfelde</t>
        </is>
      </c>
      <c r="C69" t="inlineStr">
        <is>
          <t>SONSTIGES</t>
        </is>
      </c>
    </row>
    <row r="70">
      <c r="A70" t="inlineStr">
        <is>
          <t>P4102608226</t>
        </is>
      </c>
      <c r="B70" t="inlineStr">
        <is>
          <t>RB Kohlebunker Lübbenau</t>
        </is>
      </c>
      <c r="C70" t="inlineStr">
        <is>
          <t>SONSTIGES</t>
        </is>
      </c>
    </row>
    <row r="71">
      <c r="A71" t="inlineStr">
        <is>
          <t>P4102608232</t>
        </is>
      </c>
      <c r="B71" t="inlineStr">
        <is>
          <t>Seilbaggerarbeiten Platz der Republik</t>
        </is>
      </c>
      <c r="C71" t="inlineStr">
        <is>
          <t>SONSTIGES</t>
        </is>
      </c>
    </row>
    <row r="72">
      <c r="A72" t="inlineStr">
        <is>
          <t>P4102608246</t>
        </is>
      </c>
      <c r="B72" t="inlineStr">
        <is>
          <t>RB Kohlebunker/Brücke Lübbenau</t>
        </is>
      </c>
      <c r="C72" t="inlineStr">
        <is>
          <t>BAU</t>
        </is>
      </c>
    </row>
    <row r="73">
      <c r="A73" t="inlineStr">
        <is>
          <t>P4102608258</t>
        </is>
      </c>
      <c r="B73" t="inlineStr">
        <is>
          <t>BTU Dachsanierung Halle 3b</t>
        </is>
      </c>
      <c r="C73" t="inlineStr">
        <is>
          <t>BAU</t>
        </is>
      </c>
    </row>
    <row r="74">
      <c r="A74" t="inlineStr">
        <is>
          <t>P4102608260</t>
        </is>
      </c>
      <c r="B74" t="inlineStr">
        <is>
          <t>RB Floorflexplatten Berlin</t>
        </is>
      </c>
      <c r="C74" t="inlineStr">
        <is>
          <t>SONSTIGES</t>
        </is>
      </c>
    </row>
    <row r="75">
      <c r="A75" t="inlineStr">
        <is>
          <t>P4102608263</t>
        </is>
      </c>
      <c r="B75" t="inlineStr">
        <is>
          <t>RB Föderbrücke AFB 60</t>
        </is>
      </c>
      <c r="C75" t="inlineStr">
        <is>
          <t>BAU</t>
        </is>
      </c>
    </row>
    <row r="76">
      <c r="A76" t="inlineStr">
        <is>
          <t>P4102608264</t>
        </is>
      </c>
      <c r="B76" t="inlineStr">
        <is>
          <t>Mastrückbau Mainflingen</t>
        </is>
      </c>
      <c r="C76" t="inlineStr">
        <is>
          <t>BAU</t>
        </is>
      </c>
    </row>
    <row r="77">
      <c r="A77" t="inlineStr">
        <is>
          <t>P4102608265</t>
        </is>
      </c>
      <c r="B77" t="inlineStr">
        <is>
          <t>RB Gebäude Grüneberg</t>
        </is>
      </c>
      <c r="C77" t="inlineStr">
        <is>
          <t>SONSTIGES</t>
        </is>
      </c>
    </row>
    <row r="78">
      <c r="A78" t="inlineStr">
        <is>
          <t>P4102608266</t>
        </is>
      </c>
      <c r="B78" t="inlineStr">
        <is>
          <t>RB Kurmark- Kaserne Storkow</t>
        </is>
      </c>
      <c r="C78" t="inlineStr">
        <is>
          <t>SONSTIGES</t>
        </is>
      </c>
    </row>
    <row r="79">
      <c r="A79" t="inlineStr">
        <is>
          <t>P4102608267</t>
        </is>
      </c>
      <c r="B79" t="inlineStr">
        <is>
          <t>Sprengarbeiten FLJS</t>
        </is>
      </c>
      <c r="C79" t="inlineStr">
        <is>
          <t>SONSTIGES</t>
        </is>
      </c>
    </row>
    <row r="80">
      <c r="A80" t="inlineStr">
        <is>
          <t>P4102608268</t>
        </is>
      </c>
      <c r="B80" t="inlineStr">
        <is>
          <t>Gutenbergstrasse Potsdam</t>
        </is>
      </c>
      <c r="C80" t="inlineStr">
        <is>
          <t>SONSTIGES</t>
        </is>
      </c>
    </row>
    <row r="81">
      <c r="A81" t="inlineStr">
        <is>
          <t>P4102608270</t>
        </is>
      </c>
      <c r="B81" t="inlineStr">
        <is>
          <t>Baggergestellung LH 956 Jänschwalde</t>
        </is>
      </c>
      <c r="C81" t="inlineStr">
        <is>
          <t>SONSTIGES</t>
        </is>
      </c>
    </row>
    <row r="82">
      <c r="A82" t="inlineStr">
        <is>
          <t>P4102608271</t>
        </is>
      </c>
      <c r="B82" t="inlineStr">
        <is>
          <t>Seilbagger Tagebau Jänschwalde</t>
        </is>
      </c>
      <c r="C82" t="inlineStr">
        <is>
          <t>BAU</t>
        </is>
      </c>
    </row>
    <row r="83">
      <c r="A83" t="inlineStr">
        <is>
          <t>P4102608275</t>
        </is>
      </c>
      <c r="B83" t="inlineStr">
        <is>
          <t>An der Spreewaldbahn lübben</t>
        </is>
      </c>
      <c r="C83" t="inlineStr">
        <is>
          <t>SONSTIGES</t>
        </is>
      </c>
    </row>
    <row r="84">
      <c r="A84" t="inlineStr">
        <is>
          <t>P4102652023</t>
        </is>
      </c>
      <c r="B84" t="inlineStr">
        <is>
          <t>Nachlaufende Kosten</t>
        </is>
      </c>
      <c r="C84" t="inlineStr">
        <is>
          <t>SONSTIGES</t>
        </is>
      </c>
    </row>
    <row r="85">
      <c r="A85" t="inlineStr">
        <is>
          <t>P4102657982</t>
        </is>
      </c>
      <c r="B85" t="inlineStr">
        <is>
          <t>Kleinaufträge</t>
        </is>
      </c>
      <c r="C85" t="inlineStr">
        <is>
          <t>SONSTIGES</t>
        </is>
      </c>
    </row>
    <row r="86">
      <c r="A86" t="inlineStr">
        <is>
          <t>P4102658225</t>
        </is>
      </c>
      <c r="B86" t="inlineStr">
        <is>
          <t>B1 Brandenburg Potsdamer Straße</t>
        </is>
      </c>
      <c r="C86" t="inlineStr">
        <is>
          <t>SONSTIGES</t>
        </is>
      </c>
    </row>
    <row r="87">
      <c r="A87" t="inlineStr">
        <is>
          <t>P4102658228</t>
        </is>
      </c>
      <c r="B87" t="inlineStr">
        <is>
          <t>ENB EÜ Wollankstraße</t>
        </is>
      </c>
      <c r="C87" t="inlineStr">
        <is>
          <t>SONSTIGES</t>
        </is>
      </c>
    </row>
    <row r="88">
      <c r="A88" t="inlineStr">
        <is>
          <t>P4102658229</t>
        </is>
      </c>
      <c r="B88" t="inlineStr">
        <is>
          <t>Markgrafenbrücke Berlin</t>
        </is>
      </c>
      <c r="C88" t="inlineStr">
        <is>
          <t>BAU</t>
        </is>
      </c>
    </row>
    <row r="89">
      <c r="A89" t="inlineStr">
        <is>
          <t>P4102658235</t>
        </is>
      </c>
      <c r="B89" t="inlineStr">
        <is>
          <t>ENB Neue Fahlenbergbrücke</t>
        </is>
      </c>
      <c r="C89" t="inlineStr">
        <is>
          <t>BAU</t>
        </is>
      </c>
    </row>
    <row r="90">
      <c r="A90" t="inlineStr">
        <is>
          <t>P4102658250</t>
        </is>
      </c>
      <c r="B90" t="inlineStr">
        <is>
          <t>Parkallee Velten, Brücke Stichkanal</t>
        </is>
      </c>
      <c r="C90" t="inlineStr">
        <is>
          <t>BAU</t>
        </is>
      </c>
    </row>
    <row r="91">
      <c r="A91" t="inlineStr">
        <is>
          <t>P4102658254</t>
        </is>
      </c>
      <c r="B91" t="inlineStr">
        <is>
          <t>EÜ Langendreerstraße Bochum</t>
        </is>
      </c>
      <c r="C91" t="inlineStr">
        <is>
          <t>SONSTIGES</t>
        </is>
      </c>
    </row>
    <row r="92">
      <c r="A92" t="inlineStr">
        <is>
          <t>P4102658256</t>
        </is>
      </c>
      <c r="B92" t="inlineStr">
        <is>
          <t>Schleuse Wolfswinkel</t>
        </is>
      </c>
      <c r="C92" t="inlineStr">
        <is>
          <t>BAU</t>
        </is>
      </c>
    </row>
    <row r="93">
      <c r="A93" t="inlineStr">
        <is>
          <t>P4102658257</t>
        </is>
      </c>
      <c r="B93" t="inlineStr">
        <is>
          <t>Brücke An der Wuhlheide - Notunterstützu</t>
        </is>
      </c>
      <c r="C93" t="inlineStr">
        <is>
          <t>BAU</t>
        </is>
      </c>
    </row>
    <row r="94">
      <c r="A94" t="inlineStr">
        <is>
          <t>P4102658259</t>
        </is>
      </c>
      <c r="B94" t="inlineStr">
        <is>
          <t>ENB Eisenbahnbrücke Güsen</t>
        </is>
      </c>
      <c r="C94" t="inlineStr">
        <is>
          <t>BAU</t>
        </is>
      </c>
    </row>
    <row r="95">
      <c r="A95" t="inlineStr">
        <is>
          <t>P4102658269</t>
        </is>
      </c>
      <c r="B95" t="inlineStr">
        <is>
          <t>B102 OD Jüterbog Alte Nuthe</t>
        </is>
      </c>
      <c r="C95" t="inlineStr">
        <is>
          <t>SONSTIGES</t>
        </is>
      </c>
    </row>
    <row r="96">
      <c r="A96" t="inlineStr">
        <is>
          <t>P4102658272</t>
        </is>
      </c>
      <c r="B96" t="inlineStr">
        <is>
          <t>Beräumung Herzberger Straße</t>
        </is>
      </c>
      <c r="C96" t="inlineStr">
        <is>
          <t>SONSTIGES</t>
        </is>
      </c>
    </row>
    <row r="97">
      <c r="A97" t="inlineStr">
        <is>
          <t>P4102658276</t>
        </is>
      </c>
      <c r="B97" t="inlineStr">
        <is>
          <t>EÜ Braunsbedra</t>
        </is>
      </c>
      <c r="C97" t="inlineStr">
        <is>
          <t>SONSTIGES</t>
        </is>
      </c>
    </row>
    <row r="98">
      <c r="A98" t="inlineStr">
        <is>
          <t>W4102154411</t>
        </is>
      </c>
      <c r="B98" t="inlineStr">
        <is>
          <t>Vetrieb Region West</t>
        </is>
      </c>
      <c r="C98" t="inlineStr">
        <is>
          <t>SONSTIGES</t>
        </is>
      </c>
    </row>
    <row r="99">
      <c r="A99" t="inlineStr">
        <is>
          <t>W4102154501</t>
        </is>
      </c>
      <c r="B99" t="inlineStr">
        <is>
          <t>Gehalt BL Region West</t>
        </is>
      </c>
      <c r="C99" t="inlineStr">
        <is>
          <t>SONSTIGES</t>
        </is>
      </c>
    </row>
    <row r="100">
      <c r="A100" t="inlineStr">
        <is>
          <t>W4102154611</t>
        </is>
      </c>
      <c r="B100" t="inlineStr">
        <is>
          <t>Werkstatt Region West</t>
        </is>
      </c>
      <c r="C100" t="inlineStr">
        <is>
          <t>SONSTIGES</t>
        </is>
      </c>
    </row>
    <row r="101">
      <c r="A101" t="inlineStr">
        <is>
          <t>W4102154953</t>
        </is>
      </c>
      <c r="B101" t="inlineStr">
        <is>
          <t>CB-AA 140 Hr. Kraft</t>
        </is>
      </c>
      <c r="C101" t="inlineStr">
        <is>
          <t>SONSTIGES</t>
        </is>
      </c>
    </row>
    <row r="102">
      <c r="A102" t="inlineStr">
        <is>
          <t>W4102154961</t>
        </is>
      </c>
      <c r="B102" t="inlineStr">
        <is>
          <t>DO-AW 251 Ludwigs</t>
        </is>
      </c>
      <c r="C102" t="inlineStr">
        <is>
          <t>SONSTIGES</t>
        </is>
      </c>
    </row>
    <row r="103">
      <c r="A103" t="inlineStr">
        <is>
          <t>W4102154964</t>
        </is>
      </c>
      <c r="B103" t="inlineStr">
        <is>
          <t>PKW Schalk CB - TV 93</t>
        </is>
      </c>
      <c r="C103" t="inlineStr">
        <is>
          <t>SONSTIGES</t>
        </is>
      </c>
    </row>
    <row r="104">
      <c r="A104" t="inlineStr">
        <is>
          <t>W4102154966</t>
        </is>
      </c>
      <c r="B104" t="inlineStr">
        <is>
          <t>PKW Kilinc</t>
        </is>
      </c>
      <c r="C104" t="inlineStr">
        <is>
          <t>SONSTIGES</t>
        </is>
      </c>
    </row>
    <row r="105">
      <c r="A105" t="inlineStr">
        <is>
          <t>W4102154967</t>
        </is>
      </c>
      <c r="B105" t="inlineStr">
        <is>
          <t>CB - VT 585  Hr. Büskens</t>
        </is>
      </c>
      <c r="C105" t="inlineStr">
        <is>
          <t>SONSTIGES</t>
        </is>
      </c>
    </row>
    <row r="106">
      <c r="A106" t="inlineStr">
        <is>
          <t>W4102154968</t>
        </is>
      </c>
      <c r="B106" t="inlineStr">
        <is>
          <t>PKW Hr. Lanzar Tore</t>
        </is>
      </c>
      <c r="C106" t="inlineStr">
        <is>
          <t>SONSTIGES</t>
        </is>
      </c>
    </row>
    <row r="107">
      <c r="A107" t="inlineStr">
        <is>
          <t>W4102157414</t>
        </is>
      </c>
      <c r="B107" t="inlineStr">
        <is>
          <t>Krandemontage</t>
        </is>
      </c>
      <c r="C107" t="inlineStr">
        <is>
          <t>SONSTIGES</t>
        </is>
      </c>
    </row>
    <row r="108">
      <c r="A108" t="inlineStr">
        <is>
          <t>W4102304411</t>
        </is>
      </c>
      <c r="B108" t="inlineStr">
        <is>
          <t>Vetrieb Region Sued-West</t>
        </is>
      </c>
      <c r="C108" t="inlineStr">
        <is>
          <t>SONSTIGES</t>
        </is>
      </c>
    </row>
    <row r="109">
      <c r="A109" t="inlineStr">
        <is>
          <t>W4102304412</t>
        </is>
      </c>
      <c r="B109" t="inlineStr">
        <is>
          <t>Fremdfirmenstuetzupunkt</t>
        </is>
      </c>
      <c r="C109" t="inlineStr">
        <is>
          <t>SONSTIGES</t>
        </is>
      </c>
    </row>
    <row r="110">
      <c r="A110" t="inlineStr">
        <is>
          <t>W4102304611</t>
        </is>
      </c>
      <c r="B110" t="inlineStr">
        <is>
          <t>Lager Region Sued-West</t>
        </is>
      </c>
      <c r="C110" t="inlineStr">
        <is>
          <t>SONSTIGES</t>
        </is>
      </c>
    </row>
    <row r="111">
      <c r="A111" t="inlineStr">
        <is>
          <t>W4102304943</t>
        </is>
      </c>
      <c r="B111" t="inlineStr">
        <is>
          <t>CB - TV 90 Hr. Flamme</t>
        </is>
      </c>
      <c r="C111" t="inlineStr">
        <is>
          <t>SONSTIGES</t>
        </is>
      </c>
    </row>
    <row r="112">
      <c r="A112" t="inlineStr">
        <is>
          <t>W4102304946</t>
        </is>
      </c>
      <c r="B112" t="inlineStr">
        <is>
          <t>CB-AA 552 Sesjunin</t>
        </is>
      </c>
      <c r="C112" t="inlineStr">
        <is>
          <t>SONSTIGES</t>
        </is>
      </c>
    </row>
    <row r="113">
      <c r="A113" t="inlineStr">
        <is>
          <t>W4102304947</t>
        </is>
      </c>
      <c r="B113" t="inlineStr">
        <is>
          <t>CB-AB 644 Passat Herr Yavuz</t>
        </is>
      </c>
      <c r="C113" t="inlineStr">
        <is>
          <t>SONSTIGES</t>
        </is>
      </c>
    </row>
    <row r="114">
      <c r="A114" t="inlineStr">
        <is>
          <t>W4102307366</t>
        </is>
      </c>
      <c r="B114" t="inlineStr">
        <is>
          <t>UW Niederbühl</t>
        </is>
      </c>
      <c r="C114" t="inlineStr">
        <is>
          <t>SONSTIGES</t>
        </is>
      </c>
    </row>
    <row r="115">
      <c r="A115" t="inlineStr">
        <is>
          <t>W4102307411</t>
        </is>
      </c>
      <c r="B115" t="inlineStr">
        <is>
          <t>BASF - G 521</t>
        </is>
      </c>
      <c r="C115" t="inlineStr">
        <is>
          <t>SONSTIGES</t>
        </is>
      </c>
    </row>
    <row r="116">
      <c r="A116" t="inlineStr">
        <is>
          <t>W4102504101</t>
        </is>
      </c>
      <c r="B116" t="inlineStr">
        <is>
          <t>Kaufm. Geschäftsfüh.</t>
        </is>
      </c>
      <c r="C116" t="inlineStr">
        <is>
          <t>SONSTIGES</t>
        </is>
      </c>
    </row>
    <row r="117">
      <c r="A117" t="inlineStr">
        <is>
          <t>W4102504102</t>
        </is>
      </c>
      <c r="B117" t="inlineStr">
        <is>
          <t>Techn. Geschäftsfüh.</t>
        </is>
      </c>
      <c r="C117" t="inlineStr">
        <is>
          <t>SONSTIGES</t>
        </is>
      </c>
    </row>
    <row r="118">
      <c r="A118" t="inlineStr">
        <is>
          <t>W4102504104</t>
        </is>
      </c>
      <c r="B118" t="inlineStr">
        <is>
          <t>Dienstleistungsverrechn.</t>
        </is>
      </c>
      <c r="C118" t="inlineStr">
        <is>
          <t>SONSTIGES</t>
        </is>
      </c>
    </row>
    <row r="119">
      <c r="A119" t="inlineStr">
        <is>
          <t>W4102504106</t>
        </is>
      </c>
      <c r="B119" t="inlineStr">
        <is>
          <t>Geschäftsfüh.</t>
        </is>
      </c>
      <c r="C119" t="inlineStr">
        <is>
          <t>SONSTIGES</t>
        </is>
      </c>
    </row>
    <row r="120">
      <c r="A120" t="inlineStr">
        <is>
          <t>W4102504107</t>
        </is>
      </c>
      <c r="B120" t="inlineStr">
        <is>
          <t>Geschäftsfüh. Hr Kay</t>
        </is>
      </c>
      <c r="C120" t="inlineStr">
        <is>
          <t>SONSTIGES</t>
        </is>
      </c>
    </row>
    <row r="121">
      <c r="A121" t="inlineStr">
        <is>
          <t>W4102504108</t>
        </is>
      </c>
      <c r="B121" t="inlineStr">
        <is>
          <t>Geschäftsführer Hr. Kenski</t>
        </is>
      </c>
      <c r="C121" t="inlineStr">
        <is>
          <t>SONSTIGES</t>
        </is>
      </c>
    </row>
    <row r="122">
      <c r="A122" t="inlineStr">
        <is>
          <t>W4102504109</t>
        </is>
      </c>
      <c r="B122" t="inlineStr">
        <is>
          <t>Geschäftsführerin Frau Langosch</t>
        </is>
      </c>
      <c r="C122" t="inlineStr">
        <is>
          <t>SONSTIGES</t>
        </is>
      </c>
    </row>
    <row r="123">
      <c r="A123" t="inlineStr">
        <is>
          <t>W4102504211</t>
        </is>
      </c>
      <c r="B123" t="inlineStr">
        <is>
          <t>Rechnungsw./Finanzen</t>
        </is>
      </c>
      <c r="C123" t="inlineStr">
        <is>
          <t>SONSTIGES</t>
        </is>
      </c>
    </row>
    <row r="124">
      <c r="A124" t="inlineStr">
        <is>
          <t>W4102504221</t>
        </is>
      </c>
      <c r="B124" t="inlineStr">
        <is>
          <t>Übriges Personal</t>
        </is>
      </c>
      <c r="C124" t="inlineStr">
        <is>
          <t>SONSTIGES</t>
        </is>
      </c>
    </row>
    <row r="125">
      <c r="A125" t="inlineStr">
        <is>
          <t>W4102504222</t>
        </is>
      </c>
      <c r="B125" t="inlineStr">
        <is>
          <t>Sonstige Sachkosten</t>
        </is>
      </c>
      <c r="C125" t="inlineStr">
        <is>
          <t>SONSTIGES</t>
        </is>
      </c>
    </row>
    <row r="126">
      <c r="A126" t="inlineStr">
        <is>
          <t>W4102504262</t>
        </is>
      </c>
      <c r="B126" t="inlineStr">
        <is>
          <t>Zentrale EDV</t>
        </is>
      </c>
      <c r="C126" t="inlineStr">
        <is>
          <t>SONSTIGES</t>
        </is>
      </c>
    </row>
    <row r="127">
      <c r="A127" t="inlineStr">
        <is>
          <t>W4102504941</t>
        </is>
      </c>
      <c r="B127" t="inlineStr">
        <is>
          <t>Betriebsrat</t>
        </is>
      </c>
      <c r="C127" t="inlineStr">
        <is>
          <t>SONSTIGES</t>
        </is>
      </c>
    </row>
    <row r="128">
      <c r="A128" t="inlineStr">
        <is>
          <t>W4102504951</t>
        </is>
      </c>
      <c r="B128" t="inlineStr">
        <is>
          <t>Steuern</t>
        </is>
      </c>
      <c r="C128" t="inlineStr">
        <is>
          <t>SONSTIGES</t>
        </is>
      </c>
    </row>
    <row r="129">
      <c r="A129" t="inlineStr">
        <is>
          <t>W4102504967</t>
        </is>
      </c>
      <c r="B129" t="inlineStr">
        <is>
          <t>CB-VT 476 Krull</t>
        </is>
      </c>
      <c r="C129" t="inlineStr">
        <is>
          <t>SONSTIGES</t>
        </is>
      </c>
    </row>
    <row r="130">
      <c r="A130" t="inlineStr">
        <is>
          <t>W4102504971</t>
        </is>
      </c>
      <c r="B130" t="inlineStr">
        <is>
          <t>CB-CR 107 Werban</t>
        </is>
      </c>
      <c r="C130" t="inlineStr">
        <is>
          <t>SONSTIGES</t>
        </is>
      </c>
    </row>
    <row r="131">
      <c r="A131" t="inlineStr">
        <is>
          <t>W4102504973</t>
        </is>
      </c>
      <c r="B131" t="inlineStr">
        <is>
          <t>CB- TV 300E Hr. Kemper Mercedes</t>
        </is>
      </c>
      <c r="C131" t="inlineStr">
        <is>
          <t>SONSTIGES</t>
        </is>
      </c>
    </row>
    <row r="132">
      <c r="A132" t="inlineStr">
        <is>
          <t>W4102504974</t>
        </is>
      </c>
      <c r="B132" t="inlineStr">
        <is>
          <t>CB-TV 55E Volvo Herr Kay</t>
        </is>
      </c>
      <c r="C132" t="inlineStr">
        <is>
          <t>SONSTIGES</t>
        </is>
      </c>
    </row>
    <row r="133">
      <c r="A133" t="inlineStr">
        <is>
          <t>W4102504975</t>
        </is>
      </c>
      <c r="B133" t="inlineStr">
        <is>
          <t>PKW Frau Noack</t>
        </is>
      </c>
      <c r="C133" t="inlineStr">
        <is>
          <t>SONSTIGES</t>
        </is>
      </c>
    </row>
    <row r="134">
      <c r="A134" t="inlineStr">
        <is>
          <t>W4102504976</t>
        </is>
      </c>
      <c r="B134" t="inlineStr">
        <is>
          <t>CB-TV 104 Skoda Superb - Herr Kenski</t>
        </is>
      </c>
      <c r="C134" t="inlineStr">
        <is>
          <t>SONSTIGES</t>
        </is>
      </c>
    </row>
    <row r="135">
      <c r="A135" t="inlineStr">
        <is>
          <t>W4102602023</t>
        </is>
      </c>
      <c r="B135" t="inlineStr">
        <is>
          <t>nachlaufende Kosten</t>
        </is>
      </c>
      <c r="C135" t="inlineStr">
        <is>
          <t>SONSTIGES</t>
        </is>
      </c>
    </row>
    <row r="136">
      <c r="A136" t="inlineStr">
        <is>
          <t>W4102604411</t>
        </is>
      </c>
      <c r="B136" t="inlineStr">
        <is>
          <t>Vertrieb Region Ost</t>
        </is>
      </c>
      <c r="C136" t="inlineStr">
        <is>
          <t>SONSTIGES</t>
        </is>
      </c>
    </row>
    <row r="137">
      <c r="A137" t="inlineStr">
        <is>
          <t>W4102604414</t>
        </is>
      </c>
      <c r="B137" t="inlineStr">
        <is>
          <t>Halle Boxberg</t>
        </is>
      </c>
      <c r="C137" t="inlineStr">
        <is>
          <t>SONSTIGES</t>
        </is>
      </c>
    </row>
    <row r="138">
      <c r="A138" t="inlineStr">
        <is>
          <t>W4102604611</t>
        </is>
      </c>
      <c r="B138" t="inlineStr">
        <is>
          <t>Lager Regon Sued</t>
        </is>
      </c>
      <c r="C138" t="inlineStr">
        <is>
          <t>SONSTIGES</t>
        </is>
      </c>
    </row>
    <row r="139">
      <c r="A139" t="inlineStr">
        <is>
          <t>W4102604612</t>
        </is>
      </c>
      <c r="B139" t="inlineStr">
        <is>
          <t>Recyclingplatz Boxberg</t>
        </is>
      </c>
      <c r="C139" t="inlineStr">
        <is>
          <t>RECYCLING</t>
        </is>
      </c>
    </row>
    <row r="140">
      <c r="A140" t="inlineStr">
        <is>
          <t>W4102604938</t>
        </is>
      </c>
      <c r="B140" t="inlineStr">
        <is>
          <t>CB-AA 501 Spindler</t>
        </is>
      </c>
      <c r="C140" t="inlineStr">
        <is>
          <t>SONSTIGES</t>
        </is>
      </c>
    </row>
    <row r="141">
      <c r="A141" t="inlineStr">
        <is>
          <t>W4102604940</t>
        </is>
      </c>
      <c r="B141" t="inlineStr">
        <is>
          <t>CB-VT 475 Heilmann</t>
        </is>
      </c>
      <c r="C141" t="inlineStr">
        <is>
          <t>SONSTIGES</t>
        </is>
      </c>
    </row>
    <row r="142">
      <c r="A142" t="inlineStr">
        <is>
          <t>W4102604941</t>
        </is>
      </c>
      <c r="B142" t="inlineStr">
        <is>
          <t>CB-TV 22E Tayron Hr Lorenz</t>
        </is>
      </c>
      <c r="C142" t="inlineStr">
        <is>
          <t>SONSTIGES</t>
        </is>
      </c>
    </row>
    <row r="143">
      <c r="A143" t="inlineStr">
        <is>
          <t>W4102604949</t>
        </is>
      </c>
      <c r="B143" t="inlineStr">
        <is>
          <t>CB - VT 686 Passat Fr. Kolber</t>
        </is>
      </c>
      <c r="C143" t="inlineStr">
        <is>
          <t>SONSTIGES</t>
        </is>
      </c>
    </row>
    <row r="144">
      <c r="A144" t="inlineStr">
        <is>
          <t>W4102604950</t>
        </is>
      </c>
      <c r="B144" t="inlineStr">
        <is>
          <t>CB-TV 97 Hr. Mühlberg</t>
        </is>
      </c>
      <c r="C144" t="inlineStr">
        <is>
          <t>SONSTIGES</t>
        </is>
      </c>
    </row>
    <row r="145">
      <c r="A145" t="inlineStr">
        <is>
          <t>W4102604951</t>
        </is>
      </c>
      <c r="B145" t="inlineStr">
        <is>
          <t>PKW Herr Tymczy</t>
        </is>
      </c>
      <c r="C145" t="inlineStr">
        <is>
          <t>SONSTIGES</t>
        </is>
      </c>
    </row>
    <row r="146">
      <c r="A146" t="inlineStr">
        <is>
          <t>W4102607081</t>
        </is>
      </c>
      <c r="B146" t="inlineStr">
        <is>
          <t>Abbr.Lager  radioakt. Abfälle  Los 3/EWN</t>
        </is>
      </c>
      <c r="C146" t="inlineStr">
        <is>
          <t>SONSTIGES</t>
        </is>
      </c>
    </row>
    <row r="147">
      <c r="A147" t="inlineStr">
        <is>
          <t>W4102608246</t>
        </is>
      </c>
      <c r="B147" t="inlineStr">
        <is>
          <t>RB Kohlebunker/Brücke Lübbenau</t>
        </is>
      </c>
      <c r="C147" t="inlineStr">
        <is>
          <t>BAU</t>
        </is>
      </c>
    </row>
    <row r="148">
      <c r="A148" t="inlineStr">
        <is>
          <t>W4102651216</t>
        </is>
      </c>
      <c r="B148" t="inlineStr">
        <is>
          <t>Bagger CAT 326 07 FLN</t>
        </is>
      </c>
      <c r="C148" t="inlineStr">
        <is>
          <t>SONSTIGES</t>
        </is>
      </c>
    </row>
    <row r="149">
      <c r="A149" t="inlineStr">
        <is>
          <t>W4102652709</t>
        </is>
      </c>
      <c r="B149" t="inlineStr">
        <is>
          <t>CB-TV 96 Remault Kangoo</t>
        </is>
      </c>
      <c r="C149" t="inlineStr">
        <is>
          <t>SONSTIGES</t>
        </is>
      </c>
    </row>
    <row r="150">
      <c r="A150" t="inlineStr">
        <is>
          <t>W4102654411</t>
        </is>
      </c>
      <c r="B150" t="inlineStr">
        <is>
          <t>VVK Berlin</t>
        </is>
      </c>
      <c r="C150" t="inlineStr">
        <is>
          <t>SONSTIGES</t>
        </is>
      </c>
    </row>
    <row r="151">
      <c r="A151" t="inlineStr">
        <is>
          <t>W4102654611</t>
        </is>
      </c>
      <c r="B151" t="inlineStr">
        <is>
          <t>Lager Region Berlin</t>
        </is>
      </c>
      <c r="C151" t="inlineStr">
        <is>
          <t>SONSTIGES</t>
        </is>
      </c>
    </row>
    <row r="152">
      <c r="A152" t="inlineStr">
        <is>
          <t>W4102654945</t>
        </is>
      </c>
      <c r="B152" t="inlineStr">
        <is>
          <t>CB- TV 300E Hr. Kemper Mercedes</t>
        </is>
      </c>
      <c r="C152" t="inlineStr">
        <is>
          <t>SONSTIGES</t>
        </is>
      </c>
    </row>
    <row r="153">
      <c r="A153" t="inlineStr">
        <is>
          <t>W4102654946</t>
        </is>
      </c>
      <c r="B153" t="inlineStr">
        <is>
          <t>CB-TV 65 Hr Braun</t>
        </is>
      </c>
      <c r="C153" t="inlineStr">
        <is>
          <t>SONSTIGES</t>
        </is>
      </c>
    </row>
    <row r="154">
      <c r="A154" t="inlineStr">
        <is>
          <t>W4102654947</t>
        </is>
      </c>
      <c r="B154" t="inlineStr">
        <is>
          <t>CB-TV 200 Hr. Adil</t>
        </is>
      </c>
      <c r="C154" t="inlineStr">
        <is>
          <t>SONSTIGES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kostenart_nr</t>
        </is>
      </c>
      <c r="B1" s="2" t="inlineStr">
        <is>
          <t>bezeichnung</t>
        </is>
      </c>
      <c r="C1" s="2" t="inlineStr">
        <is>
          <t>klr_typ</t>
        </is>
      </c>
      <c r="D1" s="2" t="inlineStr">
        <is>
          <t>db_stufe</t>
        </is>
      </c>
      <c r="E1" s="2" t="inlineStr">
        <is>
          <t>guv_gruppe</t>
        </is>
      </c>
    </row>
    <row r="2">
      <c r="A2" t="inlineStr">
        <is>
          <t>201000.0</t>
        </is>
      </c>
      <c r="B2" t="inlineStr">
        <is>
          <t>Sonstige periodenfremde Aufwendungen</t>
        </is>
      </c>
      <c r="C2" t="inlineStr">
        <is>
          <t>AUTO</t>
        </is>
      </c>
      <c r="D2" t="n">
        <v>3</v>
      </c>
    </row>
    <row r="3">
      <c r="A3" t="inlineStr">
        <is>
          <t>340050.0</t>
        </is>
      </c>
      <c r="B3" t="inlineStr">
        <is>
          <t>Fremdleistungen Wartung/Pflege</t>
        </is>
      </c>
      <c r="C3" t="inlineStr">
        <is>
          <t>AUTO</t>
        </is>
      </c>
      <c r="D3" t="n">
        <v>1</v>
      </c>
    </row>
    <row r="4">
      <c r="A4" t="inlineStr">
        <is>
          <t>392000.0</t>
        </is>
      </c>
      <c r="B4" t="inlineStr">
        <is>
          <t>Bestandsveränderungen unfertige Erzeugni</t>
        </is>
      </c>
      <c r="C4" t="inlineStr">
        <is>
          <t>AUTO</t>
        </is>
      </c>
      <c r="D4" t="n">
        <v>3</v>
      </c>
    </row>
    <row r="5">
      <c r="A5" t="inlineStr">
        <is>
          <t>830510.0</t>
        </is>
      </c>
      <c r="B5" t="inlineStr">
        <is>
          <t>Erlöse Abrisse/Demontagen</t>
        </is>
      </c>
      <c r="C5" t="inlineStr">
        <is>
          <t>AUTO</t>
        </is>
      </c>
      <c r="D5" t="n">
        <v>1</v>
      </c>
    </row>
    <row r="6">
      <c r="A6" t="inlineStr">
        <is>
          <t>7611200.0</t>
        </is>
      </c>
      <c r="B6" t="inlineStr">
        <is>
          <t>Lohnverr. Gruppe 2</t>
        </is>
      </c>
      <c r="C6" t="inlineStr">
        <is>
          <t>AUTO</t>
        </is>
      </c>
      <c r="D6" t="n">
        <v>1</v>
      </c>
    </row>
    <row r="7">
      <c r="A7" t="inlineStr">
        <is>
          <t>7612000.0</t>
        </is>
      </c>
      <c r="B7" t="inlineStr">
        <is>
          <t>Verrechnung Geräte</t>
        </is>
      </c>
      <c r="C7" t="inlineStr">
        <is>
          <t>AUTO</t>
        </is>
      </c>
      <c r="D7" t="n">
        <v>3</v>
      </c>
    </row>
    <row r="8">
      <c r="A8" t="inlineStr">
        <is>
          <t>7801020.0</t>
        </is>
      </c>
      <c r="B8" t="inlineStr">
        <is>
          <t>Gemeinkostenzuschläge 12 % TVF Altwert</t>
        </is>
      </c>
      <c r="C8" t="inlineStr">
        <is>
          <t>AUTO</t>
        </is>
      </c>
      <c r="D8" t="n">
        <v>3</v>
      </c>
    </row>
    <row r="9">
      <c r="A9" t="inlineStr">
        <is>
          <t>330900.0</t>
        </is>
      </c>
      <c r="B9" t="inlineStr">
        <is>
          <t>Erhaltene Skonti</t>
        </is>
      </c>
      <c r="C9" t="inlineStr">
        <is>
          <t>AUTO</t>
        </is>
      </c>
      <c r="D9" t="n">
        <v>3</v>
      </c>
    </row>
    <row r="10">
      <c r="A10" t="inlineStr">
        <is>
          <t>401000.0</t>
        </is>
      </c>
      <c r="B10" t="inlineStr">
        <is>
          <t>Aufwand Diesel</t>
        </is>
      </c>
      <c r="C10" t="inlineStr">
        <is>
          <t>AUTO</t>
        </is>
      </c>
      <c r="D10" t="n">
        <v>1</v>
      </c>
    </row>
    <row r="11">
      <c r="A11" t="inlineStr">
        <is>
          <t>7611100.0</t>
        </is>
      </c>
      <c r="B11" t="inlineStr">
        <is>
          <t>Lohnverr. Gruppe1</t>
        </is>
      </c>
      <c r="C11" t="inlineStr">
        <is>
          <t>AUTO</t>
        </is>
      </c>
      <c r="D11" t="n">
        <v>1</v>
      </c>
    </row>
    <row r="12">
      <c r="A12" t="inlineStr">
        <is>
          <t>430120.0</t>
        </is>
      </c>
      <c r="B12" t="inlineStr">
        <is>
          <t>Sonstige Versicherungen</t>
        </is>
      </c>
      <c r="C12" t="inlineStr">
        <is>
          <t>AUTO</t>
        </is>
      </c>
      <c r="D12" t="n">
        <v>3</v>
      </c>
    </row>
    <row r="13">
      <c r="A13" t="inlineStr">
        <is>
          <t>411100.0</t>
        </is>
      </c>
      <c r="B13" t="inlineStr">
        <is>
          <t>Arbeitskleidung und Arbeitschutzbedarf</t>
        </is>
      </c>
      <c r="C13" t="inlineStr">
        <is>
          <t>AUTO</t>
        </is>
      </c>
      <c r="D13" t="n">
        <v>3</v>
      </c>
    </row>
    <row r="14">
      <c r="A14" t="inlineStr">
        <is>
          <t>420060.0</t>
        </is>
      </c>
      <c r="B14" t="inlineStr">
        <is>
          <t>Aufwand eigene Entsorgung</t>
        </is>
      </c>
      <c r="C14" t="inlineStr">
        <is>
          <t>AUTO</t>
        </is>
      </c>
      <c r="D14" t="n">
        <v>3</v>
      </c>
    </row>
    <row r="15">
      <c r="A15" t="inlineStr">
        <is>
          <t>420100.0</t>
        </is>
      </c>
      <c r="B15" t="inlineStr">
        <is>
          <t>Instandhaltung Betriebsausstattung</t>
        </is>
      </c>
      <c r="C15" t="inlineStr">
        <is>
          <t>AUTO</t>
        </is>
      </c>
      <c r="D15" t="n">
        <v>3</v>
      </c>
    </row>
    <row r="16">
      <c r="A16" t="inlineStr">
        <is>
          <t>840040.0</t>
        </is>
      </c>
      <c r="B16" t="inlineStr">
        <is>
          <t>Erlöse Verkauf HW Schrott</t>
        </is>
      </c>
      <c r="C16" t="inlineStr">
        <is>
          <t>AUTO</t>
        </is>
      </c>
      <c r="D16" t="n">
        <v>1</v>
      </c>
    </row>
    <row r="17">
      <c r="A17" t="inlineStr">
        <is>
          <t>420400.0</t>
        </is>
      </c>
      <c r="B17" t="inlineStr">
        <is>
          <t>Instandhaltung Geschäftsausstattung</t>
        </is>
      </c>
      <c r="C17" t="inlineStr">
        <is>
          <t>AUTO</t>
        </is>
      </c>
      <c r="D17" t="n">
        <v>3</v>
      </c>
    </row>
    <row r="18">
      <c r="A18" t="inlineStr">
        <is>
          <t>251000.0</t>
        </is>
      </c>
      <c r="B18" t="inlineStr">
        <is>
          <t>Sonstige periodenfremde Erträge</t>
        </is>
      </c>
      <c r="C18" t="inlineStr">
        <is>
          <t>AUTO</t>
        </is>
      </c>
      <c r="D18" t="n">
        <v>3</v>
      </c>
    </row>
    <row r="19">
      <c r="A19" t="inlineStr">
        <is>
          <t>340600.0</t>
        </is>
      </c>
      <c r="B19" t="inlineStr">
        <is>
          <t>Bezogene Leistung periodenfremd</t>
        </is>
      </c>
      <c r="C19" t="inlineStr">
        <is>
          <t>AUTO</t>
        </is>
      </c>
      <c r="D19" t="n">
        <v>3</v>
      </c>
    </row>
    <row r="20">
      <c r="A20" t="inlineStr">
        <is>
          <t>431020.0</t>
        </is>
      </c>
      <c r="B20" t="inlineStr">
        <is>
          <t>Mieten Plätze</t>
        </is>
      </c>
      <c r="C20" t="inlineStr">
        <is>
          <t>AUTO</t>
        </is>
      </c>
      <c r="D20" t="n">
        <v>3</v>
      </c>
    </row>
    <row r="21">
      <c r="A21" t="inlineStr">
        <is>
          <t>310080.0</t>
        </is>
      </c>
      <c r="B21" t="inlineStr">
        <is>
          <t>Technische Gase</t>
        </is>
      </c>
      <c r="C21" t="inlineStr">
        <is>
          <t>AUTO</t>
        </is>
      </c>
      <c r="D21" t="n">
        <v>3</v>
      </c>
    </row>
    <row r="22">
      <c r="A22" t="inlineStr">
        <is>
          <t>411900.0</t>
        </is>
      </c>
      <c r="B22" t="inlineStr">
        <is>
          <t>Sonstige Personalkosten</t>
        </is>
      </c>
      <c r="C22" t="inlineStr">
        <is>
          <t>AUTO</t>
        </is>
      </c>
      <c r="D22" t="n">
        <v>3</v>
      </c>
    </row>
    <row r="23">
      <c r="A23" t="inlineStr">
        <is>
          <t>420700.0</t>
        </is>
      </c>
      <c r="B23" t="inlineStr">
        <is>
          <t>Verbrauch Hilfs- u. Betriebsstoffe</t>
        </is>
      </c>
      <c r="C23" t="inlineStr">
        <is>
          <t>AUTO</t>
        </is>
      </c>
      <c r="D23" t="n">
        <v>3</v>
      </c>
    </row>
    <row r="24">
      <c r="A24" t="inlineStr">
        <is>
          <t>431041.0</t>
        </is>
      </c>
      <c r="B24" t="inlineStr">
        <is>
          <t>Miete Behälter</t>
        </is>
      </c>
      <c r="C24" t="inlineStr">
        <is>
          <t>AUTO</t>
        </is>
      </c>
      <c r="D24" t="n">
        <v>3</v>
      </c>
    </row>
    <row r="25">
      <c r="A25" t="inlineStr">
        <is>
          <t>450030.0</t>
        </is>
      </c>
      <c r="B25" t="inlineStr">
        <is>
          <t>Bewirtung zu 100 % abzugsfähig</t>
        </is>
      </c>
      <c r="C25" t="inlineStr">
        <is>
          <t>AUTO</t>
        </is>
      </c>
      <c r="D25" t="n">
        <v>3</v>
      </c>
    </row>
    <row r="26">
      <c r="A26" t="inlineStr">
        <is>
          <t>450080.0</t>
        </is>
      </c>
      <c r="B26" t="inlineStr">
        <is>
          <t>Werbung</t>
        </is>
      </c>
      <c r="C26" t="inlineStr">
        <is>
          <t>AUTO</t>
        </is>
      </c>
      <c r="D26" t="n">
        <v>3</v>
      </c>
    </row>
    <row r="27">
      <c r="A27" t="inlineStr">
        <is>
          <t>213200.0</t>
        </is>
      </c>
      <c r="B27" t="inlineStr">
        <is>
          <t>Avalgebühren und -provisionen</t>
        </is>
      </c>
      <c r="C27" t="inlineStr">
        <is>
          <t>AUTO</t>
        </is>
      </c>
      <c r="D27" t="n">
        <v>3</v>
      </c>
    </row>
    <row r="28">
      <c r="A28" t="inlineStr">
        <is>
          <t>890800.0</t>
        </is>
      </c>
      <c r="B28" t="inlineStr">
        <is>
          <t>Erlöse Zahlungsdifferenzen Debitoren</t>
        </is>
      </c>
      <c r="C28" t="inlineStr">
        <is>
          <t>AUTO</t>
        </is>
      </c>
      <c r="D28" t="n">
        <v>1</v>
      </c>
    </row>
    <row r="29">
      <c r="A29" t="inlineStr">
        <is>
          <t>890100.0</t>
        </is>
      </c>
      <c r="B29" t="inlineStr">
        <is>
          <t>Gewährte Skonti</t>
        </is>
      </c>
      <c r="C29" t="inlineStr">
        <is>
          <t>AUTO</t>
        </is>
      </c>
      <c r="D29" t="n">
        <v>3</v>
      </c>
    </row>
    <row r="30">
      <c r="A30" t="inlineStr">
        <is>
          <t>400030.0</t>
        </is>
      </c>
      <c r="B30" t="inlineStr">
        <is>
          <t>Instandhaltung selbstfahrende Arbeitsmas</t>
        </is>
      </c>
      <c r="C30" t="inlineStr">
        <is>
          <t>AUTO</t>
        </is>
      </c>
      <c r="D30" t="n">
        <v>3</v>
      </c>
    </row>
    <row r="31">
      <c r="A31" t="inlineStr">
        <is>
          <t>310900.0</t>
        </is>
      </c>
      <c r="B31" t="inlineStr">
        <is>
          <t>Sonstige Hilfs- und Betriebsstoffe</t>
        </is>
      </c>
      <c r="C31" t="inlineStr">
        <is>
          <t>AUTO</t>
        </is>
      </c>
      <c r="D31" t="n">
        <v>3</v>
      </c>
    </row>
    <row r="32">
      <c r="A32" t="inlineStr">
        <is>
          <t>420600.0</t>
        </is>
      </c>
      <c r="B32" t="inlineStr">
        <is>
          <t>Werkstattbedarf (Kleinwerkzeuge b.100,-D</t>
        </is>
      </c>
      <c r="C32" t="inlineStr">
        <is>
          <t>AUTO</t>
        </is>
      </c>
      <c r="D32" t="n">
        <v>3</v>
      </c>
    </row>
    <row r="33">
      <c r="A33" t="inlineStr">
        <is>
          <t>460010.0</t>
        </is>
      </c>
      <c r="B33" t="inlineStr">
        <is>
          <t>Büromaterial</t>
        </is>
      </c>
      <c r="C33" t="inlineStr">
        <is>
          <t>AUTO</t>
        </is>
      </c>
      <c r="D33" t="n">
        <v>1</v>
      </c>
    </row>
    <row r="34">
      <c r="A34" t="inlineStr">
        <is>
          <t>401050.0</t>
        </is>
      </c>
      <c r="B34" t="inlineStr">
        <is>
          <t>Autobahngebühren LKW</t>
        </is>
      </c>
      <c r="C34" t="inlineStr">
        <is>
          <t>AUTO</t>
        </is>
      </c>
      <c r="D34" t="n">
        <v>3</v>
      </c>
    </row>
    <row r="35">
      <c r="A35" t="inlineStr">
        <is>
          <t>460040.0</t>
        </is>
      </c>
      <c r="B35" t="inlineStr">
        <is>
          <t>Portogebühren</t>
        </is>
      </c>
      <c r="C35" t="inlineStr">
        <is>
          <t>AUTO</t>
        </is>
      </c>
      <c r="D35" t="n">
        <v>3</v>
      </c>
    </row>
    <row r="36">
      <c r="A36" t="inlineStr">
        <is>
          <t>450039.0</t>
        </is>
      </c>
      <c r="B36" t="inlineStr">
        <is>
          <t>Bewirtung zu 70 % abzugsfähig</t>
        </is>
      </c>
      <c r="C36" t="inlineStr">
        <is>
          <t>AUTO</t>
        </is>
      </c>
      <c r="D36" t="n">
        <v>3</v>
      </c>
    </row>
    <row r="37">
      <c r="A37" t="inlineStr">
        <is>
          <t>460060.0</t>
        </is>
      </c>
      <c r="B37" t="inlineStr">
        <is>
          <t>Kosten EDV</t>
        </is>
      </c>
      <c r="C37" t="inlineStr">
        <is>
          <t>AUTO</t>
        </is>
      </c>
      <c r="D37" t="n">
        <v>3</v>
      </c>
    </row>
    <row r="38">
      <c r="A38" t="inlineStr">
        <is>
          <t>300075.0</t>
        </is>
      </c>
      <c r="B38" t="inlineStr">
        <is>
          <t>Materialaufwand Abbruch u. Rückbau</t>
        </is>
      </c>
      <c r="C38" t="inlineStr">
        <is>
          <t>AUTO</t>
        </is>
      </c>
      <c r="D38" t="n">
        <v>1</v>
      </c>
    </row>
    <row r="39">
      <c r="A39" t="inlineStr">
        <is>
          <t>420012.0</t>
        </is>
      </c>
      <c r="B39" t="inlineStr">
        <is>
          <t>Sonstige Kosten Grundstücke und Gebäude</t>
        </is>
      </c>
      <c r="C39" t="inlineStr">
        <is>
          <t>AUTO</t>
        </is>
      </c>
      <c r="D39" t="n">
        <v>3</v>
      </c>
    </row>
    <row r="40">
      <c r="A40" t="inlineStr">
        <is>
          <t>860000.0</t>
        </is>
      </c>
      <c r="B40" t="inlineStr">
        <is>
          <t>Erlöse weiterberechnete Fremdkosten</t>
        </is>
      </c>
      <c r="C40" t="inlineStr">
        <is>
          <t>AUTO</t>
        </is>
      </c>
      <c r="D40" t="n">
        <v>1</v>
      </c>
    </row>
    <row r="41">
      <c r="A41" t="inlineStr">
        <is>
          <t>273500.0</t>
        </is>
      </c>
      <c r="B41" t="inlineStr">
        <is>
          <t>Erträge Auflösung von Rückstellungen (ac</t>
        </is>
      </c>
      <c r="C41" t="inlineStr">
        <is>
          <t>AUTO</t>
        </is>
      </c>
      <c r="D41" t="n">
        <v>3</v>
      </c>
    </row>
    <row r="42">
      <c r="A42" t="inlineStr">
        <is>
          <t>252000.0</t>
        </is>
      </c>
      <c r="B42" t="inlineStr">
        <is>
          <t>andere sonst.betriebl. Erträge</t>
        </is>
      </c>
      <c r="C42" t="inlineStr">
        <is>
          <t>AUTO</t>
        </is>
      </c>
      <c r="D42" t="n">
        <v>3</v>
      </c>
    </row>
    <row r="43">
      <c r="A43" t="inlineStr">
        <is>
          <t>289200.0</t>
        </is>
      </c>
      <c r="B43" t="inlineStr">
        <is>
          <t>Verr. kalk. Zinsen</t>
        </is>
      </c>
      <c r="C43" t="inlineStr">
        <is>
          <t>AUTO</t>
        </is>
      </c>
      <c r="D43" t="n">
        <v>3</v>
      </c>
    </row>
    <row r="44">
      <c r="A44" t="inlineStr">
        <is>
          <t>289300.0</t>
        </is>
      </c>
      <c r="B44" t="inlineStr">
        <is>
          <t>Verr. kalk. Abschreibungen</t>
        </is>
      </c>
      <c r="C44" t="inlineStr">
        <is>
          <t>AUTO</t>
        </is>
      </c>
      <c r="D44" t="n">
        <v>3</v>
      </c>
    </row>
    <row r="45">
      <c r="A45" t="inlineStr">
        <is>
          <t>340030.0</t>
        </is>
      </c>
      <c r="B45" t="inlineStr">
        <is>
          <t>Fremdleistungen Personal</t>
        </is>
      </c>
      <c r="C45" t="inlineStr">
        <is>
          <t>AUTO</t>
        </is>
      </c>
      <c r="D45" t="n">
        <v>1</v>
      </c>
    </row>
    <row r="46">
      <c r="A46" t="inlineStr">
        <is>
          <t>400121.0</t>
        </is>
      </c>
      <c r="B46" t="inlineStr">
        <is>
          <t>Anmietung PKW</t>
        </is>
      </c>
      <c r="C46" t="inlineStr">
        <is>
          <t>AUTO</t>
        </is>
      </c>
      <c r="D46" t="n">
        <v>3</v>
      </c>
    </row>
    <row r="47">
      <c r="A47" t="inlineStr">
        <is>
          <t>401010.0</t>
        </is>
      </c>
      <c r="B47" t="inlineStr">
        <is>
          <t>Benzin/Super</t>
        </is>
      </c>
      <c r="C47" t="inlineStr">
        <is>
          <t>AUTO</t>
        </is>
      </c>
      <c r="D47" t="n">
        <v>3</v>
      </c>
    </row>
    <row r="48">
      <c r="A48" t="inlineStr">
        <is>
          <t>411070.0</t>
        </is>
      </c>
      <c r="B48" t="inlineStr">
        <is>
          <t>Personalwerbung</t>
        </is>
      </c>
      <c r="C48" t="inlineStr">
        <is>
          <t>AUTO</t>
        </is>
      </c>
      <c r="D48" t="n">
        <v>3</v>
      </c>
    </row>
    <row r="49">
      <c r="A49" t="inlineStr">
        <is>
          <t>411090.0</t>
        </is>
      </c>
      <c r="B49" t="inlineStr">
        <is>
          <t>Schulung und Ausbildung</t>
        </is>
      </c>
      <c r="C49" t="inlineStr">
        <is>
          <t>AUTO</t>
        </is>
      </c>
      <c r="D49" t="n">
        <v>3</v>
      </c>
    </row>
    <row r="50">
      <c r="A50" t="inlineStr">
        <is>
          <t>420022.0</t>
        </is>
      </c>
      <c r="B50" t="inlineStr">
        <is>
          <t>Raumpflege fremde Gebäude</t>
        </is>
      </c>
      <c r="C50" t="inlineStr">
        <is>
          <t>AUTO</t>
        </is>
      </c>
      <c r="D50" t="n">
        <v>3</v>
      </c>
    </row>
    <row r="51">
      <c r="A51" t="inlineStr">
        <is>
          <t>420030.0</t>
        </is>
      </c>
      <c r="B51" t="inlineStr">
        <is>
          <t>Aufwand Energie</t>
        </is>
      </c>
      <c r="C51" t="inlineStr">
        <is>
          <t>AUTO</t>
        </is>
      </c>
      <c r="D51" t="n">
        <v>3</v>
      </c>
    </row>
    <row r="52">
      <c r="A52" t="inlineStr">
        <is>
          <t>420040.0</t>
        </is>
      </c>
      <c r="B52" t="inlineStr">
        <is>
          <t>Aufwand Wasser</t>
        </is>
      </c>
      <c r="C52" t="inlineStr">
        <is>
          <t>AUTO</t>
        </is>
      </c>
      <c r="D52" t="n">
        <v>3</v>
      </c>
    </row>
    <row r="53">
      <c r="A53" t="inlineStr">
        <is>
          <t>420500.0</t>
        </is>
      </c>
      <c r="B53" t="inlineStr">
        <is>
          <t>Instandhaltung Behälter</t>
        </is>
      </c>
      <c r="C53" t="inlineStr">
        <is>
          <t>AUTO</t>
        </is>
      </c>
      <c r="D53" t="n">
        <v>3</v>
      </c>
    </row>
    <row r="54">
      <c r="A54" t="inlineStr">
        <is>
          <t>430110.0</t>
        </is>
      </c>
      <c r="B54" t="inlineStr">
        <is>
          <t>Aufwendungen für Versicherungsschäden</t>
        </is>
      </c>
      <c r="C54" t="inlineStr">
        <is>
          <t>AUTO</t>
        </is>
      </c>
      <c r="D54" t="n">
        <v>3</v>
      </c>
    </row>
    <row r="55">
      <c r="A55" t="inlineStr">
        <is>
          <t>431010.0</t>
        </is>
      </c>
      <c r="B55" t="inlineStr">
        <is>
          <t>Mieten Räume</t>
        </is>
      </c>
      <c r="C55" t="inlineStr">
        <is>
          <t>AUTO</t>
        </is>
      </c>
      <c r="D55" t="n">
        <v>3</v>
      </c>
    </row>
    <row r="56">
      <c r="A56" t="inlineStr">
        <is>
          <t>450010.0</t>
        </is>
      </c>
      <c r="B56" t="inlineStr">
        <is>
          <t>Reisekosten Betriebsangehörige</t>
        </is>
      </c>
      <c r="C56" t="inlineStr">
        <is>
          <t>AUTO</t>
        </is>
      </c>
      <c r="D56" t="n">
        <v>3</v>
      </c>
    </row>
    <row r="57">
      <c r="A57" t="inlineStr">
        <is>
          <t>450011.0</t>
        </is>
      </c>
      <c r="B57" t="inlineStr">
        <is>
          <t>Verpfl.mehraufwand (pauschal)</t>
        </is>
      </c>
      <c r="C57" t="inlineStr">
        <is>
          <t>AUTO</t>
        </is>
      </c>
      <c r="D57" t="n">
        <v>3</v>
      </c>
    </row>
    <row r="58">
      <c r="A58" t="inlineStr">
        <is>
          <t>450050.0</t>
        </is>
      </c>
      <c r="B58" t="inlineStr">
        <is>
          <t>Allgemeine Repräsentationskosten</t>
        </is>
      </c>
      <c r="C58" t="inlineStr">
        <is>
          <t>AUTO</t>
        </is>
      </c>
      <c r="D58" t="n">
        <v>3</v>
      </c>
    </row>
    <row r="59">
      <c r="A59" t="inlineStr">
        <is>
          <t>450061.0</t>
        </is>
      </c>
      <c r="B59" t="inlineStr">
        <is>
          <t>Geschenke Zuwend. &lt; Wertgrenze Dritte/Ar</t>
        </is>
      </c>
      <c r="C59" t="inlineStr">
        <is>
          <t>AUTO</t>
        </is>
      </c>
      <c r="D59" t="n">
        <v>3</v>
      </c>
    </row>
    <row r="60">
      <c r="A60" t="inlineStr">
        <is>
          <t>460020.0</t>
        </is>
      </c>
      <c r="B60" t="inlineStr">
        <is>
          <t>Zeitungen, Zeitschrift.und Bücher</t>
        </is>
      </c>
      <c r="C60" t="inlineStr">
        <is>
          <t>AUTO</t>
        </is>
      </c>
      <c r="D60" t="n">
        <v>3</v>
      </c>
    </row>
    <row r="61">
      <c r="A61" t="inlineStr">
        <is>
          <t>460030.0</t>
        </is>
      </c>
      <c r="B61" t="inlineStr">
        <is>
          <t>Telekommunikation</t>
        </is>
      </c>
      <c r="C61" t="inlineStr">
        <is>
          <t>AUTO</t>
        </is>
      </c>
      <c r="D61" t="n">
        <v>3</v>
      </c>
    </row>
    <row r="62">
      <c r="A62" t="inlineStr">
        <is>
          <t>460200.0</t>
        </is>
      </c>
      <c r="B62" t="inlineStr">
        <is>
          <t>Beiträge Fachtagungen</t>
        </is>
      </c>
      <c r="C62" t="inlineStr">
        <is>
          <t>AUTO</t>
        </is>
      </c>
      <c r="D62" t="n">
        <v>3</v>
      </c>
    </row>
    <row r="63">
      <c r="A63" t="inlineStr">
        <is>
          <t>460900.0</t>
        </is>
      </c>
      <c r="B63" t="inlineStr">
        <is>
          <t>Sonstige Verwaltungskosten</t>
        </is>
      </c>
      <c r="C63" t="inlineStr">
        <is>
          <t>AUTO</t>
        </is>
      </c>
      <c r="D63" t="n">
        <v>3</v>
      </c>
    </row>
    <row r="64">
      <c r="A64" t="inlineStr">
        <is>
          <t>470010.0</t>
        </is>
      </c>
      <c r="B64" t="inlineStr">
        <is>
          <t>Anwalts- und Gerichtskosten</t>
        </is>
      </c>
      <c r="C64" t="inlineStr">
        <is>
          <t>AUTO</t>
        </is>
      </c>
      <c r="D64" t="n">
        <v>3</v>
      </c>
    </row>
    <row r="65">
      <c r="A65" t="inlineStr">
        <is>
          <t>470030.0</t>
        </is>
      </c>
      <c r="B65" t="inlineStr">
        <is>
          <t>Beratungskosten Allgemeine Verwaltung</t>
        </is>
      </c>
      <c r="C65" t="inlineStr">
        <is>
          <t>AUTO</t>
        </is>
      </c>
      <c r="D65" t="n">
        <v>3</v>
      </c>
    </row>
    <row r="66">
      <c r="A66" t="inlineStr">
        <is>
          <t>480100.0</t>
        </is>
      </c>
      <c r="B66" t="inlineStr">
        <is>
          <t>Normalabschreibung auf Anlagen</t>
        </is>
      </c>
      <c r="C66" t="inlineStr">
        <is>
          <t>AUTO</t>
        </is>
      </c>
      <c r="D66" t="n">
        <v>3</v>
      </c>
    </row>
    <row r="67">
      <c r="A67" t="inlineStr">
        <is>
          <t>480110.0</t>
        </is>
      </c>
      <c r="B67" t="inlineStr">
        <is>
          <t>Abschreibungen auf Anlagen (GWG)</t>
        </is>
      </c>
      <c r="C67" t="inlineStr">
        <is>
          <t>AUTO</t>
        </is>
      </c>
      <c r="D67" t="n">
        <v>3</v>
      </c>
    </row>
    <row r="68">
      <c r="A68" t="inlineStr">
        <is>
          <t>499200.0</t>
        </is>
      </c>
      <c r="B68" t="inlineStr">
        <is>
          <t>Kalk. Zinsen</t>
        </is>
      </c>
      <c r="C68" t="inlineStr">
        <is>
          <t>AUTO</t>
        </is>
      </c>
      <c r="D68" t="n">
        <v>3</v>
      </c>
    </row>
    <row r="69">
      <c r="A69" t="inlineStr">
        <is>
          <t>499300.0</t>
        </is>
      </c>
      <c r="B69" t="inlineStr">
        <is>
          <t>Kalk. Abschreibungen</t>
        </is>
      </c>
      <c r="C69" t="inlineStr">
        <is>
          <t>AUTO</t>
        </is>
      </c>
      <c r="D69" t="n">
        <v>3</v>
      </c>
    </row>
    <row r="70">
      <c r="A70" t="inlineStr">
        <is>
          <t>410130.0</t>
        </is>
      </c>
      <c r="B70" t="inlineStr">
        <is>
          <t>Sonderzahlungen und Prämien Gehaltsempfä</t>
        </is>
      </c>
      <c r="C70" t="inlineStr">
        <is>
          <t>AUTO</t>
        </is>
      </c>
      <c r="D70" t="n">
        <v>3</v>
      </c>
    </row>
    <row r="71">
      <c r="A71" t="inlineStr">
        <is>
          <t>400035.0</t>
        </is>
      </c>
      <c r="B71" t="inlineStr">
        <is>
          <t>Instandhaltung Miet-und Leasingfahrzeuge</t>
        </is>
      </c>
      <c r="C71" t="inlineStr">
        <is>
          <t>AUTO</t>
        </is>
      </c>
      <c r="D71" t="n">
        <v>3</v>
      </c>
    </row>
    <row r="72">
      <c r="A72" t="inlineStr">
        <is>
          <t>400040.0</t>
        </is>
      </c>
      <c r="B72" t="inlineStr">
        <is>
          <t>DEKRA / TÜV / sonstige Gebühren Fuhrpark</t>
        </is>
      </c>
      <c r="C72" t="inlineStr">
        <is>
          <t>AUTO</t>
        </is>
      </c>
      <c r="D72" t="n">
        <v>3</v>
      </c>
    </row>
    <row r="73">
      <c r="A73" t="inlineStr">
        <is>
          <t>401030.0</t>
        </is>
      </c>
      <c r="B73" t="inlineStr">
        <is>
          <t>Kfz-Steuern</t>
        </is>
      </c>
      <c r="C73" t="inlineStr">
        <is>
          <t>AUTO</t>
        </is>
      </c>
      <c r="D73" t="n">
        <v>3</v>
      </c>
    </row>
    <row r="74">
      <c r="A74" t="inlineStr">
        <is>
          <t>440050.0</t>
        </is>
      </c>
      <c r="B74" t="inlineStr">
        <is>
          <t>Transportkosten (außerhalb Recy)</t>
        </is>
      </c>
      <c r="C74" t="inlineStr">
        <is>
          <t>AUTO</t>
        </is>
      </c>
      <c r="D74" t="n">
        <v>1</v>
      </c>
    </row>
    <row r="75">
      <c r="A75" t="inlineStr">
        <is>
          <t>400011.0</t>
        </is>
      </c>
      <c r="B75" t="inlineStr">
        <is>
          <t>Reifenkosten</t>
        </is>
      </c>
      <c r="C75" t="inlineStr">
        <is>
          <t>AUTO</t>
        </is>
      </c>
      <c r="D75" t="n">
        <v>3</v>
      </c>
    </row>
    <row r="76">
      <c r="A76" t="inlineStr">
        <is>
          <t>400020.0</t>
        </is>
      </c>
      <c r="B76" t="inlineStr">
        <is>
          <t>Instandhaltung Personenkraftwagen</t>
        </is>
      </c>
      <c r="C76" t="inlineStr">
        <is>
          <t>AUTO</t>
        </is>
      </c>
      <c r="D76" t="n">
        <v>3</v>
      </c>
    </row>
    <row r="77">
      <c r="A77" t="inlineStr">
        <is>
          <t>401040.0</t>
        </is>
      </c>
      <c r="B77" t="inlineStr">
        <is>
          <t>Kfz-Versicherungen</t>
        </is>
      </c>
      <c r="C77" t="inlineStr">
        <is>
          <t>AUTO</t>
        </is>
      </c>
      <c r="D77" t="n">
        <v>3</v>
      </c>
    </row>
    <row r="78">
      <c r="A78" t="inlineStr">
        <is>
          <t>400122.0</t>
        </is>
      </c>
      <c r="B78" t="inlineStr">
        <is>
          <t>Leasing PKW</t>
        </is>
      </c>
      <c r="C78" t="inlineStr">
        <is>
          <t>AUTO</t>
        </is>
      </c>
      <c r="D78" t="n">
        <v>3</v>
      </c>
    </row>
    <row r="79">
      <c r="A79" t="inlineStr">
        <is>
          <t>210000.0</t>
        </is>
      </c>
      <c r="B79" t="inlineStr">
        <is>
          <t>Übrige Zinsen und ähnliche Aufwendungen</t>
        </is>
      </c>
      <c r="C79" t="inlineStr">
        <is>
          <t>AUTO</t>
        </is>
      </c>
      <c r="D79" t="n">
        <v>3</v>
      </c>
    </row>
    <row r="80">
      <c r="A80" t="inlineStr">
        <is>
          <t>310010.0</t>
        </is>
      </c>
      <c r="B80" t="inlineStr">
        <is>
          <t>Reinigungsmaterial</t>
        </is>
      </c>
      <c r="C80" t="inlineStr">
        <is>
          <t>AUTO</t>
        </is>
      </c>
      <c r="D80" t="n">
        <v>1</v>
      </c>
    </row>
    <row r="81">
      <c r="A81" t="inlineStr">
        <is>
          <t>420015.0</t>
        </is>
      </c>
      <c r="B81" t="inlineStr">
        <is>
          <t>Instandhaltungskosten fremde  Gebäude</t>
        </is>
      </c>
      <c r="C81" t="inlineStr">
        <is>
          <t>AUTO</t>
        </is>
      </c>
      <c r="D81" t="n">
        <v>3</v>
      </c>
    </row>
    <row r="82">
      <c r="A82" t="inlineStr">
        <is>
          <t>450012.0</t>
        </is>
      </c>
      <c r="B82" t="inlineStr">
        <is>
          <t>Kilometergeld (pauschal)</t>
        </is>
      </c>
      <c r="C82" t="inlineStr">
        <is>
          <t>AUTO</t>
        </is>
      </c>
      <c r="D82" t="n">
        <v>3</v>
      </c>
    </row>
    <row r="83">
      <c r="A83" t="inlineStr">
        <is>
          <t>450013.0</t>
        </is>
      </c>
      <c r="B83" t="inlineStr">
        <is>
          <t>Kürzung Verpfleg.mehraufwand</t>
        </is>
      </c>
      <c r="C83" t="inlineStr">
        <is>
          <t>AUTO</t>
        </is>
      </c>
      <c r="D83" t="n">
        <v>3</v>
      </c>
    </row>
    <row r="84">
      <c r="A84" t="inlineStr">
        <is>
          <t>401020.0</t>
        </is>
      </c>
      <c r="B84" t="inlineStr">
        <is>
          <t>Öle und Fette</t>
        </is>
      </c>
      <c r="C84" t="inlineStr">
        <is>
          <t>AUTO</t>
        </is>
      </c>
      <c r="D84" t="n">
        <v>3</v>
      </c>
    </row>
    <row r="85">
      <c r="A85" t="inlineStr">
        <is>
          <t>274200.0</t>
        </is>
      </c>
      <c r="B85" t="inlineStr">
        <is>
          <t>Versicherungsentschädigungen</t>
        </is>
      </c>
      <c r="C85" t="inlineStr">
        <is>
          <t>AUTO</t>
        </is>
      </c>
      <c r="D85" t="n">
        <v>3</v>
      </c>
    </row>
    <row r="86">
      <c r="A86" t="inlineStr">
        <is>
          <t>460090.0</t>
        </is>
      </c>
      <c r="B86" t="inlineStr">
        <is>
          <t>Schreib- und Verwaltungsgebühren an Behö</t>
        </is>
      </c>
      <c r="C86" t="inlineStr">
        <is>
          <t>AUTO</t>
        </is>
      </c>
      <c r="D86" t="n">
        <v>3</v>
      </c>
    </row>
    <row r="87">
      <c r="A87" t="inlineStr">
        <is>
          <t>213101.0</t>
        </is>
      </c>
      <c r="B87" t="inlineStr">
        <is>
          <t>Zinsen Factoring</t>
        </is>
      </c>
      <c r="C87" t="inlineStr">
        <is>
          <t>AUTO</t>
        </is>
      </c>
      <c r="D87" t="n">
        <v>3</v>
      </c>
    </row>
    <row r="88">
      <c r="A88" t="inlineStr">
        <is>
          <t>265900.0</t>
        </is>
      </c>
      <c r="B88" t="inlineStr">
        <is>
          <t>Sonstige Zinsen und ähnl. Erträge verb.U</t>
        </is>
      </c>
      <c r="C88" t="inlineStr">
        <is>
          <t>AUTO</t>
        </is>
      </c>
      <c r="D88" t="n">
        <v>3</v>
      </c>
    </row>
    <row r="89">
      <c r="A89" t="inlineStr">
        <is>
          <t>411050.0</t>
        </is>
      </c>
      <c r="B89" t="inlineStr">
        <is>
          <t>Personalversicherung</t>
        </is>
      </c>
      <c r="C89" t="inlineStr">
        <is>
          <t>AUTO</t>
        </is>
      </c>
      <c r="D89" t="n">
        <v>3</v>
      </c>
    </row>
    <row r="90">
      <c r="A90" t="inlineStr">
        <is>
          <t>430121.0</t>
        </is>
      </c>
      <c r="B90" t="inlineStr">
        <is>
          <t>Warenkreditversicherung</t>
        </is>
      </c>
      <c r="C90" t="inlineStr">
        <is>
          <t>AUTO</t>
        </is>
      </c>
      <c r="D90" t="n">
        <v>3</v>
      </c>
    </row>
    <row r="91">
      <c r="A91" t="inlineStr">
        <is>
          <t>450020.0</t>
        </is>
      </c>
      <c r="B91" t="inlineStr">
        <is>
          <t>Reisekosten Betriebsfremde</t>
        </is>
      </c>
      <c r="C91" t="inlineStr">
        <is>
          <t>AUTO</t>
        </is>
      </c>
      <c r="D91" t="n">
        <v>3</v>
      </c>
    </row>
    <row r="92">
      <c r="A92" t="inlineStr">
        <is>
          <t>460080.0</t>
        </is>
      </c>
      <c r="B92" t="inlineStr">
        <is>
          <t>Pflichtbeiträge zu Verbänden</t>
        </is>
      </c>
      <c r="C92" t="inlineStr">
        <is>
          <t>AUTO</t>
        </is>
      </c>
      <c r="D92" t="n">
        <v>3</v>
      </c>
    </row>
    <row r="93">
      <c r="A93" t="inlineStr">
        <is>
          <t>460081.0</t>
        </is>
      </c>
      <c r="B93" t="inlineStr">
        <is>
          <t>Beiträge zu sonstigen Vereinigungen</t>
        </is>
      </c>
      <c r="C93" t="inlineStr">
        <is>
          <t>AUTO</t>
        </is>
      </c>
      <c r="D93" t="n">
        <v>3</v>
      </c>
    </row>
    <row r="94">
      <c r="A94" t="inlineStr">
        <is>
          <t>470020.0</t>
        </is>
      </c>
      <c r="B94" t="inlineStr">
        <is>
          <t>kaufm. Beratung und Buchführung</t>
        </is>
      </c>
      <c r="C94" t="inlineStr">
        <is>
          <t>AUTO</t>
        </is>
      </c>
      <c r="D94" t="n">
        <v>3</v>
      </c>
    </row>
    <row r="95">
      <c r="A95" t="inlineStr">
        <is>
          <t>470025.0</t>
        </is>
      </c>
      <c r="B95" t="inlineStr">
        <is>
          <t>Steuerberatungskosten</t>
        </is>
      </c>
      <c r="C95" t="inlineStr">
        <is>
          <t>AUTO</t>
        </is>
      </c>
      <c r="D95" t="n">
        <v>3</v>
      </c>
    </row>
    <row r="96">
      <c r="A96" t="inlineStr">
        <is>
          <t>470036.0</t>
        </is>
      </c>
      <c r="B96" t="inlineStr">
        <is>
          <t>Aufwendungen Umlage zentrale Verwaltung</t>
        </is>
      </c>
      <c r="C96" t="inlineStr">
        <is>
          <t>AUTO</t>
        </is>
      </c>
      <c r="D96" t="n">
        <v>3</v>
      </c>
    </row>
    <row r="97">
      <c r="A97" t="inlineStr">
        <is>
          <t>460065.0</t>
        </is>
      </c>
      <c r="B97" t="inlineStr">
        <is>
          <t>IT Lizenzgebühren</t>
        </is>
      </c>
      <c r="C97" t="inlineStr">
        <is>
          <t>AUTO</t>
        </is>
      </c>
      <c r="D97" t="n">
        <v>3</v>
      </c>
    </row>
    <row r="98">
      <c r="A98" t="inlineStr">
        <is>
          <t>220000.0</t>
        </is>
      </c>
      <c r="B98" t="inlineStr">
        <is>
          <t>Körperschaftsteuer</t>
        </is>
      </c>
      <c r="C98" t="inlineStr">
        <is>
          <t>AUTO</t>
        </is>
      </c>
      <c r="D98" t="n">
        <v>3</v>
      </c>
    </row>
    <row r="99">
      <c r="A99" t="inlineStr">
        <is>
          <t>221200.0</t>
        </is>
      </c>
      <c r="B99" t="inlineStr">
        <is>
          <t>Solidaritätszuschlag</t>
        </is>
      </c>
      <c r="C99" t="inlineStr">
        <is>
          <t>AUTO</t>
        </is>
      </c>
      <c r="D99" t="n">
        <v>3</v>
      </c>
    </row>
    <row r="100">
      <c r="A100" t="inlineStr">
        <is>
          <t>430010.0</t>
        </is>
      </c>
      <c r="B100" t="inlineStr">
        <is>
          <t>Vermögensteuer, Grundsteuer u.a.</t>
        </is>
      </c>
      <c r="C100" t="inlineStr">
        <is>
          <t>AUTO</t>
        </is>
      </c>
      <c r="D100" t="n">
        <v>3</v>
      </c>
    </row>
    <row r="101">
      <c r="A101" t="inlineStr">
        <is>
          <t>430020.0</t>
        </is>
      </c>
      <c r="B101" t="inlineStr">
        <is>
          <t>Gewerbeertragsteuer</t>
        </is>
      </c>
      <c r="C101" t="inlineStr">
        <is>
          <t>AUTO</t>
        </is>
      </c>
      <c r="D101" t="n">
        <v>3</v>
      </c>
    </row>
    <row r="102">
      <c r="A102" t="inlineStr">
        <is>
          <t>401015.0</t>
        </is>
      </c>
      <c r="B102" t="inlineStr">
        <is>
          <t>Alternative Antriebe (u.a. Strom, Wasser</t>
        </is>
      </c>
      <c r="C102" t="inlineStr">
        <is>
          <t>AUTO</t>
        </is>
      </c>
      <c r="D102" t="n">
        <v>3</v>
      </c>
    </row>
    <row r="103">
      <c r="A103" t="inlineStr">
        <is>
          <t>310040.0</t>
        </is>
      </c>
      <c r="B103" t="inlineStr">
        <is>
          <t>Gas (vornehmlich industr. Anlagen)</t>
        </is>
      </c>
      <c r="C103" t="inlineStr">
        <is>
          <t>AUTO</t>
        </is>
      </c>
      <c r="D103" t="n">
        <v>3</v>
      </c>
    </row>
    <row r="104">
      <c r="A104" t="inlineStr">
        <is>
          <t>420021.0</t>
        </is>
      </c>
      <c r="B104" t="inlineStr">
        <is>
          <t>Raumpflege eigene Gebäude</t>
        </is>
      </c>
      <c r="C104" t="inlineStr">
        <is>
          <t>AUTO</t>
        </is>
      </c>
      <c r="D104" t="n">
        <v>3</v>
      </c>
    </row>
    <row r="105">
      <c r="A105" t="inlineStr">
        <is>
          <t>420450.0</t>
        </is>
      </c>
      <c r="B105" t="inlineStr">
        <is>
          <t>Instandh./Reparatur/Wartung Miet- u. Lea</t>
        </is>
      </c>
      <c r="C105" t="inlineStr">
        <is>
          <t>AUTO</t>
        </is>
      </c>
      <c r="D105" t="n">
        <v>3</v>
      </c>
    </row>
    <row r="106">
      <c r="A106" t="inlineStr">
        <is>
          <t>431090.0</t>
        </is>
      </c>
      <c r="B106" t="inlineStr">
        <is>
          <t>Sonstige Mieten</t>
        </is>
      </c>
      <c r="C106" t="inlineStr">
        <is>
          <t>AUTO</t>
        </is>
      </c>
      <c r="D106" t="n">
        <v>3</v>
      </c>
    </row>
    <row r="107">
      <c r="A107" t="inlineStr">
        <is>
          <t>450081.0</t>
        </is>
      </c>
      <c r="B107" t="inlineStr">
        <is>
          <t>Sponsoring</t>
        </is>
      </c>
      <c r="C107" t="inlineStr">
        <is>
          <t>AUTO</t>
        </is>
      </c>
      <c r="D107" t="n">
        <v>3</v>
      </c>
    </row>
    <row r="108">
      <c r="A108" t="inlineStr">
        <is>
          <t>210900.0</t>
        </is>
      </c>
      <c r="B108" t="inlineStr">
        <is>
          <t>Zinsaufwendungen an verbundene Unternehm</t>
        </is>
      </c>
      <c r="C108" t="inlineStr">
        <is>
          <t>AUTO</t>
        </is>
      </c>
      <c r="D108" t="n">
        <v>3</v>
      </c>
    </row>
    <row r="109">
      <c r="A109" t="inlineStr">
        <is>
          <t>400010.0</t>
        </is>
      </c>
      <c r="B109" t="inlineStr">
        <is>
          <t>Instandhaltung Lastkraftwagen</t>
        </is>
      </c>
      <c r="C109" t="inlineStr">
        <is>
          <t>AUTO</t>
        </is>
      </c>
      <c r="D109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geschaeftsjahr</t>
        </is>
      </c>
      <c r="B1" s="2" t="inlineStr">
        <is>
          <t>periode</t>
        </is>
      </c>
      <c r="C1" s="2" t="inlineStr">
        <is>
          <t>summe_wert</t>
        </is>
      </c>
      <c r="D1" s="2" t="inlineStr">
        <is>
          <t>anzahl</t>
        </is>
      </c>
    </row>
    <row r="2">
      <c r="C2" t="n">
        <v>-361720.87</v>
      </c>
      <c r="D2" t="n">
        <v>1</v>
      </c>
    </row>
    <row r="3">
      <c r="A3" t="n">
        <v>2026</v>
      </c>
      <c r="B3" t="n">
        <v>1</v>
      </c>
      <c r="C3" t="n">
        <v>3400.72</v>
      </c>
      <c r="D3" t="n">
        <v>1114</v>
      </c>
    </row>
    <row r="4">
      <c r="A4" t="n">
        <v>2026</v>
      </c>
      <c r="B4" t="n">
        <v>2</v>
      </c>
      <c r="C4" t="n">
        <v>-102745.45</v>
      </c>
      <c r="D4" t="n">
        <v>1452</v>
      </c>
    </row>
    <row r="5">
      <c r="A5" t="n">
        <v>2026</v>
      </c>
      <c r="B5" t="n">
        <v>3</v>
      </c>
      <c r="C5" t="n">
        <v>-26736.68</v>
      </c>
      <c r="D5" t="n">
        <v>1667</v>
      </c>
    </row>
    <row r="6">
      <c r="A6" t="n">
        <v>2026</v>
      </c>
      <c r="B6" t="n">
        <v>4</v>
      </c>
      <c r="C6" t="n">
        <v>-121673.39</v>
      </c>
      <c r="D6" t="n">
        <v>1618</v>
      </c>
    </row>
    <row r="7">
      <c r="A7" t="n">
        <v>2026</v>
      </c>
      <c r="B7" t="n">
        <v>5</v>
      </c>
      <c r="C7" t="n">
        <v>60196.64</v>
      </c>
      <c r="D7" t="n">
        <v>1481</v>
      </c>
    </row>
    <row r="8">
      <c r="A8" t="n">
        <v>2026</v>
      </c>
      <c r="B8" t="n">
        <v>6</v>
      </c>
      <c r="C8" t="n">
        <v>-40137.29</v>
      </c>
      <c r="D8" t="n">
        <v>1607</v>
      </c>
    </row>
    <row r="9">
      <c r="A9" t="n">
        <v>2026</v>
      </c>
      <c r="B9" t="n">
        <v>7</v>
      </c>
      <c r="C9" t="n">
        <v>-134025.42</v>
      </c>
      <c r="D9" t="n">
        <v>1569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auftrag</t>
        </is>
      </c>
      <c r="B1" s="2" t="inlineStr">
        <is>
          <t>summe_wert</t>
        </is>
      </c>
      <c r="C1" s="2" t="inlineStr">
        <is>
          <t>anzahl</t>
        </is>
      </c>
    </row>
    <row r="2">
      <c r="A2" t="inlineStr">
        <is>
          <t>W4102154411</t>
        </is>
      </c>
      <c r="B2" t="n">
        <v>-471490.44</v>
      </c>
      <c r="C2" t="n">
        <v>599</v>
      </c>
    </row>
    <row r="3">
      <c r="B3" t="n">
        <v>-361720.87</v>
      </c>
      <c r="C3" t="n">
        <v>1</v>
      </c>
    </row>
    <row r="4">
      <c r="A4" t="inlineStr">
        <is>
          <t>P4102307433</t>
        </is>
      </c>
      <c r="B4" t="n">
        <v>-340000</v>
      </c>
      <c r="C4" t="n">
        <v>381</v>
      </c>
    </row>
    <row r="5">
      <c r="A5" t="inlineStr">
        <is>
          <t>W4102504222</t>
        </is>
      </c>
      <c r="B5" t="n">
        <v>330945.91</v>
      </c>
      <c r="C5" t="n">
        <v>448</v>
      </c>
    </row>
    <row r="6">
      <c r="A6" t="inlineStr">
        <is>
          <t>W4102604411</t>
        </is>
      </c>
      <c r="B6" t="n">
        <v>-311659.58</v>
      </c>
      <c r="C6" t="n">
        <v>388</v>
      </c>
    </row>
    <row r="7">
      <c r="A7" t="inlineStr">
        <is>
          <t>P4102157453</t>
        </is>
      </c>
      <c r="B7" t="n">
        <v>310103.49</v>
      </c>
      <c r="C7" t="n">
        <v>321</v>
      </c>
    </row>
    <row r="8">
      <c r="A8" t="inlineStr">
        <is>
          <t>W4102304411</t>
        </is>
      </c>
      <c r="B8" t="n">
        <v>-239877.66</v>
      </c>
      <c r="C8" t="n">
        <v>459</v>
      </c>
    </row>
    <row r="9">
      <c r="A9" t="inlineStr">
        <is>
          <t>W4102504951</t>
        </is>
      </c>
      <c r="B9" t="n">
        <v>101941.74</v>
      </c>
      <c r="C9" t="n">
        <v>28</v>
      </c>
    </row>
    <row r="10">
      <c r="A10" t="inlineStr">
        <is>
          <t>P4102608263</t>
        </is>
      </c>
      <c r="B10" t="n">
        <v>-69639.61</v>
      </c>
      <c r="C10" t="n">
        <v>296</v>
      </c>
    </row>
    <row r="11">
      <c r="A11" t="inlineStr">
        <is>
          <t>P4102307444</t>
        </is>
      </c>
      <c r="B11" t="n">
        <v>-66000</v>
      </c>
      <c r="C11" t="n">
        <v>103</v>
      </c>
    </row>
    <row r="12">
      <c r="A12" t="inlineStr">
        <is>
          <t>P4102658225</t>
        </is>
      </c>
      <c r="B12" t="n">
        <v>63000</v>
      </c>
      <c r="C12" t="n">
        <v>9</v>
      </c>
    </row>
    <row r="13">
      <c r="A13" t="inlineStr">
        <is>
          <t>W4102304611</t>
        </is>
      </c>
      <c r="B13" t="n">
        <v>60077.82</v>
      </c>
      <c r="C13" t="n">
        <v>212</v>
      </c>
    </row>
    <row r="14">
      <c r="A14" t="inlineStr">
        <is>
          <t>W4102504262</t>
        </is>
      </c>
      <c r="B14" t="n">
        <v>56472.63</v>
      </c>
      <c r="C14" t="n">
        <v>119</v>
      </c>
    </row>
    <row r="15">
      <c r="A15" t="inlineStr">
        <is>
          <t>W4102654411</t>
        </is>
      </c>
      <c r="B15" t="n">
        <v>-50206.3</v>
      </c>
      <c r="C15" t="n">
        <v>232</v>
      </c>
    </row>
    <row r="16">
      <c r="A16" t="inlineStr">
        <is>
          <t>W4102504104</t>
        </is>
      </c>
      <c r="B16" t="n">
        <v>44726</v>
      </c>
      <c r="C16" t="n">
        <v>10</v>
      </c>
    </row>
    <row r="17">
      <c r="A17" t="inlineStr">
        <is>
          <t>P4102307449</t>
        </is>
      </c>
      <c r="B17" t="n">
        <v>-20000</v>
      </c>
      <c r="C17" t="n">
        <v>13</v>
      </c>
    </row>
    <row r="18">
      <c r="A18" t="inlineStr">
        <is>
          <t>P4102307435</t>
        </is>
      </c>
      <c r="B18" t="n">
        <v>18000</v>
      </c>
      <c r="C18" t="n">
        <v>101</v>
      </c>
    </row>
    <row r="19">
      <c r="A19" t="inlineStr">
        <is>
          <t>W4102604611</t>
        </is>
      </c>
      <c r="B19" t="n">
        <v>15961.25</v>
      </c>
      <c r="C19" t="n">
        <v>138</v>
      </c>
    </row>
    <row r="20">
      <c r="A20" t="inlineStr">
        <is>
          <t>W4102654611</t>
        </is>
      </c>
      <c r="B20" t="n">
        <v>15033.67</v>
      </c>
      <c r="C20" t="n">
        <v>127</v>
      </c>
    </row>
    <row r="21">
      <c r="A21" t="inlineStr">
        <is>
          <t>W4102154611</t>
        </is>
      </c>
      <c r="B21" t="n">
        <v>13093.46</v>
      </c>
      <c r="C21" t="n">
        <v>155</v>
      </c>
    </row>
    <row r="22">
      <c r="A22" t="inlineStr">
        <is>
          <t>W4102604941</t>
        </is>
      </c>
      <c r="B22" t="n">
        <v>12746.6</v>
      </c>
      <c r="C22" t="n">
        <v>47</v>
      </c>
    </row>
    <row r="23">
      <c r="A23" t="inlineStr">
        <is>
          <t>W4102654945</t>
        </is>
      </c>
      <c r="B23" t="n">
        <v>11745.91</v>
      </c>
      <c r="C23" t="n">
        <v>52</v>
      </c>
    </row>
    <row r="24">
      <c r="A24" t="inlineStr">
        <is>
          <t>W4102504973</t>
        </is>
      </c>
      <c r="B24" t="n">
        <v>11063.62</v>
      </c>
      <c r="C24" t="n">
        <v>52</v>
      </c>
    </row>
    <row r="25">
      <c r="A25" t="inlineStr">
        <is>
          <t>W4102154967</t>
        </is>
      </c>
      <c r="B25" t="n">
        <v>10366.26</v>
      </c>
      <c r="C25" t="n">
        <v>38</v>
      </c>
    </row>
    <row r="26">
      <c r="A26" t="inlineStr">
        <is>
          <t>W4102504974</t>
        </is>
      </c>
      <c r="B26" t="n">
        <v>9558.190000000001</v>
      </c>
      <c r="C26" t="n">
        <v>41</v>
      </c>
    </row>
    <row r="27">
      <c r="A27" t="inlineStr">
        <is>
          <t>W4102304946</t>
        </is>
      </c>
      <c r="B27" t="n">
        <v>9294.379999999999</v>
      </c>
      <c r="C27" t="n">
        <v>29</v>
      </c>
    </row>
    <row r="28">
      <c r="A28" t="inlineStr">
        <is>
          <t>W4102304943</t>
        </is>
      </c>
      <c r="B28" t="n">
        <v>9180.02</v>
      </c>
      <c r="C28" t="n">
        <v>39</v>
      </c>
    </row>
    <row r="29">
      <c r="A29" t="inlineStr">
        <is>
          <t>W4102604938</t>
        </is>
      </c>
      <c r="B29" t="n">
        <v>8164.08</v>
      </c>
      <c r="C29" t="n">
        <v>42</v>
      </c>
    </row>
    <row r="30">
      <c r="A30" t="inlineStr">
        <is>
          <t>W4102154964</t>
        </is>
      </c>
      <c r="B30" t="n">
        <v>7961.55</v>
      </c>
      <c r="C30" t="n">
        <v>36</v>
      </c>
    </row>
    <row r="31">
      <c r="A31" t="inlineStr">
        <is>
          <t>W4102154966</t>
        </is>
      </c>
      <c r="B31" t="n">
        <v>7899.95</v>
      </c>
      <c r="C31" t="n">
        <v>19</v>
      </c>
    </row>
    <row r="32">
      <c r="A32" t="inlineStr">
        <is>
          <t>W4102154501</t>
        </is>
      </c>
      <c r="B32" t="n">
        <v>7581</v>
      </c>
      <c r="C32" t="n">
        <v>9</v>
      </c>
    </row>
    <row r="33">
      <c r="A33" t="inlineStr">
        <is>
          <t>W4102604950</t>
        </is>
      </c>
      <c r="B33" t="n">
        <v>6429</v>
      </c>
      <c r="C33" t="n">
        <v>35</v>
      </c>
    </row>
    <row r="34">
      <c r="A34" t="inlineStr">
        <is>
          <t>W4102608246</t>
        </is>
      </c>
      <c r="B34" t="n">
        <v>6125</v>
      </c>
      <c r="C34" t="n">
        <v>7</v>
      </c>
    </row>
    <row r="35">
      <c r="A35" t="inlineStr">
        <is>
          <t>W4102604949</t>
        </is>
      </c>
      <c r="B35" t="n">
        <v>5971.01</v>
      </c>
      <c r="C35" t="n">
        <v>30</v>
      </c>
    </row>
    <row r="36">
      <c r="A36" t="inlineStr">
        <is>
          <t>W4102504106</t>
        </is>
      </c>
      <c r="B36" t="n">
        <v>5470.59</v>
      </c>
      <c r="C36" t="n">
        <v>68</v>
      </c>
    </row>
    <row r="37">
      <c r="A37" t="inlineStr">
        <is>
          <t>W4102654946</t>
        </is>
      </c>
      <c r="B37" t="n">
        <v>5375.26</v>
      </c>
      <c r="C37" t="n">
        <v>40</v>
      </c>
    </row>
    <row r="38">
      <c r="A38" t="inlineStr">
        <is>
          <t>W4102504975</t>
        </is>
      </c>
      <c r="B38" t="n">
        <v>4982.32</v>
      </c>
      <c r="C38" t="n">
        <v>16</v>
      </c>
    </row>
    <row r="39">
      <c r="A39" t="inlineStr">
        <is>
          <t>W4102604940</t>
        </is>
      </c>
      <c r="B39" t="n">
        <v>4096.8</v>
      </c>
      <c r="C39" t="n">
        <v>37</v>
      </c>
    </row>
    <row r="40">
      <c r="A40" t="inlineStr">
        <is>
          <t>W4102504941</t>
        </is>
      </c>
      <c r="B40" t="n">
        <v>3868.37</v>
      </c>
      <c r="C40" t="n">
        <v>23</v>
      </c>
    </row>
    <row r="41">
      <c r="A41" t="inlineStr">
        <is>
          <t>W4102504108</t>
        </is>
      </c>
      <c r="B41" t="n">
        <v>3759.11</v>
      </c>
      <c r="C41" t="n">
        <v>44</v>
      </c>
    </row>
    <row r="42">
      <c r="A42" t="inlineStr">
        <is>
          <t>W4102654947</t>
        </is>
      </c>
      <c r="B42" t="n">
        <v>3580.25</v>
      </c>
      <c r="C42" t="n">
        <v>27</v>
      </c>
    </row>
    <row r="43">
      <c r="A43" t="inlineStr">
        <is>
          <t>W4102504971</t>
        </is>
      </c>
      <c r="B43" t="n">
        <v>3480.51</v>
      </c>
      <c r="C43" t="n">
        <v>25</v>
      </c>
    </row>
    <row r="44">
      <c r="A44" t="inlineStr">
        <is>
          <t>W4102504976</t>
        </is>
      </c>
      <c r="B44" t="n">
        <v>3475.33</v>
      </c>
      <c r="C44" t="n">
        <v>19</v>
      </c>
    </row>
    <row r="45">
      <c r="A45" t="inlineStr">
        <is>
          <t>W4102604612</t>
        </is>
      </c>
      <c r="B45" t="n">
        <v>-3446.45</v>
      </c>
      <c r="C45" t="n">
        <v>34</v>
      </c>
    </row>
    <row r="46">
      <c r="A46" t="inlineStr">
        <is>
          <t>W4102504109</t>
        </is>
      </c>
      <c r="B46" t="n">
        <v>3232.02</v>
      </c>
      <c r="C46" t="n">
        <v>36</v>
      </c>
    </row>
    <row r="47">
      <c r="A47" t="inlineStr">
        <is>
          <t>W4102154961</t>
        </is>
      </c>
      <c r="B47" t="n">
        <v>2700.04</v>
      </c>
      <c r="C47" t="n">
        <v>55</v>
      </c>
    </row>
    <row r="48">
      <c r="A48" t="inlineStr">
        <is>
          <t>W4102504221</t>
        </is>
      </c>
      <c r="B48" t="n">
        <v>2586.19</v>
      </c>
      <c r="C48" t="n">
        <v>24</v>
      </c>
    </row>
    <row r="49">
      <c r="A49" t="inlineStr">
        <is>
          <t>W4102304412</t>
        </is>
      </c>
      <c r="B49" t="n">
        <v>2488</v>
      </c>
      <c r="C49" t="n">
        <v>32</v>
      </c>
    </row>
    <row r="50">
      <c r="A50" t="inlineStr">
        <is>
          <t>W4102651216</t>
        </is>
      </c>
      <c r="B50" t="n">
        <v>1999</v>
      </c>
      <c r="C50" t="n">
        <v>35</v>
      </c>
    </row>
    <row r="51">
      <c r="A51" t="inlineStr">
        <is>
          <t>W4102604951</t>
        </is>
      </c>
      <c r="B51" t="n">
        <v>1733.02</v>
      </c>
      <c r="C51" t="n">
        <v>7</v>
      </c>
    </row>
    <row r="52">
      <c r="A52" t="inlineStr">
        <is>
          <t>W4102154953</t>
        </is>
      </c>
      <c r="B52" t="n">
        <v>1481.75</v>
      </c>
      <c r="C52" t="n">
        <v>9</v>
      </c>
    </row>
    <row r="53">
      <c r="A53" t="inlineStr">
        <is>
          <t>W4102604414</t>
        </is>
      </c>
      <c r="B53" t="n">
        <v>-1142.11</v>
      </c>
      <c r="C53" t="n">
        <v>26</v>
      </c>
    </row>
    <row r="54">
      <c r="A54" t="inlineStr">
        <is>
          <t>W4102652709</t>
        </is>
      </c>
      <c r="B54" t="n">
        <v>799.38</v>
      </c>
      <c r="C54" t="n">
        <v>7</v>
      </c>
    </row>
    <row r="55">
      <c r="A55" t="inlineStr">
        <is>
          <t>W4102602023</t>
        </is>
      </c>
      <c r="B55" t="n">
        <v>761.1</v>
      </c>
      <c r="C55" t="n">
        <v>1</v>
      </c>
    </row>
    <row r="56">
      <c r="A56" t="inlineStr">
        <is>
          <t>W4102504107</t>
        </is>
      </c>
      <c r="B56" t="n">
        <v>709.1799999999999</v>
      </c>
      <c r="C56" t="n">
        <v>17</v>
      </c>
    </row>
    <row r="57">
      <c r="A57" t="inlineStr">
        <is>
          <t>W4102154968</t>
        </is>
      </c>
      <c r="B57" t="n">
        <v>705.04</v>
      </c>
      <c r="C57" t="n">
        <v>1</v>
      </c>
    </row>
    <row r="58">
      <c r="A58" t="inlineStr">
        <is>
          <t>P4102608246</t>
        </is>
      </c>
      <c r="B58" t="n">
        <v>-665.64</v>
      </c>
      <c r="C58" t="n">
        <v>520</v>
      </c>
    </row>
    <row r="59">
      <c r="A59" t="inlineStr">
        <is>
          <t>P4102608270</t>
        </is>
      </c>
      <c r="B59" t="n">
        <v>665.64</v>
      </c>
      <c r="C59" t="n">
        <v>93</v>
      </c>
    </row>
    <row r="60">
      <c r="A60" t="inlineStr">
        <is>
          <t>W4102307411</t>
        </is>
      </c>
      <c r="B60" t="n">
        <v>580</v>
      </c>
      <c r="C60" t="n">
        <v>1</v>
      </c>
    </row>
    <row r="61">
      <c r="A61" t="inlineStr">
        <is>
          <t>W4102504211</t>
        </is>
      </c>
      <c r="B61" t="n">
        <v>210.57</v>
      </c>
      <c r="C61" t="n">
        <v>10</v>
      </c>
    </row>
    <row r="62">
      <c r="A62" t="inlineStr">
        <is>
          <t>W4102304947</t>
        </is>
      </c>
      <c r="B62" t="n">
        <v>154.81</v>
      </c>
      <c r="C62" t="n">
        <v>8</v>
      </c>
    </row>
    <row r="63">
      <c r="A63" t="inlineStr">
        <is>
          <t>P4102307434</t>
        </is>
      </c>
      <c r="B63" t="n">
        <v>-78.41</v>
      </c>
      <c r="C63" t="n">
        <v>36</v>
      </c>
    </row>
    <row r="64">
      <c r="A64" t="inlineStr">
        <is>
          <t>P4102309045</t>
        </is>
      </c>
      <c r="B64" t="n">
        <v>78.41</v>
      </c>
      <c r="C64" t="n">
        <v>129</v>
      </c>
    </row>
    <row r="65">
      <c r="A65" t="inlineStr">
        <is>
          <t>W4102504967</t>
        </is>
      </c>
      <c r="B65" t="n">
        <v>49</v>
      </c>
      <c r="C65" t="n">
        <v>7</v>
      </c>
    </row>
    <row r="66">
      <c r="A66" t="inlineStr">
        <is>
          <t>W4102504102</t>
        </is>
      </c>
      <c r="B66" t="n">
        <v>14.1</v>
      </c>
      <c r="C66" t="n">
        <v>1</v>
      </c>
    </row>
    <row r="67">
      <c r="A67" t="inlineStr">
        <is>
          <t>W4102504101</t>
        </is>
      </c>
      <c r="B67" t="n">
        <v>7</v>
      </c>
      <c r="C67" t="n">
        <v>6</v>
      </c>
    </row>
    <row r="68">
      <c r="A68" t="inlineStr">
        <is>
          <t>P4102157455</t>
        </is>
      </c>
      <c r="B68" t="n">
        <v>0</v>
      </c>
      <c r="C68" t="n">
        <v>526</v>
      </c>
    </row>
    <row r="69">
      <c r="A69" t="inlineStr">
        <is>
          <t>P4102157451</t>
        </is>
      </c>
      <c r="B69" t="n">
        <v>0</v>
      </c>
      <c r="C69" t="n">
        <v>541</v>
      </c>
    </row>
    <row r="70">
      <c r="A70" t="inlineStr">
        <is>
          <t>P4102307304</t>
        </is>
      </c>
      <c r="B70" t="n">
        <v>0</v>
      </c>
      <c r="C70" t="n">
        <v>48</v>
      </c>
    </row>
    <row r="71">
      <c r="A71" t="inlineStr">
        <is>
          <t>P4102658229</t>
        </is>
      </c>
      <c r="B71" t="n">
        <v>0</v>
      </c>
      <c r="C71" t="n">
        <v>319</v>
      </c>
    </row>
    <row r="72">
      <c r="A72" t="inlineStr">
        <is>
          <t>P4102307440</t>
        </is>
      </c>
      <c r="B72" t="n">
        <v>0</v>
      </c>
      <c r="C72" t="n">
        <v>161</v>
      </c>
    </row>
    <row r="73">
      <c r="A73" t="inlineStr">
        <is>
          <t>P4102307442</t>
        </is>
      </c>
      <c r="B73" t="n">
        <v>0</v>
      </c>
      <c r="C73" t="n">
        <v>41</v>
      </c>
    </row>
    <row r="74">
      <c r="A74" t="inlineStr">
        <is>
          <t>P4102307436</t>
        </is>
      </c>
      <c r="B74" t="n">
        <v>0</v>
      </c>
      <c r="C74" t="n">
        <v>77</v>
      </c>
    </row>
    <row r="75">
      <c r="A75" t="inlineStr">
        <is>
          <t>P4102307437</t>
        </is>
      </c>
      <c r="B75" t="n">
        <v>0</v>
      </c>
      <c r="C75" t="n">
        <v>30</v>
      </c>
    </row>
    <row r="76">
      <c r="A76" t="inlineStr">
        <is>
          <t>P4102157208</t>
        </is>
      </c>
      <c r="B76" t="n">
        <v>0</v>
      </c>
      <c r="C76" t="n">
        <v>49</v>
      </c>
    </row>
    <row r="77">
      <c r="A77" t="inlineStr">
        <is>
          <t>P4102157457</t>
        </is>
      </c>
      <c r="B77" t="n">
        <v>0</v>
      </c>
      <c r="C77" t="n">
        <v>185</v>
      </c>
    </row>
    <row r="78">
      <c r="A78" t="inlineStr">
        <is>
          <t>P4102608271</t>
        </is>
      </c>
      <c r="B78" t="n">
        <v>0</v>
      </c>
      <c r="C78" t="n">
        <v>64</v>
      </c>
    </row>
    <row r="79">
      <c r="A79" t="inlineStr">
        <is>
          <t>P4102157442</t>
        </is>
      </c>
      <c r="B79" t="n">
        <v>0</v>
      </c>
      <c r="C79" t="n">
        <v>81</v>
      </c>
    </row>
    <row r="80">
      <c r="A80" t="inlineStr">
        <is>
          <t>P4102307438</t>
        </is>
      </c>
      <c r="B80" t="n">
        <v>0</v>
      </c>
      <c r="C80" t="n">
        <v>49</v>
      </c>
    </row>
    <row r="81">
      <c r="A81" t="inlineStr">
        <is>
          <t>P4102307439</t>
        </is>
      </c>
      <c r="B81" t="n">
        <v>0</v>
      </c>
      <c r="C81" t="n">
        <v>97</v>
      </c>
    </row>
    <row r="82">
      <c r="A82" t="inlineStr">
        <is>
          <t>P4102607989</t>
        </is>
      </c>
      <c r="B82" t="n">
        <v>0</v>
      </c>
      <c r="C82" t="n">
        <v>202</v>
      </c>
    </row>
    <row r="83">
      <c r="A83" t="inlineStr">
        <is>
          <t>P4102307430</t>
        </is>
      </c>
      <c r="B83" t="n">
        <v>0</v>
      </c>
      <c r="C83" t="n">
        <v>31</v>
      </c>
    </row>
    <row r="84">
      <c r="A84" t="inlineStr">
        <is>
          <t>P4102307306</t>
        </is>
      </c>
      <c r="B84" t="n">
        <v>0</v>
      </c>
      <c r="C84" t="n">
        <v>4</v>
      </c>
    </row>
    <row r="85">
      <c r="A85" t="inlineStr">
        <is>
          <t>P4102307423</t>
        </is>
      </c>
      <c r="B85" t="n">
        <v>0</v>
      </c>
      <c r="C85" t="n">
        <v>12</v>
      </c>
    </row>
    <row r="86">
      <c r="A86" t="inlineStr">
        <is>
          <t>P4102157462</t>
        </is>
      </c>
      <c r="B86" t="n">
        <v>0</v>
      </c>
      <c r="C86" t="n">
        <v>42</v>
      </c>
    </row>
    <row r="87">
      <c r="A87" t="inlineStr">
        <is>
          <t>P4102157449</t>
        </is>
      </c>
      <c r="B87" t="n">
        <v>0</v>
      </c>
      <c r="C87" t="n">
        <v>141</v>
      </c>
    </row>
    <row r="88">
      <c r="A88" t="inlineStr">
        <is>
          <t>P4102157466</t>
        </is>
      </c>
      <c r="B88" t="n">
        <v>0</v>
      </c>
      <c r="C88" t="n">
        <v>27</v>
      </c>
    </row>
    <row r="89">
      <c r="A89" t="inlineStr">
        <is>
          <t>P4102157458</t>
        </is>
      </c>
      <c r="B89" t="n">
        <v>0</v>
      </c>
      <c r="C89" t="n">
        <v>44</v>
      </c>
    </row>
    <row r="90">
      <c r="A90" t="inlineStr">
        <is>
          <t>P4102157414</t>
        </is>
      </c>
      <c r="B90" t="n">
        <v>0</v>
      </c>
      <c r="C90" t="n">
        <v>59</v>
      </c>
    </row>
    <row r="91">
      <c r="A91" t="inlineStr">
        <is>
          <t>P4102157463</t>
        </is>
      </c>
      <c r="B91" t="n">
        <v>0</v>
      </c>
      <c r="C91" t="n">
        <v>149</v>
      </c>
    </row>
    <row r="92">
      <c r="A92" t="inlineStr">
        <is>
          <t>P4102307441</t>
        </is>
      </c>
      <c r="B92" t="n">
        <v>0</v>
      </c>
      <c r="C92" t="n">
        <v>78</v>
      </c>
    </row>
    <row r="93">
      <c r="A93" t="inlineStr">
        <is>
          <t>P4102658256</t>
        </is>
      </c>
      <c r="B93" t="n">
        <v>0</v>
      </c>
      <c r="C93" t="n">
        <v>200</v>
      </c>
    </row>
    <row r="94">
      <c r="A94" t="inlineStr">
        <is>
          <t>P4102307426</t>
        </is>
      </c>
      <c r="B94" t="n">
        <v>0</v>
      </c>
      <c r="C94" t="n">
        <v>20</v>
      </c>
    </row>
    <row r="95">
      <c r="A95" t="inlineStr">
        <is>
          <t>P4102602023</t>
        </is>
      </c>
      <c r="B95" t="n">
        <v>0</v>
      </c>
      <c r="C95" t="n">
        <v>26</v>
      </c>
    </row>
    <row r="96">
      <c r="A96" t="inlineStr">
        <is>
          <t>P4102157456</t>
        </is>
      </c>
      <c r="B96" t="n">
        <v>0</v>
      </c>
      <c r="C96" t="n">
        <v>57</v>
      </c>
    </row>
    <row r="97">
      <c r="A97" t="inlineStr">
        <is>
          <t>P4102307427</t>
        </is>
      </c>
      <c r="B97" t="n">
        <v>0</v>
      </c>
      <c r="C97" t="n">
        <v>62</v>
      </c>
    </row>
    <row r="98">
      <c r="A98" t="inlineStr">
        <is>
          <t>P4102307429</t>
        </is>
      </c>
      <c r="B98" t="n">
        <v>0</v>
      </c>
      <c r="C98" t="n">
        <v>47</v>
      </c>
    </row>
    <row r="99">
      <c r="A99" t="inlineStr">
        <is>
          <t>P4102157469</t>
        </is>
      </c>
      <c r="B99" t="n">
        <v>0</v>
      </c>
      <c r="C99" t="n">
        <v>5</v>
      </c>
    </row>
    <row r="100">
      <c r="A100" t="inlineStr">
        <is>
          <t>P4102157459</t>
        </is>
      </c>
      <c r="B100" t="n">
        <v>0</v>
      </c>
      <c r="C100" t="n">
        <v>28</v>
      </c>
    </row>
    <row r="101">
      <c r="A101" t="inlineStr">
        <is>
          <t>P4102608260</t>
        </is>
      </c>
      <c r="B101" t="n">
        <v>0</v>
      </c>
      <c r="C101" t="n">
        <v>57</v>
      </c>
    </row>
    <row r="102">
      <c r="A102" t="inlineStr">
        <is>
          <t>P4102658272</t>
        </is>
      </c>
      <c r="B102" t="n">
        <v>0</v>
      </c>
      <c r="C102" t="n">
        <v>83</v>
      </c>
    </row>
    <row r="103">
      <c r="A103" t="inlineStr">
        <is>
          <t>P4102307428</t>
        </is>
      </c>
      <c r="B103" t="n">
        <v>0</v>
      </c>
      <c r="C103" t="n">
        <v>82</v>
      </c>
    </row>
    <row r="104">
      <c r="A104" t="inlineStr">
        <is>
          <t>P4102608267</t>
        </is>
      </c>
      <c r="B104" t="n">
        <v>0</v>
      </c>
      <c r="C104" t="n">
        <v>39</v>
      </c>
    </row>
    <row r="105">
      <c r="A105" t="inlineStr">
        <is>
          <t>P4102309046</t>
        </is>
      </c>
      <c r="B105" t="n">
        <v>0</v>
      </c>
      <c r="C105" t="n">
        <v>20</v>
      </c>
    </row>
    <row r="106">
      <c r="A106" t="inlineStr">
        <is>
          <t>P4102608268</t>
        </is>
      </c>
      <c r="B106" t="n">
        <v>0</v>
      </c>
      <c r="C106" t="n">
        <v>27</v>
      </c>
    </row>
    <row r="107">
      <c r="A107" t="inlineStr">
        <is>
          <t>P4102157464</t>
        </is>
      </c>
      <c r="B107" t="n">
        <v>0</v>
      </c>
      <c r="C107" t="n">
        <v>22</v>
      </c>
    </row>
    <row r="108">
      <c r="A108" t="inlineStr">
        <is>
          <t>P4102157429</t>
        </is>
      </c>
      <c r="B108" t="n">
        <v>0</v>
      </c>
      <c r="C108" t="n">
        <v>40</v>
      </c>
    </row>
    <row r="109">
      <c r="A109" t="inlineStr">
        <is>
          <t>P4102658269</t>
        </is>
      </c>
      <c r="B109" t="n">
        <v>0</v>
      </c>
      <c r="C109" t="n">
        <v>57</v>
      </c>
    </row>
    <row r="110">
      <c r="A110" t="inlineStr">
        <is>
          <t>P4102157420</t>
        </is>
      </c>
      <c r="B110" t="n">
        <v>0</v>
      </c>
      <c r="C110" t="n">
        <v>46</v>
      </c>
    </row>
    <row r="111">
      <c r="A111" t="inlineStr">
        <is>
          <t>P4102157411</t>
        </is>
      </c>
      <c r="B111" t="n">
        <v>0</v>
      </c>
      <c r="C111" t="n">
        <v>2</v>
      </c>
    </row>
    <row r="112">
      <c r="A112" t="inlineStr">
        <is>
          <t>P4102157431</t>
        </is>
      </c>
      <c r="B112" t="n">
        <v>0</v>
      </c>
      <c r="C112" t="n">
        <v>4</v>
      </c>
    </row>
    <row r="113">
      <c r="A113" t="inlineStr">
        <is>
          <t>P4102157436</t>
        </is>
      </c>
      <c r="B113" t="n">
        <v>0</v>
      </c>
      <c r="C113" t="n">
        <v>4</v>
      </c>
    </row>
    <row r="114">
      <c r="A114" t="inlineStr">
        <is>
          <t>P4102157439</t>
        </is>
      </c>
      <c r="B114" t="n">
        <v>0</v>
      </c>
      <c r="C114" t="n">
        <v>2</v>
      </c>
    </row>
    <row r="115">
      <c r="A115" t="inlineStr">
        <is>
          <t>P4102157440</t>
        </is>
      </c>
      <c r="B115" t="n">
        <v>0</v>
      </c>
      <c r="C115" t="n">
        <v>6</v>
      </c>
    </row>
    <row r="116">
      <c r="A116" t="inlineStr">
        <is>
          <t>P4102157443</t>
        </is>
      </c>
      <c r="B116" t="n">
        <v>0</v>
      </c>
      <c r="C116" t="n">
        <v>8</v>
      </c>
    </row>
    <row r="117">
      <c r="A117" t="inlineStr">
        <is>
          <t>P4102157445</t>
        </is>
      </c>
      <c r="B117" t="n">
        <v>0</v>
      </c>
      <c r="C117" t="n">
        <v>8</v>
      </c>
    </row>
    <row r="118">
      <c r="A118" t="inlineStr">
        <is>
          <t>P4102157447</t>
        </is>
      </c>
      <c r="B118" t="n">
        <v>0</v>
      </c>
      <c r="C118" t="n">
        <v>2</v>
      </c>
    </row>
    <row r="119">
      <c r="A119" t="inlineStr">
        <is>
          <t>P4102157450</t>
        </is>
      </c>
      <c r="B119" t="n">
        <v>0</v>
      </c>
      <c r="C119" t="n">
        <v>10</v>
      </c>
    </row>
    <row r="120">
      <c r="A120" t="inlineStr">
        <is>
          <t>P4102157452</t>
        </is>
      </c>
      <c r="B120" t="n">
        <v>0</v>
      </c>
      <c r="C120" t="n">
        <v>2</v>
      </c>
    </row>
    <row r="121">
      <c r="A121" t="inlineStr">
        <is>
          <t>P4102157461</t>
        </is>
      </c>
      <c r="B121" t="n">
        <v>0</v>
      </c>
      <c r="C121" t="n">
        <v>48</v>
      </c>
    </row>
    <row r="122">
      <c r="A122" t="inlineStr">
        <is>
          <t>P4102157465</t>
        </is>
      </c>
      <c r="B122" t="n">
        <v>0</v>
      </c>
      <c r="C122" t="n">
        <v>15</v>
      </c>
    </row>
    <row r="123">
      <c r="A123" t="inlineStr">
        <is>
          <t>P4102157467</t>
        </is>
      </c>
      <c r="B123" t="n">
        <v>0</v>
      </c>
      <c r="C123" t="n">
        <v>10</v>
      </c>
    </row>
    <row r="124">
      <c r="A124" t="inlineStr">
        <is>
          <t>P4102157468</t>
        </is>
      </c>
      <c r="B124" t="n">
        <v>0</v>
      </c>
      <c r="C124" t="n">
        <v>4</v>
      </c>
    </row>
    <row r="125">
      <c r="A125" t="inlineStr">
        <is>
          <t>P4102307411</t>
        </is>
      </c>
      <c r="B125" t="n">
        <v>0</v>
      </c>
      <c r="C125" t="n">
        <v>2</v>
      </c>
    </row>
    <row r="126">
      <c r="A126" t="inlineStr">
        <is>
          <t>P4102307416</t>
        </is>
      </c>
      <c r="B126" t="n">
        <v>0</v>
      </c>
      <c r="C126" t="n">
        <v>2</v>
      </c>
    </row>
    <row r="127">
      <c r="A127" t="inlineStr">
        <is>
          <t>P4102307422</t>
        </is>
      </c>
      <c r="B127" t="n">
        <v>0</v>
      </c>
      <c r="C127" t="n">
        <v>18</v>
      </c>
    </row>
    <row r="128">
      <c r="A128" t="inlineStr">
        <is>
          <t>P4102307424</t>
        </is>
      </c>
      <c r="B128" t="n">
        <v>0</v>
      </c>
      <c r="C128" t="n">
        <v>6</v>
      </c>
    </row>
    <row r="129">
      <c r="A129" t="inlineStr">
        <is>
          <t>P4102307431</t>
        </is>
      </c>
      <c r="B129" t="n">
        <v>0</v>
      </c>
      <c r="C129" t="n">
        <v>4</v>
      </c>
    </row>
    <row r="130">
      <c r="A130" t="inlineStr">
        <is>
          <t>P4102307432</t>
        </is>
      </c>
      <c r="B130" t="n">
        <v>0</v>
      </c>
      <c r="C130" t="n">
        <v>22</v>
      </c>
    </row>
    <row r="131">
      <c r="A131" t="inlineStr">
        <is>
          <t>P4102307443</t>
        </is>
      </c>
      <c r="B131" t="n">
        <v>0</v>
      </c>
      <c r="C131" t="n">
        <v>7</v>
      </c>
    </row>
    <row r="132">
      <c r="A132" t="inlineStr">
        <is>
          <t>P4102307447</t>
        </is>
      </c>
      <c r="B132" t="n">
        <v>0</v>
      </c>
      <c r="C132" t="n">
        <v>16</v>
      </c>
    </row>
    <row r="133">
      <c r="A133" t="inlineStr">
        <is>
          <t>P4102307448</t>
        </is>
      </c>
      <c r="B133" t="n">
        <v>0</v>
      </c>
      <c r="C133" t="n">
        <v>11</v>
      </c>
    </row>
    <row r="134">
      <c r="A134" t="inlineStr">
        <is>
          <t>P4102309044</t>
        </is>
      </c>
      <c r="B134" t="n">
        <v>0</v>
      </c>
      <c r="C134" t="n">
        <v>2</v>
      </c>
    </row>
    <row r="135">
      <c r="A135" t="inlineStr">
        <is>
          <t>P4102604612</t>
        </is>
      </c>
      <c r="B135" t="n">
        <v>0</v>
      </c>
      <c r="C135" t="n">
        <v>15</v>
      </c>
    </row>
    <row r="136">
      <c r="A136" t="inlineStr">
        <is>
          <t>P4102608224</t>
        </is>
      </c>
      <c r="B136" t="n">
        <v>0</v>
      </c>
      <c r="C136" t="n">
        <v>7</v>
      </c>
    </row>
    <row r="137">
      <c r="A137" t="inlineStr">
        <is>
          <t>P4102608226</t>
        </is>
      </c>
      <c r="B137" t="n">
        <v>0</v>
      </c>
      <c r="C137" t="n">
        <v>2</v>
      </c>
    </row>
    <row r="138">
      <c r="A138" t="inlineStr">
        <is>
          <t>P4102608232</t>
        </is>
      </c>
      <c r="B138" t="n">
        <v>0</v>
      </c>
      <c r="C138" t="n">
        <v>2</v>
      </c>
    </row>
    <row r="139">
      <c r="A139" t="inlineStr">
        <is>
          <t>P4102608258</t>
        </is>
      </c>
      <c r="B139" t="n">
        <v>0</v>
      </c>
      <c r="C139" t="n">
        <v>4</v>
      </c>
    </row>
    <row r="140">
      <c r="A140" t="inlineStr">
        <is>
          <t>P4102608264</t>
        </is>
      </c>
      <c r="B140" t="n">
        <v>0</v>
      </c>
      <c r="C140" t="n">
        <v>8</v>
      </c>
    </row>
    <row r="141">
      <c r="A141" t="inlineStr">
        <is>
          <t>P4102608265</t>
        </is>
      </c>
      <c r="B141" t="n">
        <v>0</v>
      </c>
      <c r="C141" t="n">
        <v>20</v>
      </c>
    </row>
    <row r="142">
      <c r="A142" t="inlineStr">
        <is>
          <t>P4102608266</t>
        </is>
      </c>
      <c r="B142" t="n">
        <v>0</v>
      </c>
      <c r="C142" t="n">
        <v>10</v>
      </c>
    </row>
    <row r="143">
      <c r="A143" t="inlineStr">
        <is>
          <t>P4102608275</t>
        </is>
      </c>
      <c r="B143" t="n">
        <v>0</v>
      </c>
      <c r="C143" t="n">
        <v>19</v>
      </c>
    </row>
    <row r="144">
      <c r="A144" t="inlineStr">
        <is>
          <t>P4102652023</t>
        </is>
      </c>
      <c r="B144" t="n">
        <v>0</v>
      </c>
      <c r="C144" t="n">
        <v>4</v>
      </c>
    </row>
    <row r="145">
      <c r="A145" t="inlineStr">
        <is>
          <t>P4102657982</t>
        </is>
      </c>
      <c r="B145" t="n">
        <v>0</v>
      </c>
      <c r="C145" t="n">
        <v>8</v>
      </c>
    </row>
    <row r="146">
      <c r="A146" t="inlineStr">
        <is>
          <t>P4102658228</t>
        </is>
      </c>
      <c r="B146" t="n">
        <v>0</v>
      </c>
      <c r="C146" t="n">
        <v>6</v>
      </c>
    </row>
    <row r="147">
      <c r="A147" t="inlineStr">
        <is>
          <t>P4102658235</t>
        </is>
      </c>
      <c r="B147" t="n">
        <v>0</v>
      </c>
      <c r="C147" t="n">
        <v>4</v>
      </c>
    </row>
    <row r="148">
      <c r="A148" t="inlineStr">
        <is>
          <t>P4102658250</t>
        </is>
      </c>
      <c r="B148" t="n">
        <v>0</v>
      </c>
      <c r="C148" t="n">
        <v>24</v>
      </c>
    </row>
    <row r="149">
      <c r="A149" t="inlineStr">
        <is>
          <t>P4102658254</t>
        </is>
      </c>
      <c r="B149" t="n">
        <v>0</v>
      </c>
      <c r="C149" t="n">
        <v>7</v>
      </c>
    </row>
    <row r="150">
      <c r="A150" t="inlineStr">
        <is>
          <t>P4102658257</t>
        </is>
      </c>
      <c r="B150" t="n">
        <v>0</v>
      </c>
      <c r="C150" t="n">
        <v>4</v>
      </c>
    </row>
    <row r="151">
      <c r="A151" t="inlineStr">
        <is>
          <t>P4102658259</t>
        </is>
      </c>
      <c r="B151" t="n">
        <v>0</v>
      </c>
      <c r="C151" t="n">
        <v>9</v>
      </c>
    </row>
    <row r="152">
      <c r="A152" t="inlineStr">
        <is>
          <t>P4102658276</t>
        </is>
      </c>
      <c r="B152" t="n">
        <v>0</v>
      </c>
      <c r="C152" t="n">
        <v>100</v>
      </c>
    </row>
    <row r="153">
      <c r="A153" t="inlineStr">
        <is>
          <t>W4102157414</t>
        </is>
      </c>
      <c r="B153" t="n">
        <v>0</v>
      </c>
      <c r="C153" t="n">
        <v>2</v>
      </c>
    </row>
    <row r="154">
      <c r="A154" t="inlineStr">
        <is>
          <t>W4102307366</t>
        </is>
      </c>
      <c r="B154" t="n">
        <v>0</v>
      </c>
      <c r="C154" t="n">
        <v>26</v>
      </c>
    </row>
    <row r="155">
      <c r="A155" t="inlineStr">
        <is>
          <t>W4102607081</t>
        </is>
      </c>
      <c r="B155" t="n">
        <v>0</v>
      </c>
      <c r="C155" t="n">
        <v>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kostenart</t>
        </is>
      </c>
      <c r="B1" s="2" t="inlineStr">
        <is>
          <t>summe_wert</t>
        </is>
      </c>
      <c r="C1" s="2" t="inlineStr">
        <is>
          <t>anzahl</t>
        </is>
      </c>
    </row>
    <row r="2">
      <c r="A2" t="inlineStr">
        <is>
          <t>7801020.0</t>
        </is>
      </c>
      <c r="B2" t="n">
        <v>-1366941.18</v>
      </c>
      <c r="C2" t="n">
        <v>884</v>
      </c>
    </row>
    <row r="3">
      <c r="A3" t="inlineStr">
        <is>
          <t>830510.0</t>
        </is>
      </c>
      <c r="B3" t="n">
        <v>-392267.57</v>
      </c>
      <c r="C3" t="n">
        <v>858</v>
      </c>
    </row>
    <row r="4">
      <c r="B4" t="n">
        <v>-361720.87</v>
      </c>
      <c r="C4" t="n">
        <v>1</v>
      </c>
    </row>
    <row r="5">
      <c r="A5" t="inlineStr">
        <is>
          <t>392000.0</t>
        </is>
      </c>
      <c r="B5" t="n">
        <v>310103.49</v>
      </c>
      <c r="C5" t="n">
        <v>243</v>
      </c>
    </row>
    <row r="6">
      <c r="A6" t="inlineStr">
        <is>
          <t>470020.0</t>
        </is>
      </c>
      <c r="B6" t="n">
        <v>81996</v>
      </c>
      <c r="C6" t="n">
        <v>67</v>
      </c>
    </row>
    <row r="7">
      <c r="A7" t="inlineStr">
        <is>
          <t>410130.0</t>
        </is>
      </c>
      <c r="B7" t="n">
        <v>67438</v>
      </c>
      <c r="C7" t="n">
        <v>38</v>
      </c>
    </row>
    <row r="8">
      <c r="A8" t="inlineStr">
        <is>
          <t>400122.0</t>
        </is>
      </c>
      <c r="B8" t="n">
        <v>64936.13</v>
      </c>
      <c r="C8" t="n">
        <v>126</v>
      </c>
    </row>
    <row r="9">
      <c r="A9" t="inlineStr">
        <is>
          <t>431010.0</t>
        </is>
      </c>
      <c r="B9" t="n">
        <v>63951.15</v>
      </c>
      <c r="C9" t="n">
        <v>70</v>
      </c>
    </row>
    <row r="10">
      <c r="A10" t="inlineStr">
        <is>
          <t>201000.0</t>
        </is>
      </c>
      <c r="B10" t="n">
        <v>55572.04</v>
      </c>
      <c r="C10" t="n">
        <v>61</v>
      </c>
    </row>
    <row r="11">
      <c r="A11" t="inlineStr">
        <is>
          <t>470025.0</t>
        </is>
      </c>
      <c r="B11" t="n">
        <v>54022.7</v>
      </c>
      <c r="C11" t="n">
        <v>7</v>
      </c>
    </row>
    <row r="12">
      <c r="A12" t="inlineStr">
        <is>
          <t>220000.0</t>
        </is>
      </c>
      <c r="B12" t="n">
        <v>51592</v>
      </c>
      <c r="C12" t="n">
        <v>2</v>
      </c>
    </row>
    <row r="13">
      <c r="A13" t="inlineStr">
        <is>
          <t>430020.0</t>
        </is>
      </c>
      <c r="B13" t="n">
        <v>47216</v>
      </c>
      <c r="C13" t="n">
        <v>22</v>
      </c>
    </row>
    <row r="14">
      <c r="A14" t="inlineStr">
        <is>
          <t>400030.0</t>
        </is>
      </c>
      <c r="B14" t="n">
        <v>46967.97</v>
      </c>
      <c r="C14" t="n">
        <v>4</v>
      </c>
    </row>
    <row r="15">
      <c r="A15" t="inlineStr">
        <is>
          <t>274200.0</t>
        </is>
      </c>
      <c r="B15" t="n">
        <v>-46186.04</v>
      </c>
      <c r="C15" t="n">
        <v>2</v>
      </c>
    </row>
    <row r="16">
      <c r="A16" t="inlineStr">
        <is>
          <t>430120.0</t>
        </is>
      </c>
      <c r="B16" t="n">
        <v>40917.11</v>
      </c>
      <c r="C16" t="n">
        <v>140</v>
      </c>
    </row>
    <row r="17">
      <c r="A17" t="inlineStr">
        <is>
          <t>411100.0</t>
        </is>
      </c>
      <c r="B17" t="n">
        <v>37069.37</v>
      </c>
      <c r="C17" t="n">
        <v>110</v>
      </c>
    </row>
    <row r="18">
      <c r="A18" t="inlineStr">
        <is>
          <t>401000.0</t>
        </is>
      </c>
      <c r="B18" t="n">
        <v>36869.04</v>
      </c>
      <c r="C18" t="n">
        <v>571</v>
      </c>
    </row>
    <row r="19">
      <c r="A19" t="inlineStr">
        <is>
          <t>431020.0</t>
        </is>
      </c>
      <c r="B19" t="n">
        <v>32726.33</v>
      </c>
      <c r="C19" t="n">
        <v>91</v>
      </c>
    </row>
    <row r="20">
      <c r="A20" t="inlineStr">
        <is>
          <t>460060.0</t>
        </is>
      </c>
      <c r="B20" t="n">
        <v>31456.95</v>
      </c>
      <c r="C20" t="n">
        <v>55</v>
      </c>
    </row>
    <row r="21">
      <c r="A21" t="inlineStr">
        <is>
          <t>430121.0</t>
        </is>
      </c>
      <c r="B21" t="n">
        <v>25781.2</v>
      </c>
      <c r="C21" t="n">
        <v>18</v>
      </c>
    </row>
    <row r="22">
      <c r="A22" t="inlineStr">
        <is>
          <t>460900.0</t>
        </is>
      </c>
      <c r="B22" t="n">
        <v>25489.63</v>
      </c>
      <c r="C22" t="n">
        <v>81</v>
      </c>
    </row>
    <row r="23">
      <c r="A23" t="inlineStr">
        <is>
          <t>470036.0</t>
        </is>
      </c>
      <c r="B23" t="n">
        <v>24956</v>
      </c>
      <c r="C23" t="n">
        <v>22</v>
      </c>
    </row>
    <row r="24">
      <c r="A24" t="inlineStr">
        <is>
          <t>213101.0</t>
        </is>
      </c>
      <c r="B24" t="n">
        <v>24231.56</v>
      </c>
      <c r="C24" t="n">
        <v>7</v>
      </c>
    </row>
    <row r="25">
      <c r="A25" t="inlineStr">
        <is>
          <t>289300.0</t>
        </is>
      </c>
      <c r="B25" t="n">
        <v>-24114.77</v>
      </c>
      <c r="C25" t="n">
        <v>172</v>
      </c>
    </row>
    <row r="26">
      <c r="A26" t="inlineStr">
        <is>
          <t>499300.0</t>
        </is>
      </c>
      <c r="B26" t="n">
        <v>24114.77</v>
      </c>
      <c r="C26" t="n">
        <v>172</v>
      </c>
    </row>
    <row r="27">
      <c r="A27" t="inlineStr">
        <is>
          <t>470010.0</t>
        </is>
      </c>
      <c r="B27" t="n">
        <v>21650.98</v>
      </c>
      <c r="C27" t="n">
        <v>30</v>
      </c>
    </row>
    <row r="28">
      <c r="A28" t="inlineStr">
        <is>
          <t>420012.0</t>
        </is>
      </c>
      <c r="B28" t="n">
        <v>21580.39</v>
      </c>
      <c r="C28" t="n">
        <v>64</v>
      </c>
    </row>
    <row r="29">
      <c r="A29" t="inlineStr">
        <is>
          <t>460065.0</t>
        </is>
      </c>
      <c r="B29" t="n">
        <v>18705.37</v>
      </c>
      <c r="C29" t="n">
        <v>28</v>
      </c>
    </row>
    <row r="30">
      <c r="A30" t="inlineStr">
        <is>
          <t>480100.0</t>
        </is>
      </c>
      <c r="B30" t="n">
        <v>18081.23</v>
      </c>
      <c r="C30" t="n">
        <v>89</v>
      </c>
    </row>
    <row r="31">
      <c r="A31" t="inlineStr">
        <is>
          <t>340030.0</t>
        </is>
      </c>
      <c r="B31" t="n">
        <v>17138.62</v>
      </c>
      <c r="C31" t="n">
        <v>19</v>
      </c>
    </row>
    <row r="32">
      <c r="A32" t="inlineStr">
        <is>
          <t>411070.0</t>
        </is>
      </c>
      <c r="B32" t="n">
        <v>16458.17</v>
      </c>
      <c r="C32" t="n">
        <v>21</v>
      </c>
    </row>
    <row r="33">
      <c r="A33" t="inlineStr">
        <is>
          <t>400035.0</t>
        </is>
      </c>
      <c r="B33" t="n">
        <v>16177.51</v>
      </c>
      <c r="C33" t="n">
        <v>117</v>
      </c>
    </row>
    <row r="34">
      <c r="A34" t="inlineStr">
        <is>
          <t>420022.0</t>
        </is>
      </c>
      <c r="B34" t="n">
        <v>15721.76</v>
      </c>
      <c r="C34" t="n">
        <v>49</v>
      </c>
    </row>
    <row r="35">
      <c r="A35" t="inlineStr">
        <is>
          <t>411090.0</t>
        </is>
      </c>
      <c r="B35" t="n">
        <v>15242.8</v>
      </c>
      <c r="C35" t="n">
        <v>19</v>
      </c>
    </row>
    <row r="36">
      <c r="A36" t="inlineStr">
        <is>
          <t>450010.0</t>
        </is>
      </c>
      <c r="B36" t="n">
        <v>13998.4</v>
      </c>
      <c r="C36" t="n">
        <v>160</v>
      </c>
    </row>
    <row r="37">
      <c r="A37" t="inlineStr">
        <is>
          <t>460030.0</t>
        </is>
      </c>
      <c r="B37" t="n">
        <v>11840.72</v>
      </c>
      <c r="C37" t="n">
        <v>118</v>
      </c>
    </row>
    <row r="38">
      <c r="A38" t="inlineStr">
        <is>
          <t>860000.0</t>
        </is>
      </c>
      <c r="B38" t="n">
        <v>-11734.19</v>
      </c>
      <c r="C38" t="n">
        <v>18</v>
      </c>
    </row>
    <row r="39">
      <c r="A39" t="inlineStr">
        <is>
          <t>420600.0</t>
        </is>
      </c>
      <c r="B39" t="n">
        <v>11576.61</v>
      </c>
      <c r="C39" t="n">
        <v>47</v>
      </c>
    </row>
    <row r="40">
      <c r="A40" t="inlineStr">
        <is>
          <t>400121.0</t>
        </is>
      </c>
      <c r="B40" t="n">
        <v>10717.35</v>
      </c>
      <c r="C40" t="n">
        <v>21</v>
      </c>
    </row>
    <row r="41">
      <c r="A41" t="inlineStr">
        <is>
          <t>411900.0</t>
        </is>
      </c>
      <c r="B41" t="n">
        <v>9867.51</v>
      </c>
      <c r="C41" t="n">
        <v>85</v>
      </c>
    </row>
    <row r="42">
      <c r="A42" t="inlineStr">
        <is>
          <t>340050.0</t>
        </is>
      </c>
      <c r="B42" t="n">
        <v>-8814.74</v>
      </c>
      <c r="C42" t="n">
        <v>2293</v>
      </c>
    </row>
    <row r="43">
      <c r="A43" t="inlineStr">
        <is>
          <t>460200.0</t>
        </is>
      </c>
      <c r="B43" t="n">
        <v>8550</v>
      </c>
      <c r="C43" t="n">
        <v>10</v>
      </c>
    </row>
    <row r="44">
      <c r="A44" t="inlineStr">
        <is>
          <t>401040.0</t>
        </is>
      </c>
      <c r="B44" t="n">
        <v>8417.57</v>
      </c>
      <c r="C44" t="n">
        <v>125</v>
      </c>
    </row>
    <row r="45">
      <c r="A45" t="inlineStr">
        <is>
          <t>430110.0</t>
        </is>
      </c>
      <c r="B45" t="n">
        <v>8151.27</v>
      </c>
      <c r="C45" t="n">
        <v>11</v>
      </c>
    </row>
    <row r="46">
      <c r="A46" t="inlineStr">
        <is>
          <t>420015.0</t>
        </is>
      </c>
      <c r="B46" t="n">
        <v>8113.26</v>
      </c>
      <c r="C46" t="n">
        <v>4</v>
      </c>
    </row>
    <row r="47">
      <c r="A47" t="inlineStr">
        <is>
          <t>7612000.0</t>
        </is>
      </c>
      <c r="B47" t="n">
        <v>8075</v>
      </c>
      <c r="C47" t="n">
        <v>943</v>
      </c>
    </row>
    <row r="48">
      <c r="A48" t="inlineStr">
        <is>
          <t>251000.0</t>
        </is>
      </c>
      <c r="B48" t="n">
        <v>-7974.49</v>
      </c>
      <c r="C48" t="n">
        <v>20</v>
      </c>
    </row>
    <row r="49">
      <c r="A49" t="inlineStr">
        <is>
          <t>420100.0</t>
        </is>
      </c>
      <c r="B49" t="n">
        <v>6717.97</v>
      </c>
      <c r="C49" t="n">
        <v>23</v>
      </c>
    </row>
    <row r="50">
      <c r="A50" t="inlineStr">
        <is>
          <t>460010.0</t>
        </is>
      </c>
      <c r="B50" t="n">
        <v>6395.04</v>
      </c>
      <c r="C50" t="n">
        <v>70</v>
      </c>
    </row>
    <row r="51">
      <c r="A51" t="inlineStr">
        <is>
          <t>420400.0</t>
        </is>
      </c>
      <c r="B51" t="n">
        <v>6042.28</v>
      </c>
      <c r="C51" t="n">
        <v>85</v>
      </c>
    </row>
    <row r="52">
      <c r="A52" t="inlineStr">
        <is>
          <t>460080.0</t>
        </is>
      </c>
      <c r="B52" t="n">
        <v>5469.19</v>
      </c>
      <c r="C52" t="n">
        <v>8</v>
      </c>
    </row>
    <row r="53">
      <c r="A53" t="inlineStr">
        <is>
          <t>420700.0</t>
        </is>
      </c>
      <c r="B53" t="n">
        <v>5313.2</v>
      </c>
      <c r="C53" t="n">
        <v>23</v>
      </c>
    </row>
    <row r="54">
      <c r="A54" t="inlineStr">
        <is>
          <t>289200.0</t>
        </is>
      </c>
      <c r="B54" t="n">
        <v>-4672</v>
      </c>
      <c r="C54" t="n">
        <v>156</v>
      </c>
    </row>
    <row r="55">
      <c r="A55" t="inlineStr">
        <is>
          <t>499200.0</t>
        </is>
      </c>
      <c r="B55" t="n">
        <v>4672</v>
      </c>
      <c r="C55" t="n">
        <v>156</v>
      </c>
    </row>
    <row r="56">
      <c r="A56" t="inlineStr">
        <is>
          <t>420030.0</t>
        </is>
      </c>
      <c r="B56" t="n">
        <v>4362.58</v>
      </c>
      <c r="C56" t="n">
        <v>42</v>
      </c>
    </row>
    <row r="57">
      <c r="A57" t="inlineStr">
        <is>
          <t>450039.0</t>
        </is>
      </c>
      <c r="B57" t="n">
        <v>4073.78</v>
      </c>
      <c r="C57" t="n">
        <v>111</v>
      </c>
    </row>
    <row r="58">
      <c r="A58" t="inlineStr">
        <is>
          <t>470030.0</t>
        </is>
      </c>
      <c r="B58" t="n">
        <v>3472.1</v>
      </c>
      <c r="C58" t="n">
        <v>12</v>
      </c>
    </row>
    <row r="59">
      <c r="A59" t="inlineStr">
        <is>
          <t>401030.0</t>
        </is>
      </c>
      <c r="B59" t="n">
        <v>3287.16</v>
      </c>
      <c r="C59" t="n">
        <v>123</v>
      </c>
    </row>
    <row r="60">
      <c r="A60" t="inlineStr">
        <is>
          <t>450030.0</t>
        </is>
      </c>
      <c r="B60" t="n">
        <v>3259.27</v>
      </c>
      <c r="C60" t="n">
        <v>117</v>
      </c>
    </row>
    <row r="61">
      <c r="A61" t="inlineStr">
        <is>
          <t>310040.0</t>
        </is>
      </c>
      <c r="B61" t="n">
        <v>3091.07</v>
      </c>
      <c r="C61" t="n">
        <v>1</v>
      </c>
    </row>
    <row r="62">
      <c r="A62" t="inlineStr">
        <is>
          <t>221200.0</t>
        </is>
      </c>
      <c r="B62" t="n">
        <v>2837.56</v>
      </c>
      <c r="C62" t="n">
        <v>2</v>
      </c>
    </row>
    <row r="63">
      <c r="A63" t="inlineStr">
        <is>
          <t>450012.0</t>
        </is>
      </c>
      <c r="B63" t="n">
        <v>2335.36</v>
      </c>
      <c r="C63" t="n">
        <v>9</v>
      </c>
    </row>
    <row r="64">
      <c r="A64" t="inlineStr">
        <is>
          <t>450050.0</t>
        </is>
      </c>
      <c r="B64" t="n">
        <v>2205.42</v>
      </c>
      <c r="C64" t="n">
        <v>9</v>
      </c>
    </row>
    <row r="65">
      <c r="A65" t="inlineStr">
        <is>
          <t>480110.0</t>
        </is>
      </c>
      <c r="B65" t="n">
        <v>2196.54</v>
      </c>
      <c r="C65" t="n">
        <v>77</v>
      </c>
    </row>
    <row r="66">
      <c r="A66" t="inlineStr">
        <is>
          <t>7611100.0</t>
        </is>
      </c>
      <c r="B66" t="n">
        <v>2147</v>
      </c>
      <c r="C66" t="n">
        <v>230</v>
      </c>
    </row>
    <row r="67">
      <c r="A67" t="inlineStr">
        <is>
          <t>450081.0</t>
        </is>
      </c>
      <c r="B67" t="n">
        <v>2000</v>
      </c>
      <c r="C67" t="n">
        <v>1</v>
      </c>
    </row>
    <row r="68">
      <c r="A68" t="inlineStr">
        <is>
          <t>400011.0</t>
        </is>
      </c>
      <c r="B68" t="n">
        <v>1981.61</v>
      </c>
      <c r="C68" t="n">
        <v>15</v>
      </c>
    </row>
    <row r="69">
      <c r="A69" t="inlineStr">
        <is>
          <t>310900.0</t>
        </is>
      </c>
      <c r="B69" t="n">
        <v>1750</v>
      </c>
      <c r="C69" t="n">
        <v>6</v>
      </c>
    </row>
    <row r="70">
      <c r="A70" t="inlineStr">
        <is>
          <t>450011.0</t>
        </is>
      </c>
      <c r="B70" t="n">
        <v>1652</v>
      </c>
      <c r="C70" t="n">
        <v>27</v>
      </c>
    </row>
    <row r="71">
      <c r="A71" t="inlineStr">
        <is>
          <t>460040.0</t>
        </is>
      </c>
      <c r="B71" t="n">
        <v>1647.26</v>
      </c>
      <c r="C71" t="n">
        <v>52</v>
      </c>
    </row>
    <row r="72">
      <c r="A72" t="inlineStr">
        <is>
          <t>420021.0</t>
        </is>
      </c>
      <c r="B72" t="n">
        <v>1607.94</v>
      </c>
      <c r="C72" t="n">
        <v>5</v>
      </c>
    </row>
    <row r="73">
      <c r="A73" t="inlineStr">
        <is>
          <t>460081.0</t>
        </is>
      </c>
      <c r="B73" t="n">
        <v>1600</v>
      </c>
      <c r="C73" t="n">
        <v>1</v>
      </c>
    </row>
    <row r="74">
      <c r="A74" t="inlineStr">
        <is>
          <t>7611200.0</t>
        </is>
      </c>
      <c r="B74" t="n">
        <v>1518</v>
      </c>
      <c r="C74" t="n">
        <v>279</v>
      </c>
    </row>
    <row r="75">
      <c r="A75" t="inlineStr">
        <is>
          <t>460020.0</t>
        </is>
      </c>
      <c r="B75" t="n">
        <v>1464.94</v>
      </c>
      <c r="C75" t="n">
        <v>12</v>
      </c>
    </row>
    <row r="76">
      <c r="A76" t="inlineStr">
        <is>
          <t>450080.0</t>
        </is>
      </c>
      <c r="B76" t="n">
        <v>1232.84</v>
      </c>
      <c r="C76" t="n">
        <v>9</v>
      </c>
    </row>
    <row r="77">
      <c r="A77" t="inlineStr">
        <is>
          <t>420500.0</t>
        </is>
      </c>
      <c r="B77" t="n">
        <v>1200</v>
      </c>
      <c r="C77" t="n">
        <v>1</v>
      </c>
    </row>
    <row r="78">
      <c r="A78" t="inlineStr">
        <is>
          <t>460090.0</t>
        </is>
      </c>
      <c r="B78" t="n">
        <v>1073.6</v>
      </c>
      <c r="C78" t="n">
        <v>13</v>
      </c>
    </row>
    <row r="79">
      <c r="A79" t="inlineStr">
        <is>
          <t>400020.0</t>
        </is>
      </c>
      <c r="B79" t="n">
        <v>1020.38</v>
      </c>
      <c r="C79" t="n">
        <v>6</v>
      </c>
    </row>
    <row r="80">
      <c r="A80" t="inlineStr">
        <is>
          <t>420450.0</t>
        </is>
      </c>
      <c r="B80" t="n">
        <v>1012.27</v>
      </c>
      <c r="C80" t="n">
        <v>1</v>
      </c>
    </row>
    <row r="81">
      <c r="A81" t="inlineStr">
        <is>
          <t>330900.0</t>
        </is>
      </c>
      <c r="B81" t="n">
        <v>-928.87</v>
      </c>
      <c r="C81" t="n">
        <v>364</v>
      </c>
    </row>
    <row r="82">
      <c r="A82" t="inlineStr">
        <is>
          <t>401015.0</t>
        </is>
      </c>
      <c r="B82" t="n">
        <v>856.1900000000001</v>
      </c>
      <c r="C82" t="n">
        <v>17</v>
      </c>
    </row>
    <row r="83">
      <c r="A83" t="inlineStr">
        <is>
          <t>310080.0</t>
        </is>
      </c>
      <c r="B83" t="n">
        <v>770.89</v>
      </c>
      <c r="C83" t="n">
        <v>8</v>
      </c>
    </row>
    <row r="84">
      <c r="A84" t="inlineStr">
        <is>
          <t>340600.0</t>
        </is>
      </c>
      <c r="B84" t="n">
        <v>761.1</v>
      </c>
      <c r="C84" t="n">
        <v>23</v>
      </c>
    </row>
    <row r="85">
      <c r="A85" t="inlineStr">
        <is>
          <t>411050.0</t>
        </is>
      </c>
      <c r="B85" t="n">
        <v>600.15</v>
      </c>
      <c r="C85" t="n">
        <v>1</v>
      </c>
    </row>
    <row r="86">
      <c r="A86" t="inlineStr">
        <is>
          <t>213200.0</t>
        </is>
      </c>
      <c r="B86" t="n">
        <v>433.28</v>
      </c>
      <c r="C86" t="n">
        <v>4</v>
      </c>
    </row>
    <row r="87">
      <c r="A87" t="inlineStr">
        <is>
          <t>400040.0</t>
        </is>
      </c>
      <c r="B87" t="n">
        <v>369.36</v>
      </c>
      <c r="C87" t="n">
        <v>3</v>
      </c>
    </row>
    <row r="88">
      <c r="A88" t="inlineStr">
        <is>
          <t>420040.0</t>
        </is>
      </c>
      <c r="B88" t="n">
        <v>363.89</v>
      </c>
      <c r="C88" t="n">
        <v>3</v>
      </c>
    </row>
    <row r="89">
      <c r="A89" t="inlineStr">
        <is>
          <t>431041.0</t>
        </is>
      </c>
      <c r="B89" t="n">
        <v>354.64</v>
      </c>
      <c r="C89" t="n">
        <v>15</v>
      </c>
    </row>
    <row r="90">
      <c r="A90" t="inlineStr">
        <is>
          <t>450020.0</t>
        </is>
      </c>
      <c r="B90" t="n">
        <v>329.5</v>
      </c>
      <c r="C90" t="n">
        <v>8</v>
      </c>
    </row>
    <row r="91">
      <c r="A91" t="inlineStr">
        <is>
          <t>430010.0</t>
        </is>
      </c>
      <c r="B91" t="n">
        <v>296.18</v>
      </c>
      <c r="C91" t="n">
        <v>2</v>
      </c>
    </row>
    <row r="92">
      <c r="A92" t="inlineStr">
        <is>
          <t>431090.0</t>
        </is>
      </c>
      <c r="B92" t="n">
        <v>213.72</v>
      </c>
      <c r="C92" t="n">
        <v>1</v>
      </c>
    </row>
    <row r="93">
      <c r="A93" t="inlineStr">
        <is>
          <t>450061.0</t>
        </is>
      </c>
      <c r="B93" t="n">
        <v>101.74</v>
      </c>
      <c r="C93" t="n">
        <v>7</v>
      </c>
    </row>
    <row r="94">
      <c r="A94" t="inlineStr">
        <is>
          <t>440050.0</t>
        </is>
      </c>
      <c r="B94" t="n">
        <v>100</v>
      </c>
      <c r="C94" t="n">
        <v>1</v>
      </c>
    </row>
    <row r="95">
      <c r="A95" t="inlineStr">
        <is>
          <t>401020.0</t>
        </is>
      </c>
      <c r="B95" t="n">
        <v>76.61</v>
      </c>
      <c r="C95" t="n">
        <v>1</v>
      </c>
    </row>
    <row r="96">
      <c r="A96" t="inlineStr">
        <is>
          <t>400010.0</t>
        </is>
      </c>
      <c r="B96" t="n">
        <v>75.63</v>
      </c>
      <c r="C96" t="n">
        <v>1</v>
      </c>
    </row>
    <row r="97">
      <c r="A97" t="inlineStr">
        <is>
          <t>450013.0</t>
        </is>
      </c>
      <c r="B97" t="n">
        <v>-61.6</v>
      </c>
      <c r="C97" t="n">
        <v>4</v>
      </c>
    </row>
    <row r="98">
      <c r="A98" t="inlineStr">
        <is>
          <t>401050.0</t>
        </is>
      </c>
      <c r="B98" t="n">
        <v>58.03</v>
      </c>
      <c r="C98" t="n">
        <v>64</v>
      </c>
    </row>
    <row r="99">
      <c r="A99" t="inlineStr">
        <is>
          <t>420060.0</t>
        </is>
      </c>
      <c r="B99" t="n">
        <v>47.37</v>
      </c>
      <c r="C99" t="n">
        <v>5</v>
      </c>
    </row>
    <row r="100">
      <c r="A100" t="inlineStr">
        <is>
          <t>401010.0</t>
        </is>
      </c>
      <c r="B100" t="n">
        <v>42.03</v>
      </c>
      <c r="C100" t="n">
        <v>1</v>
      </c>
    </row>
    <row r="101">
      <c r="A101" t="inlineStr">
        <is>
          <t>252000.0</t>
        </is>
      </c>
      <c r="B101" t="n">
        <v>-25.4</v>
      </c>
      <c r="C101" t="n">
        <v>3</v>
      </c>
    </row>
    <row r="102">
      <c r="A102" t="inlineStr">
        <is>
          <t>210000.0</t>
        </is>
      </c>
      <c r="B102" t="n">
        <v>13.36</v>
      </c>
      <c r="C102" t="n">
        <v>6</v>
      </c>
    </row>
    <row r="103">
      <c r="A103" t="inlineStr">
        <is>
          <t>210900.0</t>
        </is>
      </c>
      <c r="B103" t="n">
        <v>13.32</v>
      </c>
      <c r="C103" t="n">
        <v>2</v>
      </c>
    </row>
    <row r="104">
      <c r="A104" t="inlineStr">
        <is>
          <t>310010.0</t>
        </is>
      </c>
      <c r="B104" t="n">
        <v>12.67</v>
      </c>
      <c r="C104" t="n">
        <v>2</v>
      </c>
    </row>
    <row r="105">
      <c r="A105" t="inlineStr">
        <is>
          <t>840040.0</t>
        </is>
      </c>
      <c r="B105" t="n">
        <v>0</v>
      </c>
      <c r="C105" t="n">
        <v>79</v>
      </c>
    </row>
    <row r="106">
      <c r="A106" t="inlineStr">
        <is>
          <t>890100.0</t>
        </is>
      </c>
      <c r="B106" t="n">
        <v>0</v>
      </c>
      <c r="C106" t="n">
        <v>77</v>
      </c>
    </row>
    <row r="107">
      <c r="A107" t="inlineStr">
        <is>
          <t>890800.0</t>
        </is>
      </c>
      <c r="B107" t="n">
        <v>0</v>
      </c>
      <c r="C107" t="n">
        <v>2</v>
      </c>
    </row>
    <row r="108">
      <c r="A108" t="inlineStr">
        <is>
          <t>300075.0</t>
        </is>
      </c>
      <c r="B108" t="n">
        <v>0</v>
      </c>
      <c r="C108" t="n">
        <v>2</v>
      </c>
    </row>
    <row r="109">
      <c r="A109" t="inlineStr">
        <is>
          <t>273500.0</t>
        </is>
      </c>
      <c r="B109" t="n">
        <v>0</v>
      </c>
      <c r="C109" t="n">
        <v>4</v>
      </c>
    </row>
    <row r="110">
      <c r="A110" t="inlineStr">
        <is>
          <t>265900.0</t>
        </is>
      </c>
      <c r="B110" t="n">
        <v>0</v>
      </c>
      <c r="C110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8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geschaeftsjahr</t>
        </is>
      </c>
      <c r="B1" s="2" t="inlineStr">
        <is>
          <t>periode</t>
        </is>
      </c>
      <c r="C1" s="2" t="inlineStr">
        <is>
          <t>auftrag</t>
        </is>
      </c>
      <c r="D1" s="2" t="inlineStr">
        <is>
          <t>summe_wert</t>
        </is>
      </c>
      <c r="E1" s="2" t="inlineStr">
        <is>
          <t>anzahl</t>
        </is>
      </c>
    </row>
    <row r="2">
      <c r="D2" t="n">
        <v>-361720.87</v>
      </c>
      <c r="E2" t="n">
        <v>1</v>
      </c>
    </row>
    <row r="3">
      <c r="A3" t="n">
        <v>2026</v>
      </c>
      <c r="B3" t="n">
        <v>1</v>
      </c>
      <c r="C3" t="inlineStr">
        <is>
          <t>P4102157208</t>
        </is>
      </c>
      <c r="D3" t="n">
        <v>0</v>
      </c>
      <c r="E3" t="n">
        <v>6</v>
      </c>
    </row>
    <row r="4">
      <c r="A4" t="n">
        <v>2026</v>
      </c>
      <c r="B4" t="n">
        <v>1</v>
      </c>
      <c r="C4" t="inlineStr">
        <is>
          <t>P4102157414</t>
        </is>
      </c>
      <c r="D4" t="n">
        <v>0</v>
      </c>
      <c r="E4" t="n">
        <v>6</v>
      </c>
    </row>
    <row r="5">
      <c r="A5" t="n">
        <v>2026</v>
      </c>
      <c r="B5" t="n">
        <v>1</v>
      </c>
      <c r="C5" t="inlineStr">
        <is>
          <t>P4102157420</t>
        </is>
      </c>
      <c r="D5" t="n">
        <v>0</v>
      </c>
      <c r="E5" t="n">
        <v>8</v>
      </c>
    </row>
    <row r="6">
      <c r="A6" t="n">
        <v>2026</v>
      </c>
      <c r="B6" t="n">
        <v>1</v>
      </c>
      <c r="C6" t="inlineStr">
        <is>
          <t>P4102157429</t>
        </is>
      </c>
      <c r="D6" t="n">
        <v>0</v>
      </c>
      <c r="E6" t="n">
        <v>16</v>
      </c>
    </row>
    <row r="7">
      <c r="A7" t="n">
        <v>2026</v>
      </c>
      <c r="B7" t="n">
        <v>1</v>
      </c>
      <c r="C7" t="inlineStr">
        <is>
          <t>P4102157440</t>
        </is>
      </c>
      <c r="D7" t="n">
        <v>0</v>
      </c>
      <c r="E7" t="n">
        <v>6</v>
      </c>
    </row>
    <row r="8">
      <c r="A8" t="n">
        <v>2026</v>
      </c>
      <c r="B8" t="n">
        <v>1</v>
      </c>
      <c r="C8" t="inlineStr">
        <is>
          <t>P4102157443</t>
        </is>
      </c>
      <c r="D8" t="n">
        <v>0</v>
      </c>
      <c r="E8" t="n">
        <v>4</v>
      </c>
    </row>
    <row r="9">
      <c r="A9" t="n">
        <v>2026</v>
      </c>
      <c r="B9" t="n">
        <v>1</v>
      </c>
      <c r="C9" t="inlineStr">
        <is>
          <t>P4102157447</t>
        </is>
      </c>
      <c r="D9" t="n">
        <v>0</v>
      </c>
      <c r="E9" t="n">
        <v>2</v>
      </c>
    </row>
    <row r="10">
      <c r="A10" t="n">
        <v>2026</v>
      </c>
      <c r="B10" t="n">
        <v>1</v>
      </c>
      <c r="C10" t="inlineStr">
        <is>
          <t>P4102157449</t>
        </is>
      </c>
      <c r="D10" t="n">
        <v>0</v>
      </c>
      <c r="E10" t="n">
        <v>37</v>
      </c>
    </row>
    <row r="11">
      <c r="A11" t="n">
        <v>2026</v>
      </c>
      <c r="B11" t="n">
        <v>1</v>
      </c>
      <c r="C11" t="inlineStr">
        <is>
          <t>P4102157451</t>
        </is>
      </c>
      <c r="D11" t="n">
        <v>0</v>
      </c>
      <c r="E11" t="n">
        <v>50</v>
      </c>
    </row>
    <row r="12">
      <c r="A12" t="n">
        <v>2026</v>
      </c>
      <c r="B12" t="n">
        <v>1</v>
      </c>
      <c r="C12" t="inlineStr">
        <is>
          <t>P4102157453</t>
        </is>
      </c>
      <c r="D12" t="n">
        <v>0</v>
      </c>
      <c r="E12" t="n">
        <v>44</v>
      </c>
    </row>
    <row r="13">
      <c r="A13" t="n">
        <v>2026</v>
      </c>
      <c r="B13" t="n">
        <v>1</v>
      </c>
      <c r="C13" t="inlineStr">
        <is>
          <t>P4102157455</t>
        </is>
      </c>
      <c r="D13" t="n">
        <v>0</v>
      </c>
      <c r="E13" t="n">
        <v>13</v>
      </c>
    </row>
    <row r="14">
      <c r="A14" t="n">
        <v>2026</v>
      </c>
      <c r="B14" t="n">
        <v>1</v>
      </c>
      <c r="C14" t="inlineStr">
        <is>
          <t>P4102157457</t>
        </is>
      </c>
      <c r="D14" t="n">
        <v>0</v>
      </c>
      <c r="E14" t="n">
        <v>4</v>
      </c>
    </row>
    <row r="15">
      <c r="A15" t="n">
        <v>2026</v>
      </c>
      <c r="B15" t="n">
        <v>1</v>
      </c>
      <c r="C15" t="inlineStr">
        <is>
          <t>P4102307304</t>
        </is>
      </c>
      <c r="D15" t="n">
        <v>0</v>
      </c>
      <c r="E15" t="n">
        <v>4</v>
      </c>
    </row>
    <row r="16">
      <c r="A16" t="n">
        <v>2026</v>
      </c>
      <c r="B16" t="n">
        <v>1</v>
      </c>
      <c r="C16" t="inlineStr">
        <is>
          <t>P4102307422</t>
        </is>
      </c>
      <c r="D16" t="n">
        <v>0</v>
      </c>
      <c r="E16" t="n">
        <v>4</v>
      </c>
    </row>
    <row r="17">
      <c r="A17" t="n">
        <v>2026</v>
      </c>
      <c r="B17" t="n">
        <v>1</v>
      </c>
      <c r="C17" t="inlineStr">
        <is>
          <t>P4102307423</t>
        </is>
      </c>
      <c r="D17" t="n">
        <v>0</v>
      </c>
      <c r="E17" t="n">
        <v>3</v>
      </c>
    </row>
    <row r="18">
      <c r="A18" t="n">
        <v>2026</v>
      </c>
      <c r="B18" t="n">
        <v>1</v>
      </c>
      <c r="C18" t="inlineStr">
        <is>
          <t>P4102307427</t>
        </is>
      </c>
      <c r="D18" t="n">
        <v>0</v>
      </c>
      <c r="E18" t="n">
        <v>11</v>
      </c>
    </row>
    <row r="19">
      <c r="A19" t="n">
        <v>2026</v>
      </c>
      <c r="B19" t="n">
        <v>1</v>
      </c>
      <c r="C19" t="inlineStr">
        <is>
          <t>P4102307428</t>
        </is>
      </c>
      <c r="D19" t="n">
        <v>0</v>
      </c>
      <c r="E19" t="n">
        <v>22</v>
      </c>
    </row>
    <row r="20">
      <c r="A20" t="n">
        <v>2026</v>
      </c>
      <c r="B20" t="n">
        <v>1</v>
      </c>
      <c r="C20" t="inlineStr">
        <is>
          <t>P4102307429</t>
        </is>
      </c>
      <c r="D20" t="n">
        <v>0</v>
      </c>
      <c r="E20" t="n">
        <v>6</v>
      </c>
    </row>
    <row r="21">
      <c r="A21" t="n">
        <v>2026</v>
      </c>
      <c r="B21" t="n">
        <v>1</v>
      </c>
      <c r="C21" t="inlineStr">
        <is>
          <t>P4102307430</t>
        </is>
      </c>
      <c r="D21" t="n">
        <v>0</v>
      </c>
      <c r="E21" t="n">
        <v>4</v>
      </c>
    </row>
    <row r="22">
      <c r="A22" t="n">
        <v>2026</v>
      </c>
      <c r="B22" t="n">
        <v>1</v>
      </c>
      <c r="C22" t="inlineStr">
        <is>
          <t>P4102307432</t>
        </is>
      </c>
      <c r="D22" t="n">
        <v>0</v>
      </c>
      <c r="E22" t="n">
        <v>4</v>
      </c>
    </row>
    <row r="23">
      <c r="A23" t="n">
        <v>2026</v>
      </c>
      <c r="B23" t="n">
        <v>1</v>
      </c>
      <c r="C23" t="inlineStr">
        <is>
          <t>P4102307433</t>
        </is>
      </c>
      <c r="D23" t="n">
        <v>0</v>
      </c>
      <c r="E23" t="n">
        <v>54</v>
      </c>
    </row>
    <row r="24">
      <c r="A24" t="n">
        <v>2026</v>
      </c>
      <c r="B24" t="n">
        <v>1</v>
      </c>
      <c r="C24" t="inlineStr">
        <is>
          <t>P4102307434</t>
        </is>
      </c>
      <c r="D24" t="n">
        <v>0</v>
      </c>
      <c r="E24" t="n">
        <v>6</v>
      </c>
    </row>
    <row r="25">
      <c r="A25" t="n">
        <v>2026</v>
      </c>
      <c r="B25" t="n">
        <v>1</v>
      </c>
      <c r="C25" t="inlineStr">
        <is>
          <t>P4102307435</t>
        </is>
      </c>
      <c r="D25" t="n">
        <v>0</v>
      </c>
      <c r="E25" t="n">
        <v>20</v>
      </c>
    </row>
    <row r="26">
      <c r="A26" t="n">
        <v>2026</v>
      </c>
      <c r="B26" t="n">
        <v>1</v>
      </c>
      <c r="C26" t="inlineStr">
        <is>
          <t>P4102307436</t>
        </is>
      </c>
      <c r="D26" t="n">
        <v>0</v>
      </c>
      <c r="E26" t="n">
        <v>26</v>
      </c>
    </row>
    <row r="27">
      <c r="A27" t="n">
        <v>2026</v>
      </c>
      <c r="B27" t="n">
        <v>1</v>
      </c>
      <c r="C27" t="inlineStr">
        <is>
          <t>P4102307437</t>
        </is>
      </c>
      <c r="D27" t="n">
        <v>0</v>
      </c>
      <c r="E27" t="n">
        <v>13</v>
      </c>
    </row>
    <row r="28">
      <c r="A28" t="n">
        <v>2026</v>
      </c>
      <c r="B28" t="n">
        <v>1</v>
      </c>
      <c r="C28" t="inlineStr">
        <is>
          <t>P4102307440</t>
        </is>
      </c>
      <c r="D28" t="n">
        <v>0</v>
      </c>
      <c r="E28" t="n">
        <v>16</v>
      </c>
    </row>
    <row r="29">
      <c r="A29" t="n">
        <v>2026</v>
      </c>
      <c r="B29" t="n">
        <v>1</v>
      </c>
      <c r="C29" t="inlineStr">
        <is>
          <t>P4102309045</t>
        </is>
      </c>
      <c r="D29" t="n">
        <v>0</v>
      </c>
      <c r="E29" t="n">
        <v>8</v>
      </c>
    </row>
    <row r="30">
      <c r="A30" t="n">
        <v>2026</v>
      </c>
      <c r="B30" t="n">
        <v>1</v>
      </c>
      <c r="C30" t="inlineStr">
        <is>
          <t>P4102309046</t>
        </is>
      </c>
      <c r="D30" t="n">
        <v>0</v>
      </c>
      <c r="E30" t="n">
        <v>2</v>
      </c>
    </row>
    <row r="31">
      <c r="A31" t="n">
        <v>2026</v>
      </c>
      <c r="B31" t="n">
        <v>1</v>
      </c>
      <c r="C31" t="inlineStr">
        <is>
          <t>P4102602023</t>
        </is>
      </c>
      <c r="D31" t="n">
        <v>0</v>
      </c>
      <c r="E31" t="n">
        <v>7</v>
      </c>
    </row>
    <row r="32">
      <c r="A32" t="n">
        <v>2026</v>
      </c>
      <c r="B32" t="n">
        <v>1</v>
      </c>
      <c r="C32" t="inlineStr">
        <is>
          <t>P4102607989</t>
        </is>
      </c>
      <c r="D32" t="n">
        <v>0</v>
      </c>
      <c r="E32" t="n">
        <v>23</v>
      </c>
    </row>
    <row r="33">
      <c r="A33" t="n">
        <v>2026</v>
      </c>
      <c r="B33" t="n">
        <v>1</v>
      </c>
      <c r="C33" t="inlineStr">
        <is>
          <t>P4102608224</t>
        </is>
      </c>
      <c r="D33" t="n">
        <v>0</v>
      </c>
      <c r="E33" t="n">
        <v>7</v>
      </c>
    </row>
    <row r="34">
      <c r="A34" t="n">
        <v>2026</v>
      </c>
      <c r="B34" t="n">
        <v>1</v>
      </c>
      <c r="C34" t="inlineStr">
        <is>
          <t>P4102608246</t>
        </is>
      </c>
      <c r="D34" t="n">
        <v>0</v>
      </c>
      <c r="E34" t="n">
        <v>67</v>
      </c>
    </row>
    <row r="35">
      <c r="A35" t="n">
        <v>2026</v>
      </c>
      <c r="B35" t="n">
        <v>1</v>
      </c>
      <c r="C35" t="inlineStr">
        <is>
          <t>P4102608263</t>
        </is>
      </c>
      <c r="D35" t="n">
        <v>0</v>
      </c>
      <c r="E35" t="n">
        <v>36</v>
      </c>
    </row>
    <row r="36">
      <c r="A36" t="n">
        <v>2026</v>
      </c>
      <c r="B36" t="n">
        <v>1</v>
      </c>
      <c r="C36" t="inlineStr">
        <is>
          <t>P4102608264</t>
        </is>
      </c>
      <c r="D36" t="n">
        <v>0</v>
      </c>
      <c r="E36" t="n">
        <v>8</v>
      </c>
    </row>
    <row r="37">
      <c r="A37" t="n">
        <v>2026</v>
      </c>
      <c r="B37" t="n">
        <v>1</v>
      </c>
      <c r="C37" t="inlineStr">
        <is>
          <t>P4102608265</t>
        </is>
      </c>
      <c r="D37" t="n">
        <v>0</v>
      </c>
      <c r="E37" t="n">
        <v>20</v>
      </c>
    </row>
    <row r="38">
      <c r="A38" t="n">
        <v>2026</v>
      </c>
      <c r="B38" t="n">
        <v>1</v>
      </c>
      <c r="C38" t="inlineStr">
        <is>
          <t>P4102608266</t>
        </is>
      </c>
      <c r="D38" t="n">
        <v>0</v>
      </c>
      <c r="E38" t="n">
        <v>8</v>
      </c>
    </row>
    <row r="39">
      <c r="A39" t="n">
        <v>2026</v>
      </c>
      <c r="B39" t="n">
        <v>1</v>
      </c>
      <c r="C39" t="inlineStr">
        <is>
          <t>P4102608267</t>
        </is>
      </c>
      <c r="D39" t="n">
        <v>0</v>
      </c>
      <c r="E39" t="n">
        <v>2</v>
      </c>
    </row>
    <row r="40">
      <c r="A40" t="n">
        <v>2026</v>
      </c>
      <c r="B40" t="n">
        <v>1</v>
      </c>
      <c r="C40" t="inlineStr">
        <is>
          <t>P4102652023</t>
        </is>
      </c>
      <c r="D40" t="n">
        <v>0</v>
      </c>
      <c r="E40" t="n">
        <v>4</v>
      </c>
    </row>
    <row r="41">
      <c r="A41" t="n">
        <v>2026</v>
      </c>
      <c r="B41" t="n">
        <v>1</v>
      </c>
      <c r="C41" t="inlineStr">
        <is>
          <t>P4102658228</t>
        </is>
      </c>
      <c r="D41" t="n">
        <v>0</v>
      </c>
      <c r="E41" t="n">
        <v>6</v>
      </c>
    </row>
    <row r="42">
      <c r="A42" t="n">
        <v>2026</v>
      </c>
      <c r="B42" t="n">
        <v>1</v>
      </c>
      <c r="C42" t="inlineStr">
        <is>
          <t>P4102658229</t>
        </is>
      </c>
      <c r="D42" t="n">
        <v>0</v>
      </c>
      <c r="E42" t="n">
        <v>36</v>
      </c>
    </row>
    <row r="43">
      <c r="A43" t="n">
        <v>2026</v>
      </c>
      <c r="B43" t="n">
        <v>1</v>
      </c>
      <c r="C43" t="inlineStr">
        <is>
          <t>P4102658250</t>
        </is>
      </c>
      <c r="D43" t="n">
        <v>0</v>
      </c>
      <c r="E43" t="n">
        <v>6</v>
      </c>
    </row>
    <row r="44">
      <c r="A44" t="n">
        <v>2026</v>
      </c>
      <c r="B44" t="n">
        <v>1</v>
      </c>
      <c r="C44" t="inlineStr">
        <is>
          <t>P4102658254</t>
        </is>
      </c>
      <c r="D44" t="n">
        <v>0</v>
      </c>
      <c r="E44" t="n">
        <v>5</v>
      </c>
    </row>
    <row r="45">
      <c r="A45" t="n">
        <v>2026</v>
      </c>
      <c r="B45" t="n">
        <v>1</v>
      </c>
      <c r="C45" t="inlineStr">
        <is>
          <t>P4102658256</t>
        </is>
      </c>
      <c r="D45" t="n">
        <v>0</v>
      </c>
      <c r="E45" t="n">
        <v>35</v>
      </c>
    </row>
    <row r="46">
      <c r="A46" t="n">
        <v>2026</v>
      </c>
      <c r="B46" t="n">
        <v>1</v>
      </c>
      <c r="C46" t="inlineStr">
        <is>
          <t>P4102658259</t>
        </is>
      </c>
      <c r="D46" t="n">
        <v>0</v>
      </c>
      <c r="E46" t="n">
        <v>2</v>
      </c>
    </row>
    <row r="47">
      <c r="A47" t="n">
        <v>2026</v>
      </c>
      <c r="B47" t="n">
        <v>1</v>
      </c>
      <c r="C47" t="inlineStr">
        <is>
          <t>W4102154411</t>
        </is>
      </c>
      <c r="D47" t="n">
        <v>-69681.32000000001</v>
      </c>
      <c r="E47" t="n">
        <v>61</v>
      </c>
    </row>
    <row r="48">
      <c r="A48" t="n">
        <v>2026</v>
      </c>
      <c r="B48" t="n">
        <v>1</v>
      </c>
      <c r="C48" t="inlineStr">
        <is>
          <t>W4102154501</t>
        </is>
      </c>
      <c r="D48" t="n">
        <v>1083</v>
      </c>
      <c r="E48" t="n">
        <v>1</v>
      </c>
    </row>
    <row r="49">
      <c r="A49" t="n">
        <v>2026</v>
      </c>
      <c r="B49" t="n">
        <v>1</v>
      </c>
      <c r="C49" t="inlineStr">
        <is>
          <t>W4102154611</t>
        </is>
      </c>
      <c r="D49" t="n">
        <v>1826.56</v>
      </c>
      <c r="E49" t="n">
        <v>24</v>
      </c>
    </row>
    <row r="50">
      <c r="A50" t="n">
        <v>2026</v>
      </c>
      <c r="B50" t="n">
        <v>1</v>
      </c>
      <c r="C50" t="inlineStr">
        <is>
          <t>W4102154953</t>
        </is>
      </c>
      <c r="D50" t="n">
        <v>1258.71</v>
      </c>
      <c r="E50" t="n">
        <v>3</v>
      </c>
    </row>
    <row r="51">
      <c r="A51" t="n">
        <v>2026</v>
      </c>
      <c r="B51" t="n">
        <v>1</v>
      </c>
      <c r="C51" t="inlineStr">
        <is>
          <t>W4102154961</t>
        </is>
      </c>
      <c r="D51" t="n">
        <v>195.08</v>
      </c>
      <c r="E51" t="n">
        <v>6</v>
      </c>
    </row>
    <row r="52">
      <c r="A52" t="n">
        <v>2026</v>
      </c>
      <c r="B52" t="n">
        <v>1</v>
      </c>
      <c r="C52" t="inlineStr">
        <is>
          <t>W4102154964</t>
        </is>
      </c>
      <c r="D52" t="n">
        <v>717.58</v>
      </c>
      <c r="E52" t="n">
        <v>3</v>
      </c>
    </row>
    <row r="53">
      <c r="A53" t="n">
        <v>2026</v>
      </c>
      <c r="B53" t="n">
        <v>1</v>
      </c>
      <c r="C53" t="inlineStr">
        <is>
          <t>W4102154966</t>
        </is>
      </c>
      <c r="D53" t="n">
        <v>1426.82</v>
      </c>
      <c r="E53" t="n">
        <v>2</v>
      </c>
    </row>
    <row r="54">
      <c r="A54" t="n">
        <v>2026</v>
      </c>
      <c r="B54" t="n">
        <v>1</v>
      </c>
      <c r="C54" t="inlineStr">
        <is>
          <t>W4102154967</t>
        </is>
      </c>
      <c r="D54" t="n">
        <v>635</v>
      </c>
      <c r="E54" t="n">
        <v>2</v>
      </c>
    </row>
    <row r="55">
      <c r="A55" t="n">
        <v>2026</v>
      </c>
      <c r="B55" t="n">
        <v>1</v>
      </c>
      <c r="C55" t="inlineStr">
        <is>
          <t>W4102304411</t>
        </is>
      </c>
      <c r="D55" t="n">
        <v>-16721.11</v>
      </c>
      <c r="E55" t="n">
        <v>53</v>
      </c>
    </row>
    <row r="56">
      <c r="A56" t="n">
        <v>2026</v>
      </c>
      <c r="B56" t="n">
        <v>1</v>
      </c>
      <c r="C56" t="inlineStr">
        <is>
          <t>W4102304412</t>
        </is>
      </c>
      <c r="D56" t="n">
        <v>415</v>
      </c>
      <c r="E56" t="n">
        <v>5</v>
      </c>
    </row>
    <row r="57">
      <c r="A57" t="n">
        <v>2026</v>
      </c>
      <c r="B57" t="n">
        <v>1</v>
      </c>
      <c r="C57" t="inlineStr">
        <is>
          <t>W4102304611</t>
        </is>
      </c>
      <c r="D57" t="n">
        <v>4352.43</v>
      </c>
      <c r="E57" t="n">
        <v>20</v>
      </c>
    </row>
    <row r="58">
      <c r="A58" t="n">
        <v>2026</v>
      </c>
      <c r="B58" t="n">
        <v>1</v>
      </c>
      <c r="C58" t="inlineStr">
        <is>
          <t>W4102304943</t>
        </is>
      </c>
      <c r="D58" t="n">
        <v>749.04</v>
      </c>
      <c r="E58" t="n">
        <v>3</v>
      </c>
    </row>
    <row r="59">
      <c r="A59" t="n">
        <v>2026</v>
      </c>
      <c r="B59" t="n">
        <v>1</v>
      </c>
      <c r="C59" t="inlineStr">
        <is>
          <t>W4102304946</t>
        </is>
      </c>
      <c r="D59" t="n">
        <v>555.58</v>
      </c>
      <c r="E59" t="n">
        <v>3</v>
      </c>
    </row>
    <row r="60">
      <c r="A60" t="n">
        <v>2026</v>
      </c>
      <c r="B60" t="n">
        <v>1</v>
      </c>
      <c r="C60" t="inlineStr">
        <is>
          <t>W4102304947</t>
        </is>
      </c>
      <c r="D60" t="n">
        <v>17.83</v>
      </c>
      <c r="E60" t="n">
        <v>1</v>
      </c>
    </row>
    <row r="61">
      <c r="A61" t="n">
        <v>2026</v>
      </c>
      <c r="B61" t="n">
        <v>1</v>
      </c>
      <c r="C61" t="inlineStr">
        <is>
          <t>W4102307366</t>
        </is>
      </c>
      <c r="D61" t="n">
        <v>0</v>
      </c>
      <c r="E61" t="n">
        <v>4</v>
      </c>
    </row>
    <row r="62">
      <c r="A62" t="n">
        <v>2026</v>
      </c>
      <c r="B62" t="n">
        <v>1</v>
      </c>
      <c r="C62" t="inlineStr">
        <is>
          <t>W4102504101</t>
        </is>
      </c>
      <c r="D62" t="n">
        <v>3</v>
      </c>
      <c r="E62" t="n">
        <v>3</v>
      </c>
    </row>
    <row r="63">
      <c r="A63" t="n">
        <v>2026</v>
      </c>
      <c r="B63" t="n">
        <v>1</v>
      </c>
      <c r="C63" t="inlineStr">
        <is>
          <t>W4102504102</t>
        </is>
      </c>
      <c r="D63" t="n">
        <v>14.1</v>
      </c>
      <c r="E63" t="n">
        <v>1</v>
      </c>
    </row>
    <row r="64">
      <c r="A64" t="n">
        <v>2026</v>
      </c>
      <c r="B64" t="n">
        <v>1</v>
      </c>
      <c r="C64" t="inlineStr">
        <is>
          <t>W4102504104</t>
        </is>
      </c>
      <c r="D64" t="n">
        <v>4750</v>
      </c>
      <c r="E64" t="n">
        <v>1</v>
      </c>
    </row>
    <row r="65">
      <c r="A65" t="n">
        <v>2026</v>
      </c>
      <c r="B65" t="n">
        <v>1</v>
      </c>
      <c r="C65" t="inlineStr">
        <is>
          <t>W4102504106</t>
        </is>
      </c>
      <c r="D65" t="n">
        <v>2098.95</v>
      </c>
      <c r="E65" t="n">
        <v>3</v>
      </c>
    </row>
    <row r="66">
      <c r="A66" t="n">
        <v>2026</v>
      </c>
      <c r="B66" t="n">
        <v>1</v>
      </c>
      <c r="C66" t="inlineStr">
        <is>
          <t>W4102504107</t>
        </is>
      </c>
      <c r="D66" t="n">
        <v>23.5</v>
      </c>
      <c r="E66" t="n">
        <v>1</v>
      </c>
    </row>
    <row r="67">
      <c r="A67" t="n">
        <v>2026</v>
      </c>
      <c r="B67" t="n">
        <v>1</v>
      </c>
      <c r="C67" t="inlineStr">
        <is>
          <t>W4102504211</t>
        </is>
      </c>
      <c r="D67" t="n">
        <v>14.1</v>
      </c>
      <c r="E67" t="n">
        <v>1</v>
      </c>
    </row>
    <row r="68">
      <c r="A68" t="n">
        <v>2026</v>
      </c>
      <c r="B68" t="n">
        <v>1</v>
      </c>
      <c r="C68" t="inlineStr">
        <is>
          <t>W4102504221</t>
        </is>
      </c>
      <c r="D68" t="n">
        <v>250.05</v>
      </c>
      <c r="E68" t="n">
        <v>2</v>
      </c>
    </row>
    <row r="69">
      <c r="A69" t="n">
        <v>2026</v>
      </c>
      <c r="B69" t="n">
        <v>1</v>
      </c>
      <c r="C69" t="inlineStr">
        <is>
          <t>W4102504222</t>
        </is>
      </c>
      <c r="D69" t="n">
        <v>44964.76</v>
      </c>
      <c r="E69" t="n">
        <v>68</v>
      </c>
    </row>
    <row r="70">
      <c r="A70" t="n">
        <v>2026</v>
      </c>
      <c r="B70" t="n">
        <v>1</v>
      </c>
      <c r="C70" t="inlineStr">
        <is>
          <t>W4102504262</t>
        </is>
      </c>
      <c r="D70" t="n">
        <v>4111.61</v>
      </c>
      <c r="E70" t="n">
        <v>19</v>
      </c>
    </row>
    <row r="71">
      <c r="A71" t="n">
        <v>2026</v>
      </c>
      <c r="B71" t="n">
        <v>1</v>
      </c>
      <c r="C71" t="inlineStr">
        <is>
          <t>W4102504941</t>
        </is>
      </c>
      <c r="D71" t="n">
        <v>161</v>
      </c>
      <c r="E71" t="n">
        <v>2</v>
      </c>
    </row>
    <row r="72">
      <c r="A72" t="n">
        <v>2026</v>
      </c>
      <c r="B72" t="n">
        <v>1</v>
      </c>
      <c r="C72" t="inlineStr">
        <is>
          <t>W4102504967</t>
        </is>
      </c>
      <c r="D72" t="n">
        <v>24.5</v>
      </c>
      <c r="E72" t="n">
        <v>1</v>
      </c>
    </row>
    <row r="73">
      <c r="A73" t="n">
        <v>2026</v>
      </c>
      <c r="B73" t="n">
        <v>1</v>
      </c>
      <c r="C73" t="inlineStr">
        <is>
          <t>W4102504971</t>
        </is>
      </c>
      <c r="D73" t="n">
        <v>441</v>
      </c>
      <c r="E73" t="n">
        <v>2</v>
      </c>
    </row>
    <row r="74">
      <c r="A74" t="n">
        <v>2026</v>
      </c>
      <c r="B74" t="n">
        <v>1</v>
      </c>
      <c r="C74" t="inlineStr">
        <is>
          <t>W4102504973</t>
        </is>
      </c>
      <c r="D74" t="n">
        <v>1021.12</v>
      </c>
      <c r="E74" t="n">
        <v>4</v>
      </c>
    </row>
    <row r="75">
      <c r="A75" t="n">
        <v>2026</v>
      </c>
      <c r="B75" t="n">
        <v>1</v>
      </c>
      <c r="C75" t="inlineStr">
        <is>
          <t>W4102504974</t>
        </is>
      </c>
      <c r="D75" t="n">
        <v>898.72</v>
      </c>
      <c r="E75" t="n">
        <v>3</v>
      </c>
    </row>
    <row r="76">
      <c r="A76" t="n">
        <v>2026</v>
      </c>
      <c r="B76" t="n">
        <v>1</v>
      </c>
      <c r="C76" t="inlineStr">
        <is>
          <t>W4102602023</t>
        </is>
      </c>
      <c r="D76" t="n">
        <v>761.1</v>
      </c>
      <c r="E76" t="n">
        <v>1</v>
      </c>
    </row>
    <row r="77">
      <c r="A77" t="n">
        <v>2026</v>
      </c>
      <c r="B77" t="n">
        <v>1</v>
      </c>
      <c r="C77" t="inlineStr">
        <is>
          <t>W4102604411</t>
        </is>
      </c>
      <c r="D77" t="n">
        <v>-33736.47</v>
      </c>
      <c r="E77" t="n">
        <v>36</v>
      </c>
    </row>
    <row r="78">
      <c r="A78" t="n">
        <v>2026</v>
      </c>
      <c r="B78" t="n">
        <v>1</v>
      </c>
      <c r="C78" t="inlineStr">
        <is>
          <t>W4102604414</t>
        </is>
      </c>
      <c r="D78" t="n">
        <v>1078.69</v>
      </c>
      <c r="E78" t="n">
        <v>4</v>
      </c>
    </row>
    <row r="79">
      <c r="A79" t="n">
        <v>2026</v>
      </c>
      <c r="B79" t="n">
        <v>1</v>
      </c>
      <c r="C79" t="inlineStr">
        <is>
          <t>W4102604611</t>
        </is>
      </c>
      <c r="D79" t="n">
        <v>1495.22</v>
      </c>
      <c r="E79" t="n">
        <v>19</v>
      </c>
    </row>
    <row r="80">
      <c r="A80" t="n">
        <v>2026</v>
      </c>
      <c r="B80" t="n">
        <v>1</v>
      </c>
      <c r="C80" t="inlineStr">
        <is>
          <t>W4102604612</t>
        </is>
      </c>
      <c r="D80" t="n">
        <v>33</v>
      </c>
      <c r="E80" t="n">
        <v>1</v>
      </c>
    </row>
    <row r="81">
      <c r="A81" t="n">
        <v>2026</v>
      </c>
      <c r="B81" t="n">
        <v>1</v>
      </c>
      <c r="C81" t="inlineStr">
        <is>
          <t>W4102604938</t>
        </is>
      </c>
      <c r="D81" t="n">
        <v>917.89</v>
      </c>
      <c r="E81" t="n">
        <v>4</v>
      </c>
    </row>
    <row r="82">
      <c r="A82" t="n">
        <v>2026</v>
      </c>
      <c r="B82" t="n">
        <v>1</v>
      </c>
      <c r="C82" t="inlineStr">
        <is>
          <t>W4102604940</t>
        </is>
      </c>
      <c r="D82" t="n">
        <v>361.23</v>
      </c>
      <c r="E82" t="n">
        <v>4</v>
      </c>
    </row>
    <row r="83">
      <c r="A83" t="n">
        <v>2026</v>
      </c>
      <c r="B83" t="n">
        <v>1</v>
      </c>
      <c r="C83" t="inlineStr">
        <is>
          <t>W4102604941</t>
        </is>
      </c>
      <c r="D83" t="n">
        <v>628.87</v>
      </c>
      <c r="E83" t="n">
        <v>4</v>
      </c>
    </row>
    <row r="84">
      <c r="A84" t="n">
        <v>2026</v>
      </c>
      <c r="B84" t="n">
        <v>1</v>
      </c>
      <c r="C84" t="inlineStr">
        <is>
          <t>W4102604949</t>
        </is>
      </c>
      <c r="D84" t="n">
        <v>483.56</v>
      </c>
      <c r="E84" t="n">
        <v>2</v>
      </c>
    </row>
    <row r="85">
      <c r="A85" t="n">
        <v>2026</v>
      </c>
      <c r="B85" t="n">
        <v>1</v>
      </c>
      <c r="C85" t="inlineStr">
        <is>
          <t>W4102604950</t>
        </is>
      </c>
      <c r="D85" t="n">
        <v>419.08</v>
      </c>
      <c r="E85" t="n">
        <v>3</v>
      </c>
    </row>
    <row r="86">
      <c r="A86" t="n">
        <v>2026</v>
      </c>
      <c r="B86" t="n">
        <v>1</v>
      </c>
      <c r="C86" t="inlineStr">
        <is>
          <t>W4102607081</t>
        </is>
      </c>
      <c r="D86" t="n">
        <v>0</v>
      </c>
      <c r="E86" t="n">
        <v>4</v>
      </c>
    </row>
    <row r="87">
      <c r="A87" t="n">
        <v>2026</v>
      </c>
      <c r="B87" t="n">
        <v>1</v>
      </c>
      <c r="C87" t="inlineStr">
        <is>
          <t>W4102608246</t>
        </is>
      </c>
      <c r="D87" t="n">
        <v>875</v>
      </c>
      <c r="E87" t="n">
        <v>1</v>
      </c>
    </row>
    <row r="88">
      <c r="A88" t="n">
        <v>2026</v>
      </c>
      <c r="B88" t="n">
        <v>1</v>
      </c>
      <c r="C88" t="inlineStr">
        <is>
          <t>W4102651216</t>
        </is>
      </c>
      <c r="D88" t="n">
        <v>286</v>
      </c>
      <c r="E88" t="n">
        <v>5</v>
      </c>
    </row>
    <row r="89">
      <c r="A89" t="n">
        <v>2026</v>
      </c>
      <c r="B89" t="n">
        <v>1</v>
      </c>
      <c r="C89" t="inlineStr">
        <is>
          <t>W4102652709</t>
        </is>
      </c>
      <c r="D89" t="n">
        <v>264.74</v>
      </c>
      <c r="E89" t="n">
        <v>2</v>
      </c>
    </row>
    <row r="90">
      <c r="A90" t="n">
        <v>2026</v>
      </c>
      <c r="B90" t="n">
        <v>1</v>
      </c>
      <c r="C90" t="inlineStr">
        <is>
          <t>W4102654411</t>
        </is>
      </c>
      <c r="D90" t="n">
        <v>-4864.91</v>
      </c>
      <c r="E90" t="n">
        <v>25</v>
      </c>
    </row>
    <row r="91">
      <c r="A91" t="n">
        <v>2026</v>
      </c>
      <c r="B91" t="n">
        <v>1</v>
      </c>
      <c r="C91" t="inlineStr">
        <is>
          <t>W4102654611</t>
        </is>
      </c>
      <c r="D91" t="n">
        <v>47156.06</v>
      </c>
      <c r="E91" t="n">
        <v>17</v>
      </c>
    </row>
    <row r="92">
      <c r="A92" t="n">
        <v>2026</v>
      </c>
      <c r="B92" t="n">
        <v>1</v>
      </c>
      <c r="C92" t="inlineStr">
        <is>
          <t>W4102654945</t>
        </is>
      </c>
      <c r="D92" t="n">
        <v>900.47</v>
      </c>
      <c r="E92" t="n">
        <v>4</v>
      </c>
    </row>
    <row r="93">
      <c r="A93" t="n">
        <v>2026</v>
      </c>
      <c r="B93" t="n">
        <v>1</v>
      </c>
      <c r="C93" t="inlineStr">
        <is>
          <t>W4102654946</t>
        </is>
      </c>
      <c r="D93" t="n">
        <v>420.04</v>
      </c>
      <c r="E93" t="n">
        <v>3</v>
      </c>
    </row>
    <row r="94">
      <c r="A94" t="n">
        <v>2026</v>
      </c>
      <c r="B94" t="n">
        <v>1</v>
      </c>
      <c r="C94" t="inlineStr">
        <is>
          <t>W4102654947</t>
        </is>
      </c>
      <c r="D94" t="n">
        <v>314.54</v>
      </c>
      <c r="E94" t="n">
        <v>2</v>
      </c>
    </row>
    <row r="95">
      <c r="A95" t="n">
        <v>2026</v>
      </c>
      <c r="B95" t="n">
        <v>2</v>
      </c>
      <c r="C95" t="inlineStr">
        <is>
          <t>P4102157414</t>
        </is>
      </c>
      <c r="D95" t="n">
        <v>0</v>
      </c>
      <c r="E95" t="n">
        <v>8</v>
      </c>
    </row>
    <row r="96">
      <c r="A96" t="n">
        <v>2026</v>
      </c>
      <c r="B96" t="n">
        <v>2</v>
      </c>
      <c r="C96" t="inlineStr">
        <is>
          <t>P4102157420</t>
        </is>
      </c>
      <c r="D96" t="n">
        <v>0</v>
      </c>
      <c r="E96" t="n">
        <v>6</v>
      </c>
    </row>
    <row r="97">
      <c r="A97" t="n">
        <v>2026</v>
      </c>
      <c r="B97" t="n">
        <v>2</v>
      </c>
      <c r="C97" t="inlineStr">
        <is>
          <t>P4102157442</t>
        </is>
      </c>
      <c r="D97" t="n">
        <v>0</v>
      </c>
      <c r="E97" t="n">
        <v>22</v>
      </c>
    </row>
    <row r="98">
      <c r="A98" t="n">
        <v>2026</v>
      </c>
      <c r="B98" t="n">
        <v>2</v>
      </c>
      <c r="C98" t="inlineStr">
        <is>
          <t>P4102157445</t>
        </is>
      </c>
      <c r="D98" t="n">
        <v>0</v>
      </c>
      <c r="E98" t="n">
        <v>6</v>
      </c>
    </row>
    <row r="99">
      <c r="A99" t="n">
        <v>2026</v>
      </c>
      <c r="B99" t="n">
        <v>2</v>
      </c>
      <c r="C99" t="inlineStr">
        <is>
          <t>P4102157449</t>
        </is>
      </c>
      <c r="D99" t="n">
        <v>0</v>
      </c>
      <c r="E99" t="n">
        <v>42</v>
      </c>
    </row>
    <row r="100">
      <c r="A100" t="n">
        <v>2026</v>
      </c>
      <c r="B100" t="n">
        <v>2</v>
      </c>
      <c r="C100" t="inlineStr">
        <is>
          <t>P4102157450</t>
        </is>
      </c>
      <c r="D100" t="n">
        <v>0</v>
      </c>
      <c r="E100" t="n">
        <v>8</v>
      </c>
    </row>
    <row r="101">
      <c r="A101" t="n">
        <v>2026</v>
      </c>
      <c r="B101" t="n">
        <v>2</v>
      </c>
      <c r="C101" t="inlineStr">
        <is>
          <t>P4102157451</t>
        </is>
      </c>
      <c r="D101" t="n">
        <v>0</v>
      </c>
      <c r="E101" t="n">
        <v>89</v>
      </c>
    </row>
    <row r="102">
      <c r="A102" t="n">
        <v>2026</v>
      </c>
      <c r="B102" t="n">
        <v>2</v>
      </c>
      <c r="C102" t="inlineStr">
        <is>
          <t>P4102157453</t>
        </is>
      </c>
      <c r="D102" t="n">
        <v>0</v>
      </c>
      <c r="E102" t="n">
        <v>55</v>
      </c>
    </row>
    <row r="103">
      <c r="A103" t="n">
        <v>2026</v>
      </c>
      <c r="B103" t="n">
        <v>2</v>
      </c>
      <c r="C103" t="inlineStr">
        <is>
          <t>P4102157455</t>
        </is>
      </c>
      <c r="D103" t="n">
        <v>0</v>
      </c>
      <c r="E103" t="n">
        <v>53</v>
      </c>
    </row>
    <row r="104">
      <c r="A104" t="n">
        <v>2026</v>
      </c>
      <c r="B104" t="n">
        <v>2</v>
      </c>
      <c r="C104" t="inlineStr">
        <is>
          <t>P4102157456</t>
        </is>
      </c>
      <c r="D104" t="n">
        <v>0</v>
      </c>
      <c r="E104" t="n">
        <v>9</v>
      </c>
    </row>
    <row r="105">
      <c r="A105" t="n">
        <v>2026</v>
      </c>
      <c r="B105" t="n">
        <v>2</v>
      </c>
      <c r="C105" t="inlineStr">
        <is>
          <t>P4102307304</t>
        </is>
      </c>
      <c r="D105" t="n">
        <v>0</v>
      </c>
      <c r="E105" t="n">
        <v>6</v>
      </c>
    </row>
    <row r="106">
      <c r="A106" t="n">
        <v>2026</v>
      </c>
      <c r="B106" t="n">
        <v>2</v>
      </c>
      <c r="C106" t="inlineStr">
        <is>
          <t>P4102307422</t>
        </is>
      </c>
      <c r="D106" t="n">
        <v>0</v>
      </c>
      <c r="E106" t="n">
        <v>2</v>
      </c>
    </row>
    <row r="107">
      <c r="A107" t="n">
        <v>2026</v>
      </c>
      <c r="B107" t="n">
        <v>2</v>
      </c>
      <c r="C107" t="inlineStr">
        <is>
          <t>P4102307423</t>
        </is>
      </c>
      <c r="D107" t="n">
        <v>0</v>
      </c>
      <c r="E107" t="n">
        <v>7</v>
      </c>
    </row>
    <row r="108">
      <c r="A108" t="n">
        <v>2026</v>
      </c>
      <c r="B108" t="n">
        <v>2</v>
      </c>
      <c r="C108" t="inlineStr">
        <is>
          <t>P4102307426</t>
        </is>
      </c>
      <c r="D108" t="n">
        <v>0</v>
      </c>
      <c r="E108" t="n">
        <v>8</v>
      </c>
    </row>
    <row r="109">
      <c r="A109" t="n">
        <v>2026</v>
      </c>
      <c r="B109" t="n">
        <v>2</v>
      </c>
      <c r="C109" t="inlineStr">
        <is>
          <t>P4102307427</t>
        </is>
      </c>
      <c r="D109" t="n">
        <v>0</v>
      </c>
      <c r="E109" t="n">
        <v>19</v>
      </c>
    </row>
    <row r="110">
      <c r="A110" t="n">
        <v>2026</v>
      </c>
      <c r="B110" t="n">
        <v>2</v>
      </c>
      <c r="C110" t="inlineStr">
        <is>
          <t>P4102307428</t>
        </is>
      </c>
      <c r="D110" t="n">
        <v>0</v>
      </c>
      <c r="E110" t="n">
        <v>28</v>
      </c>
    </row>
    <row r="111">
      <c r="A111" t="n">
        <v>2026</v>
      </c>
      <c r="B111" t="n">
        <v>2</v>
      </c>
      <c r="C111" t="inlineStr">
        <is>
          <t>P4102307429</t>
        </is>
      </c>
      <c r="D111" t="n">
        <v>0</v>
      </c>
      <c r="E111" t="n">
        <v>6</v>
      </c>
    </row>
    <row r="112">
      <c r="A112" t="n">
        <v>2026</v>
      </c>
      <c r="B112" t="n">
        <v>2</v>
      </c>
      <c r="C112" t="inlineStr">
        <is>
          <t>P4102307430</t>
        </is>
      </c>
      <c r="D112" t="n">
        <v>0</v>
      </c>
      <c r="E112" t="n">
        <v>7</v>
      </c>
    </row>
    <row r="113">
      <c r="A113" t="n">
        <v>2026</v>
      </c>
      <c r="B113" t="n">
        <v>2</v>
      </c>
      <c r="C113" t="inlineStr">
        <is>
          <t>P4102307432</t>
        </is>
      </c>
      <c r="D113" t="n">
        <v>0</v>
      </c>
      <c r="E113" t="n">
        <v>6</v>
      </c>
    </row>
    <row r="114">
      <c r="A114" t="n">
        <v>2026</v>
      </c>
      <c r="B114" t="n">
        <v>2</v>
      </c>
      <c r="C114" t="inlineStr">
        <is>
          <t>P4102307433</t>
        </is>
      </c>
      <c r="D114" t="n">
        <v>0</v>
      </c>
      <c r="E114" t="n">
        <v>49</v>
      </c>
    </row>
    <row r="115">
      <c r="A115" t="n">
        <v>2026</v>
      </c>
      <c r="B115" t="n">
        <v>2</v>
      </c>
      <c r="C115" t="inlineStr">
        <is>
          <t>P4102307434</t>
        </is>
      </c>
      <c r="D115" t="n">
        <v>0</v>
      </c>
      <c r="E115" t="n">
        <v>9</v>
      </c>
    </row>
    <row r="116">
      <c r="A116" t="n">
        <v>2026</v>
      </c>
      <c r="B116" t="n">
        <v>2</v>
      </c>
      <c r="C116" t="inlineStr">
        <is>
          <t>P4102307435</t>
        </is>
      </c>
      <c r="D116" t="n">
        <v>0</v>
      </c>
      <c r="E116" t="n">
        <v>14</v>
      </c>
    </row>
    <row r="117">
      <c r="A117" t="n">
        <v>2026</v>
      </c>
      <c r="B117" t="n">
        <v>2</v>
      </c>
      <c r="C117" t="inlineStr">
        <is>
          <t>P4102307436</t>
        </is>
      </c>
      <c r="D117" t="n">
        <v>0</v>
      </c>
      <c r="E117" t="n">
        <v>25</v>
      </c>
    </row>
    <row r="118">
      <c r="A118" t="n">
        <v>2026</v>
      </c>
      <c r="B118" t="n">
        <v>2</v>
      </c>
      <c r="C118" t="inlineStr">
        <is>
          <t>P4102307437</t>
        </is>
      </c>
      <c r="D118" t="n">
        <v>0</v>
      </c>
      <c r="E118" t="n">
        <v>13</v>
      </c>
    </row>
    <row r="119">
      <c r="A119" t="n">
        <v>2026</v>
      </c>
      <c r="B119" t="n">
        <v>2</v>
      </c>
      <c r="C119" t="inlineStr">
        <is>
          <t>P4102307439</t>
        </is>
      </c>
      <c r="D119" t="n">
        <v>0</v>
      </c>
      <c r="E119" t="n">
        <v>15</v>
      </c>
    </row>
    <row r="120">
      <c r="A120" t="n">
        <v>2026</v>
      </c>
      <c r="B120" t="n">
        <v>2</v>
      </c>
      <c r="C120" t="inlineStr">
        <is>
          <t>P4102307440</t>
        </is>
      </c>
      <c r="D120" t="n">
        <v>0</v>
      </c>
      <c r="E120" t="n">
        <v>24</v>
      </c>
    </row>
    <row r="121">
      <c r="A121" t="n">
        <v>2026</v>
      </c>
      <c r="B121" t="n">
        <v>2</v>
      </c>
      <c r="C121" t="inlineStr">
        <is>
          <t>P4102309045</t>
        </is>
      </c>
      <c r="D121" t="n">
        <v>0</v>
      </c>
      <c r="E121" t="n">
        <v>10</v>
      </c>
    </row>
    <row r="122">
      <c r="A122" t="n">
        <v>2026</v>
      </c>
      <c r="B122" t="n">
        <v>2</v>
      </c>
      <c r="C122" t="inlineStr">
        <is>
          <t>P4102602023</t>
        </is>
      </c>
      <c r="D122" t="n">
        <v>0</v>
      </c>
      <c r="E122" t="n">
        <v>7</v>
      </c>
    </row>
    <row r="123">
      <c r="A123" t="n">
        <v>2026</v>
      </c>
      <c r="B123" t="n">
        <v>2</v>
      </c>
      <c r="C123" t="inlineStr">
        <is>
          <t>P4102604612</t>
        </is>
      </c>
      <c r="D123" t="n">
        <v>0</v>
      </c>
      <c r="E123" t="n">
        <v>2</v>
      </c>
    </row>
    <row r="124">
      <c r="A124" t="n">
        <v>2026</v>
      </c>
      <c r="B124" t="n">
        <v>2</v>
      </c>
      <c r="C124" t="inlineStr">
        <is>
          <t>P4102607989</t>
        </is>
      </c>
      <c r="D124" t="n">
        <v>0</v>
      </c>
      <c r="E124" t="n">
        <v>24</v>
      </c>
    </row>
    <row r="125">
      <c r="A125" t="n">
        <v>2026</v>
      </c>
      <c r="B125" t="n">
        <v>2</v>
      </c>
      <c r="C125" t="inlineStr">
        <is>
          <t>P4102608246</t>
        </is>
      </c>
      <c r="D125" t="n">
        <v>0</v>
      </c>
      <c r="E125" t="n">
        <v>81</v>
      </c>
    </row>
    <row r="126">
      <c r="A126" t="n">
        <v>2026</v>
      </c>
      <c r="B126" t="n">
        <v>2</v>
      </c>
      <c r="C126" t="inlineStr">
        <is>
          <t>P4102608260</t>
        </is>
      </c>
      <c r="D126" t="n">
        <v>0</v>
      </c>
      <c r="E126" t="n">
        <v>15</v>
      </c>
    </row>
    <row r="127">
      <c r="A127" t="n">
        <v>2026</v>
      </c>
      <c r="B127" t="n">
        <v>2</v>
      </c>
      <c r="C127" t="inlineStr">
        <is>
          <t>P4102608263</t>
        </is>
      </c>
      <c r="D127" t="n">
        <v>0</v>
      </c>
      <c r="E127" t="n">
        <v>52</v>
      </c>
    </row>
    <row r="128">
      <c r="A128" t="n">
        <v>2026</v>
      </c>
      <c r="B128" t="n">
        <v>2</v>
      </c>
      <c r="C128" t="inlineStr">
        <is>
          <t>P4102608266</t>
        </is>
      </c>
      <c r="D128" t="n">
        <v>0</v>
      </c>
      <c r="E128" t="n">
        <v>2</v>
      </c>
    </row>
    <row r="129">
      <c r="A129" t="n">
        <v>2026</v>
      </c>
      <c r="B129" t="n">
        <v>2</v>
      </c>
      <c r="C129" t="inlineStr">
        <is>
          <t>P4102608267</t>
        </is>
      </c>
      <c r="D129" t="n">
        <v>0</v>
      </c>
      <c r="E129" t="n">
        <v>29</v>
      </c>
    </row>
    <row r="130">
      <c r="A130" t="n">
        <v>2026</v>
      </c>
      <c r="B130" t="n">
        <v>2</v>
      </c>
      <c r="C130" t="inlineStr">
        <is>
          <t>P4102608268</t>
        </is>
      </c>
      <c r="D130" t="n">
        <v>0</v>
      </c>
      <c r="E130" t="n">
        <v>4</v>
      </c>
    </row>
    <row r="131">
      <c r="A131" t="n">
        <v>2026</v>
      </c>
      <c r="B131" t="n">
        <v>2</v>
      </c>
      <c r="C131" t="inlineStr">
        <is>
          <t>P4102608270</t>
        </is>
      </c>
      <c r="D131" t="n">
        <v>0</v>
      </c>
      <c r="E131" t="n">
        <v>15</v>
      </c>
    </row>
    <row r="132">
      <c r="A132" t="n">
        <v>2026</v>
      </c>
      <c r="B132" t="n">
        <v>2</v>
      </c>
      <c r="C132" t="inlineStr">
        <is>
          <t>P4102658225</t>
        </is>
      </c>
      <c r="D132" t="n">
        <v>0</v>
      </c>
      <c r="E132" t="n">
        <v>6</v>
      </c>
    </row>
    <row r="133">
      <c r="A133" t="n">
        <v>2026</v>
      </c>
      <c r="B133" t="n">
        <v>2</v>
      </c>
      <c r="C133" t="inlineStr">
        <is>
          <t>P4102658229</t>
        </is>
      </c>
      <c r="D133" t="n">
        <v>0</v>
      </c>
      <c r="E133" t="n">
        <v>57</v>
      </c>
    </row>
    <row r="134">
      <c r="A134" t="n">
        <v>2026</v>
      </c>
      <c r="B134" t="n">
        <v>2</v>
      </c>
      <c r="C134" t="inlineStr">
        <is>
          <t>P4102658250</t>
        </is>
      </c>
      <c r="D134" t="n">
        <v>0</v>
      </c>
      <c r="E134" t="n">
        <v>6</v>
      </c>
    </row>
    <row r="135">
      <c r="A135" t="n">
        <v>2026</v>
      </c>
      <c r="B135" t="n">
        <v>2</v>
      </c>
      <c r="C135" t="inlineStr">
        <is>
          <t>P4102658256</t>
        </is>
      </c>
      <c r="D135" t="n">
        <v>0</v>
      </c>
      <c r="E135" t="n">
        <v>46</v>
      </c>
    </row>
    <row r="136">
      <c r="A136" t="n">
        <v>2026</v>
      </c>
      <c r="B136" t="n">
        <v>2</v>
      </c>
      <c r="C136" t="inlineStr">
        <is>
          <t>P4102658259</t>
        </is>
      </c>
      <c r="D136" t="n">
        <v>0</v>
      </c>
      <c r="E136" t="n">
        <v>3</v>
      </c>
    </row>
    <row r="137">
      <c r="A137" t="n">
        <v>2026</v>
      </c>
      <c r="B137" t="n">
        <v>2</v>
      </c>
      <c r="C137" t="inlineStr">
        <is>
          <t>W4102154411</t>
        </is>
      </c>
      <c r="D137" t="n">
        <v>-111835.94</v>
      </c>
      <c r="E137" t="n">
        <v>82</v>
      </c>
    </row>
    <row r="138">
      <c r="A138" t="n">
        <v>2026</v>
      </c>
      <c r="B138" t="n">
        <v>2</v>
      </c>
      <c r="C138" t="inlineStr">
        <is>
          <t>W4102154501</t>
        </is>
      </c>
      <c r="D138" t="n">
        <v>1083</v>
      </c>
      <c r="E138" t="n">
        <v>1</v>
      </c>
    </row>
    <row r="139">
      <c r="A139" t="n">
        <v>2026</v>
      </c>
      <c r="B139" t="n">
        <v>2</v>
      </c>
      <c r="C139" t="inlineStr">
        <is>
          <t>W4102154611</t>
        </is>
      </c>
      <c r="D139" t="n">
        <v>1965.6</v>
      </c>
      <c r="E139" t="n">
        <v>27</v>
      </c>
    </row>
    <row r="140">
      <c r="A140" t="n">
        <v>2026</v>
      </c>
      <c r="B140" t="n">
        <v>2</v>
      </c>
      <c r="C140" t="inlineStr">
        <is>
          <t>W4102154953</t>
        </is>
      </c>
      <c r="D140" t="n">
        <v>23.26</v>
      </c>
      <c r="E140" t="n">
        <v>1</v>
      </c>
    </row>
    <row r="141">
      <c r="A141" t="n">
        <v>2026</v>
      </c>
      <c r="B141" t="n">
        <v>2</v>
      </c>
      <c r="C141" t="inlineStr">
        <is>
          <t>W4102154961</t>
        </is>
      </c>
      <c r="D141" t="n">
        <v>384.58</v>
      </c>
      <c r="E141" t="n">
        <v>9</v>
      </c>
    </row>
    <row r="142">
      <c r="A142" t="n">
        <v>2026</v>
      </c>
      <c r="B142" t="n">
        <v>2</v>
      </c>
      <c r="C142" t="inlineStr">
        <is>
          <t>W4102154964</t>
        </is>
      </c>
      <c r="D142" t="n">
        <v>572.61</v>
      </c>
      <c r="E142" t="n">
        <v>4</v>
      </c>
    </row>
    <row r="143">
      <c r="A143" t="n">
        <v>2026</v>
      </c>
      <c r="B143" t="n">
        <v>2</v>
      </c>
      <c r="C143" t="inlineStr">
        <is>
          <t>W4102154966</t>
        </is>
      </c>
      <c r="D143" t="n">
        <v>157.75</v>
      </c>
      <c r="E143" t="n">
        <v>1</v>
      </c>
    </row>
    <row r="144">
      <c r="A144" t="n">
        <v>2026</v>
      </c>
      <c r="B144" t="n">
        <v>2</v>
      </c>
      <c r="C144" t="inlineStr">
        <is>
          <t>W4102154967</t>
        </is>
      </c>
      <c r="D144" t="n">
        <v>1041.46</v>
      </c>
      <c r="E144" t="n">
        <v>3</v>
      </c>
    </row>
    <row r="145">
      <c r="A145" t="n">
        <v>2026</v>
      </c>
      <c r="B145" t="n">
        <v>2</v>
      </c>
      <c r="C145" t="inlineStr">
        <is>
          <t>W4102304411</t>
        </is>
      </c>
      <c r="D145" t="n">
        <v>-27106.22</v>
      </c>
      <c r="E145" t="n">
        <v>56</v>
      </c>
    </row>
    <row r="146">
      <c r="A146" t="n">
        <v>2026</v>
      </c>
      <c r="B146" t="n">
        <v>2</v>
      </c>
      <c r="C146" t="inlineStr">
        <is>
          <t>W4102304412</t>
        </is>
      </c>
      <c r="D146" t="n">
        <v>414</v>
      </c>
      <c r="E146" t="n">
        <v>5</v>
      </c>
    </row>
    <row r="147">
      <c r="A147" t="n">
        <v>2026</v>
      </c>
      <c r="B147" t="n">
        <v>2</v>
      </c>
      <c r="C147" t="inlineStr">
        <is>
          <t>W4102304611</t>
        </is>
      </c>
      <c r="D147" t="n">
        <v>8595.049999999999</v>
      </c>
      <c r="E147" t="n">
        <v>18</v>
      </c>
    </row>
    <row r="148">
      <c r="A148" t="n">
        <v>2026</v>
      </c>
      <c r="B148" t="n">
        <v>2</v>
      </c>
      <c r="C148" t="inlineStr">
        <is>
          <t>W4102304943</t>
        </is>
      </c>
      <c r="D148" t="n">
        <v>716.9</v>
      </c>
      <c r="E148" t="n">
        <v>5</v>
      </c>
    </row>
    <row r="149">
      <c r="A149" t="n">
        <v>2026</v>
      </c>
      <c r="B149" t="n">
        <v>2</v>
      </c>
      <c r="C149" t="inlineStr">
        <is>
          <t>W4102304946</t>
        </is>
      </c>
      <c r="D149" t="n">
        <v>-7930.35</v>
      </c>
      <c r="E149" t="n">
        <v>4</v>
      </c>
    </row>
    <row r="150">
      <c r="A150" t="n">
        <v>2026</v>
      </c>
      <c r="B150" t="n">
        <v>2</v>
      </c>
      <c r="C150" t="inlineStr">
        <is>
          <t>W4102304947</t>
        </is>
      </c>
      <c r="D150" t="n">
        <v>17.83</v>
      </c>
      <c r="E150" t="n">
        <v>1</v>
      </c>
    </row>
    <row r="151">
      <c r="A151" t="n">
        <v>2026</v>
      </c>
      <c r="B151" t="n">
        <v>2</v>
      </c>
      <c r="C151" t="inlineStr">
        <is>
          <t>W4102307366</t>
        </is>
      </c>
      <c r="D151" t="n">
        <v>0</v>
      </c>
      <c r="E151" t="n">
        <v>4</v>
      </c>
    </row>
    <row r="152">
      <c r="A152" t="n">
        <v>2026</v>
      </c>
      <c r="B152" t="n">
        <v>2</v>
      </c>
      <c r="C152" t="inlineStr">
        <is>
          <t>W4102504101</t>
        </is>
      </c>
      <c r="D152" t="n">
        <v>4</v>
      </c>
      <c r="E152" t="n">
        <v>3</v>
      </c>
    </row>
    <row r="153">
      <c r="A153" t="n">
        <v>2026</v>
      </c>
      <c r="B153" t="n">
        <v>2</v>
      </c>
      <c r="C153" t="inlineStr">
        <is>
          <t>W4102504104</t>
        </is>
      </c>
      <c r="D153" t="n">
        <v>4750</v>
      </c>
      <c r="E153" t="n">
        <v>1</v>
      </c>
    </row>
    <row r="154">
      <c r="A154" t="n">
        <v>2026</v>
      </c>
      <c r="B154" t="n">
        <v>2</v>
      </c>
      <c r="C154" t="inlineStr">
        <is>
          <t>W4102504106</t>
        </is>
      </c>
      <c r="D154" t="n">
        <v>1501.75</v>
      </c>
      <c r="E154" t="n">
        <v>2</v>
      </c>
    </row>
    <row r="155">
      <c r="A155" t="n">
        <v>2026</v>
      </c>
      <c r="B155" t="n">
        <v>2</v>
      </c>
      <c r="C155" t="inlineStr">
        <is>
          <t>W4102504107</t>
        </is>
      </c>
      <c r="D155" t="n">
        <v>23.8</v>
      </c>
      <c r="E155" t="n">
        <v>1</v>
      </c>
    </row>
    <row r="156">
      <c r="A156" t="n">
        <v>2026</v>
      </c>
      <c r="B156" t="n">
        <v>2</v>
      </c>
      <c r="C156" t="inlineStr">
        <is>
          <t>W4102504108</t>
        </is>
      </c>
      <c r="D156" t="n">
        <v>251.93</v>
      </c>
      <c r="E156" t="n">
        <v>1</v>
      </c>
    </row>
    <row r="157">
      <c r="A157" t="n">
        <v>2026</v>
      </c>
      <c r="B157" t="n">
        <v>2</v>
      </c>
      <c r="C157" t="inlineStr">
        <is>
          <t>W4102504211</t>
        </is>
      </c>
      <c r="D157" t="n">
        <v>14.1</v>
      </c>
      <c r="E157" t="n">
        <v>1</v>
      </c>
    </row>
    <row r="158">
      <c r="A158" t="n">
        <v>2026</v>
      </c>
      <c r="B158" t="n">
        <v>2</v>
      </c>
      <c r="C158" t="inlineStr">
        <is>
          <t>W4102504221</t>
        </is>
      </c>
      <c r="D158" t="n">
        <v>400.94</v>
      </c>
      <c r="E158" t="n">
        <v>3</v>
      </c>
    </row>
    <row r="159">
      <c r="A159" t="n">
        <v>2026</v>
      </c>
      <c r="B159" t="n">
        <v>2</v>
      </c>
      <c r="C159" t="inlineStr">
        <is>
          <t>W4102504222</t>
        </is>
      </c>
      <c r="D159" t="n">
        <v>39510</v>
      </c>
      <c r="E159" t="n">
        <v>59</v>
      </c>
    </row>
    <row r="160">
      <c r="A160" t="n">
        <v>2026</v>
      </c>
      <c r="B160" t="n">
        <v>2</v>
      </c>
      <c r="C160" t="inlineStr">
        <is>
          <t>W4102504262</t>
        </is>
      </c>
      <c r="D160" t="n">
        <v>5214.86</v>
      </c>
      <c r="E160" t="n">
        <v>18</v>
      </c>
    </row>
    <row r="161">
      <c r="A161" t="n">
        <v>2026</v>
      </c>
      <c r="B161" t="n">
        <v>2</v>
      </c>
      <c r="C161" t="inlineStr">
        <is>
          <t>W4102504941</t>
        </is>
      </c>
      <c r="D161" t="n">
        <v>1355.44</v>
      </c>
      <c r="E161" t="n">
        <v>4</v>
      </c>
    </row>
    <row r="162">
      <c r="A162" t="n">
        <v>2026</v>
      </c>
      <c r="B162" t="n">
        <v>2</v>
      </c>
      <c r="C162" t="inlineStr">
        <is>
          <t>W4102504951</t>
        </is>
      </c>
      <c r="D162" t="n">
        <v>23756.09</v>
      </c>
      <c r="E162" t="n">
        <v>13</v>
      </c>
    </row>
    <row r="163">
      <c r="A163" t="n">
        <v>2026</v>
      </c>
      <c r="B163" t="n">
        <v>2</v>
      </c>
      <c r="C163" t="inlineStr">
        <is>
          <t>W4102504967</t>
        </is>
      </c>
      <c r="D163" t="n">
        <v>136.8</v>
      </c>
      <c r="E163" t="n">
        <v>2</v>
      </c>
    </row>
    <row r="164">
      <c r="A164" t="n">
        <v>2026</v>
      </c>
      <c r="B164" t="n">
        <v>2</v>
      </c>
      <c r="C164" t="inlineStr">
        <is>
          <t>W4102504971</t>
        </is>
      </c>
      <c r="D164" t="n">
        <v>189.55</v>
      </c>
      <c r="E164" t="n">
        <v>3</v>
      </c>
    </row>
    <row r="165">
      <c r="A165" t="n">
        <v>2026</v>
      </c>
      <c r="B165" t="n">
        <v>2</v>
      </c>
      <c r="C165" t="inlineStr">
        <is>
          <t>W4102504973</t>
        </is>
      </c>
      <c r="D165" t="n">
        <v>1261.38</v>
      </c>
      <c r="E165" t="n">
        <v>6</v>
      </c>
    </row>
    <row r="166">
      <c r="A166" t="n">
        <v>2026</v>
      </c>
      <c r="B166" t="n">
        <v>2</v>
      </c>
      <c r="C166" t="inlineStr">
        <is>
          <t>W4102504974</t>
        </is>
      </c>
      <c r="D166" t="n">
        <v>1611.38</v>
      </c>
      <c r="E166" t="n">
        <v>7</v>
      </c>
    </row>
    <row r="167">
      <c r="A167" t="n">
        <v>2026</v>
      </c>
      <c r="B167" t="n">
        <v>2</v>
      </c>
      <c r="C167" t="inlineStr">
        <is>
          <t>W4102604411</t>
        </is>
      </c>
      <c r="D167" t="n">
        <v>-61719.19</v>
      </c>
      <c r="E167" t="n">
        <v>60</v>
      </c>
    </row>
    <row r="168">
      <c r="A168" t="n">
        <v>2026</v>
      </c>
      <c r="B168" t="n">
        <v>2</v>
      </c>
      <c r="C168" t="inlineStr">
        <is>
          <t>W4102604414</t>
        </is>
      </c>
      <c r="D168" t="n">
        <v>1106.65</v>
      </c>
      <c r="E168" t="n">
        <v>5</v>
      </c>
    </row>
    <row r="169">
      <c r="A169" t="n">
        <v>2026</v>
      </c>
      <c r="B169" t="n">
        <v>2</v>
      </c>
      <c r="C169" t="inlineStr">
        <is>
          <t>W4102604611</t>
        </is>
      </c>
      <c r="D169" t="n">
        <v>2019.06</v>
      </c>
      <c r="E169" t="n">
        <v>22</v>
      </c>
    </row>
    <row r="170">
      <c r="A170" t="n">
        <v>2026</v>
      </c>
      <c r="B170" t="n">
        <v>2</v>
      </c>
      <c r="C170" t="inlineStr">
        <is>
          <t>W4102604612</t>
        </is>
      </c>
      <c r="D170" t="n">
        <v>840</v>
      </c>
      <c r="E170" t="n">
        <v>3</v>
      </c>
    </row>
    <row r="171">
      <c r="A171" t="n">
        <v>2026</v>
      </c>
      <c r="B171" t="n">
        <v>2</v>
      </c>
      <c r="C171" t="inlineStr">
        <is>
          <t>W4102604938</t>
        </is>
      </c>
      <c r="D171" t="n">
        <v>1701.48</v>
      </c>
      <c r="E171" t="n">
        <v>11</v>
      </c>
    </row>
    <row r="172">
      <c r="A172" t="n">
        <v>2026</v>
      </c>
      <c r="B172" t="n">
        <v>2</v>
      </c>
      <c r="C172" t="inlineStr">
        <is>
          <t>W4102604940</t>
        </is>
      </c>
      <c r="D172" t="n">
        <v>271.36</v>
      </c>
      <c r="E172" t="n">
        <v>4</v>
      </c>
    </row>
    <row r="173">
      <c r="A173" t="n">
        <v>2026</v>
      </c>
      <c r="B173" t="n">
        <v>2</v>
      </c>
      <c r="C173" t="inlineStr">
        <is>
          <t>W4102604941</t>
        </is>
      </c>
      <c r="D173" t="n">
        <v>327.74</v>
      </c>
      <c r="E173" t="n">
        <v>4</v>
      </c>
    </row>
    <row r="174">
      <c r="A174" t="n">
        <v>2026</v>
      </c>
      <c r="B174" t="n">
        <v>2</v>
      </c>
      <c r="C174" t="inlineStr">
        <is>
          <t>W4102604949</t>
        </is>
      </c>
      <c r="D174" t="n">
        <v>320.73</v>
      </c>
      <c r="E174" t="n">
        <v>5</v>
      </c>
    </row>
    <row r="175">
      <c r="A175" t="n">
        <v>2026</v>
      </c>
      <c r="B175" t="n">
        <v>2</v>
      </c>
      <c r="C175" t="inlineStr">
        <is>
          <t>W4102604950</t>
        </is>
      </c>
      <c r="D175" t="n">
        <v>660.15</v>
      </c>
      <c r="E175" t="n">
        <v>3</v>
      </c>
    </row>
    <row r="176">
      <c r="A176" t="n">
        <v>2026</v>
      </c>
      <c r="B176" t="n">
        <v>2</v>
      </c>
      <c r="C176" t="inlineStr">
        <is>
          <t>W4102604951</t>
        </is>
      </c>
      <c r="D176" t="n">
        <v>254.86</v>
      </c>
      <c r="E176" t="n">
        <v>1</v>
      </c>
    </row>
    <row r="177">
      <c r="A177" t="n">
        <v>2026</v>
      </c>
      <c r="B177" t="n">
        <v>2</v>
      </c>
      <c r="C177" t="inlineStr">
        <is>
          <t>W4102607081</t>
        </is>
      </c>
      <c r="D177" t="n">
        <v>0</v>
      </c>
      <c r="E177" t="n">
        <v>4</v>
      </c>
    </row>
    <row r="178">
      <c r="A178" t="n">
        <v>2026</v>
      </c>
      <c r="B178" t="n">
        <v>2</v>
      </c>
      <c r="C178" t="inlineStr">
        <is>
          <t>W4102608246</t>
        </is>
      </c>
      <c r="D178" t="n">
        <v>875</v>
      </c>
      <c r="E178" t="n">
        <v>1</v>
      </c>
    </row>
    <row r="179">
      <c r="A179" t="n">
        <v>2026</v>
      </c>
      <c r="B179" t="n">
        <v>2</v>
      </c>
      <c r="C179" t="inlineStr">
        <is>
          <t>W4102651216</t>
        </is>
      </c>
      <c r="D179" t="n">
        <v>286</v>
      </c>
      <c r="E179" t="n">
        <v>5</v>
      </c>
    </row>
    <row r="180">
      <c r="A180" t="n">
        <v>2026</v>
      </c>
      <c r="B180" t="n">
        <v>2</v>
      </c>
      <c r="C180" t="inlineStr">
        <is>
          <t>W4102652709</t>
        </is>
      </c>
      <c r="D180" t="n">
        <v>264.74</v>
      </c>
      <c r="E180" t="n">
        <v>2</v>
      </c>
    </row>
    <row r="181">
      <c r="A181" t="n">
        <v>2026</v>
      </c>
      <c r="B181" t="n">
        <v>2</v>
      </c>
      <c r="C181" t="inlineStr">
        <is>
          <t>W4102654411</t>
        </is>
      </c>
      <c r="D181" t="n">
        <v>-1078.61</v>
      </c>
      <c r="E181" t="n">
        <v>48</v>
      </c>
    </row>
    <row r="182">
      <c r="A182" t="n">
        <v>2026</v>
      </c>
      <c r="B182" t="n">
        <v>2</v>
      </c>
      <c r="C182" t="inlineStr">
        <is>
          <t>W4102654611</t>
        </is>
      </c>
      <c r="D182" t="n">
        <v>511.79</v>
      </c>
      <c r="E182" t="n">
        <v>17</v>
      </c>
    </row>
    <row r="183">
      <c r="A183" t="n">
        <v>2026</v>
      </c>
      <c r="B183" t="n">
        <v>2</v>
      </c>
      <c r="C183" t="inlineStr">
        <is>
          <t>W4102654945</t>
        </is>
      </c>
      <c r="D183" t="n">
        <v>1167.44</v>
      </c>
      <c r="E183" t="n">
        <v>6</v>
      </c>
    </row>
    <row r="184">
      <c r="A184" t="n">
        <v>2026</v>
      </c>
      <c r="B184" t="n">
        <v>2</v>
      </c>
      <c r="C184" t="inlineStr">
        <is>
          <t>W4102654946</t>
        </is>
      </c>
      <c r="D184" t="n">
        <v>705.76</v>
      </c>
      <c r="E184" t="n">
        <v>6</v>
      </c>
    </row>
    <row r="185">
      <c r="A185" t="n">
        <v>2026</v>
      </c>
      <c r="B185" t="n">
        <v>2</v>
      </c>
      <c r="C185" t="inlineStr">
        <is>
          <t>W4102654947</t>
        </is>
      </c>
      <c r="D185" t="n">
        <v>658.04</v>
      </c>
      <c r="E185" t="n">
        <v>5</v>
      </c>
    </row>
    <row r="186">
      <c r="A186" t="n">
        <v>2026</v>
      </c>
      <c r="B186" t="n">
        <v>3</v>
      </c>
      <c r="C186" t="inlineStr">
        <is>
          <t>P4102157208</t>
        </is>
      </c>
      <c r="D186" t="n">
        <v>0</v>
      </c>
      <c r="E186" t="n">
        <v>13</v>
      </c>
    </row>
    <row r="187">
      <c r="A187" t="n">
        <v>2026</v>
      </c>
      <c r="B187" t="n">
        <v>3</v>
      </c>
      <c r="C187" t="inlineStr">
        <is>
          <t>P4102157414</t>
        </is>
      </c>
      <c r="D187" t="n">
        <v>0</v>
      </c>
      <c r="E187" t="n">
        <v>8</v>
      </c>
    </row>
    <row r="188">
      <c r="A188" t="n">
        <v>2026</v>
      </c>
      <c r="B188" t="n">
        <v>3</v>
      </c>
      <c r="C188" t="inlineStr">
        <is>
          <t>P4102157420</t>
        </is>
      </c>
      <c r="D188" t="n">
        <v>0</v>
      </c>
      <c r="E188" t="n">
        <v>6</v>
      </c>
    </row>
    <row r="189">
      <c r="A189" t="n">
        <v>2026</v>
      </c>
      <c r="B189" t="n">
        <v>3</v>
      </c>
      <c r="C189" t="inlineStr">
        <is>
          <t>P4102157442</t>
        </is>
      </c>
      <c r="D189" t="n">
        <v>0</v>
      </c>
      <c r="E189" t="n">
        <v>38</v>
      </c>
    </row>
    <row r="190">
      <c r="A190" t="n">
        <v>2026</v>
      </c>
      <c r="B190" t="n">
        <v>3</v>
      </c>
      <c r="C190" t="inlineStr">
        <is>
          <t>P4102157449</t>
        </is>
      </c>
      <c r="D190" t="n">
        <v>0</v>
      </c>
      <c r="E190" t="n">
        <v>25</v>
      </c>
    </row>
    <row r="191">
      <c r="A191" t="n">
        <v>2026</v>
      </c>
      <c r="B191" t="n">
        <v>3</v>
      </c>
      <c r="C191" t="inlineStr">
        <is>
          <t>P4102157451</t>
        </is>
      </c>
      <c r="D191" t="n">
        <v>0</v>
      </c>
      <c r="E191" t="n">
        <v>102</v>
      </c>
    </row>
    <row r="192">
      <c r="A192" t="n">
        <v>2026</v>
      </c>
      <c r="B192" t="n">
        <v>3</v>
      </c>
      <c r="C192" t="inlineStr">
        <is>
          <t>P4102157453</t>
        </is>
      </c>
      <c r="D192" t="n">
        <v>0</v>
      </c>
      <c r="E192" t="n">
        <v>46</v>
      </c>
    </row>
    <row r="193">
      <c r="A193" t="n">
        <v>2026</v>
      </c>
      <c r="B193" t="n">
        <v>3</v>
      </c>
      <c r="C193" t="inlineStr">
        <is>
          <t>P4102157455</t>
        </is>
      </c>
      <c r="D193" t="n">
        <v>0</v>
      </c>
      <c r="E193" t="n">
        <v>84</v>
      </c>
    </row>
    <row r="194">
      <c r="A194" t="n">
        <v>2026</v>
      </c>
      <c r="B194" t="n">
        <v>3</v>
      </c>
      <c r="C194" t="inlineStr">
        <is>
          <t>P4102157456</t>
        </is>
      </c>
      <c r="D194" t="n">
        <v>0</v>
      </c>
      <c r="E194" t="n">
        <v>24</v>
      </c>
    </row>
    <row r="195">
      <c r="A195" t="n">
        <v>2026</v>
      </c>
      <c r="B195" t="n">
        <v>3</v>
      </c>
      <c r="C195" t="inlineStr">
        <is>
          <t>P4102157457</t>
        </is>
      </c>
      <c r="D195" t="n">
        <v>0</v>
      </c>
      <c r="E195" t="n">
        <v>29</v>
      </c>
    </row>
    <row r="196">
      <c r="A196" t="n">
        <v>2026</v>
      </c>
      <c r="B196" t="n">
        <v>3</v>
      </c>
      <c r="C196" t="inlineStr">
        <is>
          <t>P4102157459</t>
        </is>
      </c>
      <c r="D196" t="n">
        <v>0</v>
      </c>
      <c r="E196" t="n">
        <v>16</v>
      </c>
    </row>
    <row r="197">
      <c r="A197" t="n">
        <v>2026</v>
      </c>
      <c r="B197" t="n">
        <v>3</v>
      </c>
      <c r="C197" t="inlineStr">
        <is>
          <t>P4102307304</t>
        </is>
      </c>
      <c r="D197" t="n">
        <v>0</v>
      </c>
      <c r="E197" t="n">
        <v>4</v>
      </c>
    </row>
    <row r="198">
      <c r="A198" t="n">
        <v>2026</v>
      </c>
      <c r="B198" t="n">
        <v>3</v>
      </c>
      <c r="C198" t="inlineStr">
        <is>
          <t>P4102307416</t>
        </is>
      </c>
      <c r="D198" t="n">
        <v>0</v>
      </c>
      <c r="E198" t="n">
        <v>2</v>
      </c>
    </row>
    <row r="199">
      <c r="A199" t="n">
        <v>2026</v>
      </c>
      <c r="B199" t="n">
        <v>3</v>
      </c>
      <c r="C199" t="inlineStr">
        <is>
          <t>P4102307422</t>
        </is>
      </c>
      <c r="D199" t="n">
        <v>0</v>
      </c>
      <c r="E199" t="n">
        <v>2</v>
      </c>
    </row>
    <row r="200">
      <c r="A200" t="n">
        <v>2026</v>
      </c>
      <c r="B200" t="n">
        <v>3</v>
      </c>
      <c r="C200" t="inlineStr">
        <is>
          <t>P4102307423</t>
        </is>
      </c>
      <c r="D200" t="n">
        <v>0</v>
      </c>
      <c r="E200" t="n">
        <v>2</v>
      </c>
    </row>
    <row r="201">
      <c r="A201" t="n">
        <v>2026</v>
      </c>
      <c r="B201" t="n">
        <v>3</v>
      </c>
      <c r="C201" t="inlineStr">
        <is>
          <t>P4102307426</t>
        </is>
      </c>
      <c r="D201" t="n">
        <v>0</v>
      </c>
      <c r="E201" t="n">
        <v>8</v>
      </c>
    </row>
    <row r="202">
      <c r="A202" t="n">
        <v>2026</v>
      </c>
      <c r="B202" t="n">
        <v>3</v>
      </c>
      <c r="C202" t="inlineStr">
        <is>
          <t>P4102307427</t>
        </is>
      </c>
      <c r="D202" t="n">
        <v>0</v>
      </c>
      <c r="E202" t="n">
        <v>13</v>
      </c>
    </row>
    <row r="203">
      <c r="A203" t="n">
        <v>2026</v>
      </c>
      <c r="B203" t="n">
        <v>3</v>
      </c>
      <c r="C203" t="inlineStr">
        <is>
          <t>P4102307428</t>
        </is>
      </c>
      <c r="D203" t="n">
        <v>0</v>
      </c>
      <c r="E203" t="n">
        <v>11</v>
      </c>
    </row>
    <row r="204">
      <c r="A204" t="n">
        <v>2026</v>
      </c>
      <c r="B204" t="n">
        <v>3</v>
      </c>
      <c r="C204" t="inlineStr">
        <is>
          <t>P4102307429</t>
        </is>
      </c>
      <c r="D204" t="n">
        <v>0</v>
      </c>
      <c r="E204" t="n">
        <v>10</v>
      </c>
    </row>
    <row r="205">
      <c r="A205" t="n">
        <v>2026</v>
      </c>
      <c r="B205" t="n">
        <v>3</v>
      </c>
      <c r="C205" t="inlineStr">
        <is>
          <t>P4102307430</t>
        </is>
      </c>
      <c r="D205" t="n">
        <v>0</v>
      </c>
      <c r="E205" t="n">
        <v>8</v>
      </c>
    </row>
    <row r="206">
      <c r="A206" t="n">
        <v>2026</v>
      </c>
      <c r="B206" t="n">
        <v>3</v>
      </c>
      <c r="C206" t="inlineStr">
        <is>
          <t>P4102307431</t>
        </is>
      </c>
      <c r="D206" t="n">
        <v>0</v>
      </c>
      <c r="E206" t="n">
        <v>4</v>
      </c>
    </row>
    <row r="207">
      <c r="A207" t="n">
        <v>2026</v>
      </c>
      <c r="B207" t="n">
        <v>3</v>
      </c>
      <c r="C207" t="inlineStr">
        <is>
          <t>P4102307432</t>
        </is>
      </c>
      <c r="D207" t="n">
        <v>0</v>
      </c>
      <c r="E207" t="n">
        <v>4</v>
      </c>
    </row>
    <row r="208">
      <c r="A208" t="n">
        <v>2026</v>
      </c>
      <c r="B208" t="n">
        <v>3</v>
      </c>
      <c r="C208" t="inlineStr">
        <is>
          <t>P4102307433</t>
        </is>
      </c>
      <c r="D208" t="n">
        <v>0</v>
      </c>
      <c r="E208" t="n">
        <v>62</v>
      </c>
    </row>
    <row r="209">
      <c r="A209" t="n">
        <v>2026</v>
      </c>
      <c r="B209" t="n">
        <v>3</v>
      </c>
      <c r="C209" t="inlineStr">
        <is>
          <t>P4102307434</t>
        </is>
      </c>
      <c r="D209" t="n">
        <v>0</v>
      </c>
      <c r="E209" t="n">
        <v>8</v>
      </c>
    </row>
    <row r="210">
      <c r="A210" t="n">
        <v>2026</v>
      </c>
      <c r="B210" t="n">
        <v>3</v>
      </c>
      <c r="C210" t="inlineStr">
        <is>
          <t>P4102307435</t>
        </is>
      </c>
      <c r="D210" t="n">
        <v>0</v>
      </c>
      <c r="E210" t="n">
        <v>10</v>
      </c>
    </row>
    <row r="211">
      <c r="A211" t="n">
        <v>2026</v>
      </c>
      <c r="B211" t="n">
        <v>3</v>
      </c>
      <c r="C211" t="inlineStr">
        <is>
          <t>P4102307436</t>
        </is>
      </c>
      <c r="D211" t="n">
        <v>0</v>
      </c>
      <c r="E211" t="n">
        <v>13</v>
      </c>
    </row>
    <row r="212">
      <c r="A212" t="n">
        <v>2026</v>
      </c>
      <c r="B212" t="n">
        <v>3</v>
      </c>
      <c r="C212" t="inlineStr">
        <is>
          <t>P4102307437</t>
        </is>
      </c>
      <c r="D212" t="n">
        <v>0</v>
      </c>
      <c r="E212" t="n">
        <v>4</v>
      </c>
    </row>
    <row r="213">
      <c r="A213" t="n">
        <v>2026</v>
      </c>
      <c r="B213" t="n">
        <v>3</v>
      </c>
      <c r="C213" t="inlineStr">
        <is>
          <t>P4102307439</t>
        </is>
      </c>
      <c r="D213" t="n">
        <v>0</v>
      </c>
      <c r="E213" t="n">
        <v>21</v>
      </c>
    </row>
    <row r="214">
      <c r="A214" t="n">
        <v>2026</v>
      </c>
      <c r="B214" t="n">
        <v>3</v>
      </c>
      <c r="C214" t="inlineStr">
        <is>
          <t>P4102307440</t>
        </is>
      </c>
      <c r="D214" t="n">
        <v>0</v>
      </c>
      <c r="E214" t="n">
        <v>34</v>
      </c>
    </row>
    <row r="215">
      <c r="A215" t="n">
        <v>2026</v>
      </c>
      <c r="B215" t="n">
        <v>3</v>
      </c>
      <c r="C215" t="inlineStr">
        <is>
          <t>P4102307441</t>
        </is>
      </c>
      <c r="D215" t="n">
        <v>0</v>
      </c>
      <c r="E215" t="n">
        <v>12</v>
      </c>
    </row>
    <row r="216">
      <c r="A216" t="n">
        <v>2026</v>
      </c>
      <c r="B216" t="n">
        <v>3</v>
      </c>
      <c r="C216" t="inlineStr">
        <is>
          <t>P4102309045</t>
        </is>
      </c>
      <c r="D216" t="n">
        <v>0</v>
      </c>
      <c r="E216" t="n">
        <v>6</v>
      </c>
    </row>
    <row r="217">
      <c r="A217" t="n">
        <v>2026</v>
      </c>
      <c r="B217" t="n">
        <v>3</v>
      </c>
      <c r="C217" t="inlineStr">
        <is>
          <t>P4102309046</t>
        </is>
      </c>
      <c r="D217" t="n">
        <v>0</v>
      </c>
      <c r="E217" t="n">
        <v>4</v>
      </c>
    </row>
    <row r="218">
      <c r="A218" t="n">
        <v>2026</v>
      </c>
      <c r="B218" t="n">
        <v>3</v>
      </c>
      <c r="C218" t="inlineStr">
        <is>
          <t>P4102602023</t>
        </is>
      </c>
      <c r="D218" t="n">
        <v>0</v>
      </c>
      <c r="E218" t="n">
        <v>7</v>
      </c>
    </row>
    <row r="219">
      <c r="A219" t="n">
        <v>2026</v>
      </c>
      <c r="B219" t="n">
        <v>3</v>
      </c>
      <c r="C219" t="inlineStr">
        <is>
          <t>P4102604612</t>
        </is>
      </c>
      <c r="D219" t="n">
        <v>0</v>
      </c>
      <c r="E219" t="n">
        <v>2</v>
      </c>
    </row>
    <row r="220">
      <c r="A220" t="n">
        <v>2026</v>
      </c>
      <c r="B220" t="n">
        <v>3</v>
      </c>
      <c r="C220" t="inlineStr">
        <is>
          <t>P4102607989</t>
        </is>
      </c>
      <c r="D220" t="n">
        <v>0</v>
      </c>
      <c r="E220" t="n">
        <v>26</v>
      </c>
    </row>
    <row r="221">
      <c r="A221" t="n">
        <v>2026</v>
      </c>
      <c r="B221" t="n">
        <v>3</v>
      </c>
      <c r="C221" t="inlineStr">
        <is>
          <t>P4102608246</t>
        </is>
      </c>
      <c r="D221" t="n">
        <v>-665.64</v>
      </c>
      <c r="E221" t="n">
        <v>82</v>
      </c>
    </row>
    <row r="222">
      <c r="A222" t="n">
        <v>2026</v>
      </c>
      <c r="B222" t="n">
        <v>3</v>
      </c>
      <c r="C222" t="inlineStr">
        <is>
          <t>P4102608258</t>
        </is>
      </c>
      <c r="D222" t="n">
        <v>0</v>
      </c>
      <c r="E222" t="n">
        <v>4</v>
      </c>
    </row>
    <row r="223">
      <c r="A223" t="n">
        <v>2026</v>
      </c>
      <c r="B223" t="n">
        <v>3</v>
      </c>
      <c r="C223" t="inlineStr">
        <is>
          <t>P4102608260</t>
        </is>
      </c>
      <c r="D223" t="n">
        <v>0</v>
      </c>
      <c r="E223" t="n">
        <v>12</v>
      </c>
    </row>
    <row r="224">
      <c r="A224" t="n">
        <v>2026</v>
      </c>
      <c r="B224" t="n">
        <v>3</v>
      </c>
      <c r="C224" t="inlineStr">
        <is>
          <t>P4102608263</t>
        </is>
      </c>
      <c r="D224" t="n">
        <v>0</v>
      </c>
      <c r="E224" t="n">
        <v>46</v>
      </c>
    </row>
    <row r="225">
      <c r="A225" t="n">
        <v>2026</v>
      </c>
      <c r="B225" t="n">
        <v>3</v>
      </c>
      <c r="C225" t="inlineStr">
        <is>
          <t>P4102608267</t>
        </is>
      </c>
      <c r="D225" t="n">
        <v>0</v>
      </c>
      <c r="E225" t="n">
        <v>8</v>
      </c>
    </row>
    <row r="226">
      <c r="A226" t="n">
        <v>2026</v>
      </c>
      <c r="B226" t="n">
        <v>3</v>
      </c>
      <c r="C226" t="inlineStr">
        <is>
          <t>P4102608270</t>
        </is>
      </c>
      <c r="D226" t="n">
        <v>665.64</v>
      </c>
      <c r="E226" t="n">
        <v>20</v>
      </c>
    </row>
    <row r="227">
      <c r="A227" t="n">
        <v>2026</v>
      </c>
      <c r="B227" t="n">
        <v>3</v>
      </c>
      <c r="C227" t="inlineStr">
        <is>
          <t>P4102658229</t>
        </is>
      </c>
      <c r="D227" t="n">
        <v>0</v>
      </c>
      <c r="E227" t="n">
        <v>106</v>
      </c>
    </row>
    <row r="228">
      <c r="A228" t="n">
        <v>2026</v>
      </c>
      <c r="B228" t="n">
        <v>3</v>
      </c>
      <c r="C228" t="inlineStr">
        <is>
          <t>P4102658250</t>
        </is>
      </c>
      <c r="D228" t="n">
        <v>0</v>
      </c>
      <c r="E228" t="n">
        <v>2</v>
      </c>
    </row>
    <row r="229">
      <c r="A229" t="n">
        <v>2026</v>
      </c>
      <c r="B229" t="n">
        <v>3</v>
      </c>
      <c r="C229" t="inlineStr">
        <is>
          <t>P4102658254</t>
        </is>
      </c>
      <c r="D229" t="n">
        <v>0</v>
      </c>
      <c r="E229" t="n">
        <v>2</v>
      </c>
    </row>
    <row r="230">
      <c r="A230" t="n">
        <v>2026</v>
      </c>
      <c r="B230" t="n">
        <v>3</v>
      </c>
      <c r="C230" t="inlineStr">
        <is>
          <t>P4102658256</t>
        </is>
      </c>
      <c r="D230" t="n">
        <v>0</v>
      </c>
      <c r="E230" t="n">
        <v>49</v>
      </c>
    </row>
    <row r="231">
      <c r="A231" t="n">
        <v>2026</v>
      </c>
      <c r="B231" t="n">
        <v>3</v>
      </c>
      <c r="C231" t="inlineStr">
        <is>
          <t>P4102658257</t>
        </is>
      </c>
      <c r="D231" t="n">
        <v>0</v>
      </c>
      <c r="E231" t="n">
        <v>2</v>
      </c>
    </row>
    <row r="232">
      <c r="A232" t="n">
        <v>2026</v>
      </c>
      <c r="B232" t="n">
        <v>3</v>
      </c>
      <c r="C232" t="inlineStr">
        <is>
          <t>P4102658259</t>
        </is>
      </c>
      <c r="D232" t="n">
        <v>0</v>
      </c>
      <c r="E232" t="n">
        <v>2</v>
      </c>
    </row>
    <row r="233">
      <c r="A233" t="n">
        <v>2026</v>
      </c>
      <c r="B233" t="n">
        <v>3</v>
      </c>
      <c r="C233" t="inlineStr">
        <is>
          <t>W4102154411</t>
        </is>
      </c>
      <c r="D233" t="n">
        <v>-86510.3</v>
      </c>
      <c r="E233" t="n">
        <v>86</v>
      </c>
    </row>
    <row r="234">
      <c r="A234" t="n">
        <v>2026</v>
      </c>
      <c r="B234" t="n">
        <v>3</v>
      </c>
      <c r="C234" t="inlineStr">
        <is>
          <t>W4102154501</t>
        </is>
      </c>
      <c r="D234" t="n">
        <v>2166</v>
      </c>
      <c r="E234" t="n">
        <v>2</v>
      </c>
    </row>
    <row r="235">
      <c r="A235" t="n">
        <v>2026</v>
      </c>
      <c r="B235" t="n">
        <v>3</v>
      </c>
      <c r="C235" t="inlineStr">
        <is>
          <t>W4102154611</t>
        </is>
      </c>
      <c r="D235" t="n">
        <v>1654.37</v>
      </c>
      <c r="E235" t="n">
        <v>17</v>
      </c>
    </row>
    <row r="236">
      <c r="A236" t="n">
        <v>2026</v>
      </c>
      <c r="B236" t="n">
        <v>3</v>
      </c>
      <c r="C236" t="inlineStr">
        <is>
          <t>W4102154953</t>
        </is>
      </c>
      <c r="D236" t="n">
        <v>129.98</v>
      </c>
      <c r="E236" t="n">
        <v>2</v>
      </c>
    </row>
    <row r="237">
      <c r="A237" t="n">
        <v>2026</v>
      </c>
      <c r="B237" t="n">
        <v>3</v>
      </c>
      <c r="C237" t="inlineStr">
        <is>
          <t>W4102154961</t>
        </is>
      </c>
      <c r="D237" t="n">
        <v>466.2</v>
      </c>
      <c r="E237" t="n">
        <v>9</v>
      </c>
    </row>
    <row r="238">
      <c r="A238" t="n">
        <v>2026</v>
      </c>
      <c r="B238" t="n">
        <v>3</v>
      </c>
      <c r="C238" t="inlineStr">
        <is>
          <t>W4102154964</t>
        </is>
      </c>
      <c r="D238" t="n">
        <v>1868.35</v>
      </c>
      <c r="E238" t="n">
        <v>8</v>
      </c>
    </row>
    <row r="239">
      <c r="A239" t="n">
        <v>2026</v>
      </c>
      <c r="B239" t="n">
        <v>3</v>
      </c>
      <c r="C239" t="inlineStr">
        <is>
          <t>W4102154966</t>
        </is>
      </c>
      <c r="D239" t="n">
        <v>952.09</v>
      </c>
      <c r="E239" t="n">
        <v>2</v>
      </c>
    </row>
    <row r="240">
      <c r="A240" t="n">
        <v>2026</v>
      </c>
      <c r="B240" t="n">
        <v>3</v>
      </c>
      <c r="C240" t="inlineStr">
        <is>
          <t>W4102154967</t>
        </is>
      </c>
      <c r="D240" t="n">
        <v>2692.89</v>
      </c>
      <c r="E240" t="n">
        <v>10</v>
      </c>
    </row>
    <row r="241">
      <c r="A241" t="n">
        <v>2026</v>
      </c>
      <c r="B241" t="n">
        <v>3</v>
      </c>
      <c r="C241" t="inlineStr">
        <is>
          <t>W4102304411</t>
        </is>
      </c>
      <c r="D241" t="n">
        <v>-3943.19</v>
      </c>
      <c r="E241" t="n">
        <v>91</v>
      </c>
    </row>
    <row r="242">
      <c r="A242" t="n">
        <v>2026</v>
      </c>
      <c r="B242" t="n">
        <v>3</v>
      </c>
      <c r="C242" t="inlineStr">
        <is>
          <t>W4102304412</t>
        </is>
      </c>
      <c r="D242" t="n">
        <v>415</v>
      </c>
      <c r="E242" t="n">
        <v>5</v>
      </c>
    </row>
    <row r="243">
      <c r="A243" t="n">
        <v>2026</v>
      </c>
      <c r="B243" t="n">
        <v>3</v>
      </c>
      <c r="C243" t="inlineStr">
        <is>
          <t>W4102304611</t>
        </is>
      </c>
      <c r="D243" t="n">
        <v>10664.9</v>
      </c>
      <c r="E243" t="n">
        <v>27</v>
      </c>
    </row>
    <row r="244">
      <c r="A244" t="n">
        <v>2026</v>
      </c>
      <c r="B244" t="n">
        <v>3</v>
      </c>
      <c r="C244" t="inlineStr">
        <is>
          <t>W4102304943</t>
        </is>
      </c>
      <c r="D244" t="n">
        <v>1932.56</v>
      </c>
      <c r="E244" t="n">
        <v>7</v>
      </c>
    </row>
    <row r="245">
      <c r="A245" t="n">
        <v>2026</v>
      </c>
      <c r="B245" t="n">
        <v>3</v>
      </c>
      <c r="C245" t="inlineStr">
        <is>
          <t>W4102304946</t>
        </is>
      </c>
      <c r="D245" t="n">
        <v>14120.1</v>
      </c>
      <c r="E245" t="n">
        <v>8</v>
      </c>
    </row>
    <row r="246">
      <c r="A246" t="n">
        <v>2026</v>
      </c>
      <c r="B246" t="n">
        <v>3</v>
      </c>
      <c r="C246" t="inlineStr">
        <is>
          <t>W4102304947</t>
        </is>
      </c>
      <c r="D246" t="n">
        <v>47.83</v>
      </c>
      <c r="E246" t="n">
        <v>2</v>
      </c>
    </row>
    <row r="247">
      <c r="A247" t="n">
        <v>2026</v>
      </c>
      <c r="B247" t="n">
        <v>3</v>
      </c>
      <c r="C247" t="inlineStr">
        <is>
          <t>W4102307366</t>
        </is>
      </c>
      <c r="D247" t="n">
        <v>0</v>
      </c>
      <c r="E247" t="n">
        <v>4</v>
      </c>
    </row>
    <row r="248">
      <c r="A248" t="n">
        <v>2026</v>
      </c>
      <c r="B248" t="n">
        <v>3</v>
      </c>
      <c r="C248" t="inlineStr">
        <is>
          <t>W4102504104</t>
        </is>
      </c>
      <c r="D248" t="n">
        <v>9500</v>
      </c>
      <c r="E248" t="n">
        <v>2</v>
      </c>
    </row>
    <row r="249">
      <c r="A249" t="n">
        <v>2026</v>
      </c>
      <c r="B249" t="n">
        <v>3</v>
      </c>
      <c r="C249" t="inlineStr">
        <is>
          <t>W4102504106</t>
        </is>
      </c>
      <c r="D249" t="n">
        <v>443.7</v>
      </c>
      <c r="E249" t="n">
        <v>15</v>
      </c>
    </row>
    <row r="250">
      <c r="A250" t="n">
        <v>2026</v>
      </c>
      <c r="B250" t="n">
        <v>3</v>
      </c>
      <c r="C250" t="inlineStr">
        <is>
          <t>W4102504107</t>
        </is>
      </c>
      <c r="D250" t="n">
        <v>567.73</v>
      </c>
      <c r="E250" t="n">
        <v>11</v>
      </c>
    </row>
    <row r="251">
      <c r="A251" t="n">
        <v>2026</v>
      </c>
      <c r="B251" t="n">
        <v>3</v>
      </c>
      <c r="C251" t="inlineStr">
        <is>
          <t>W4102504108</t>
        </is>
      </c>
      <c r="D251" t="n">
        <v>109.1</v>
      </c>
      <c r="E251" t="n">
        <v>2</v>
      </c>
    </row>
    <row r="252">
      <c r="A252" t="n">
        <v>2026</v>
      </c>
      <c r="B252" t="n">
        <v>3</v>
      </c>
      <c r="C252" t="inlineStr">
        <is>
          <t>W4102504109</t>
        </is>
      </c>
      <c r="D252" t="n">
        <v>670.86</v>
      </c>
      <c r="E252" t="n">
        <v>6</v>
      </c>
    </row>
    <row r="253">
      <c r="A253" t="n">
        <v>2026</v>
      </c>
      <c r="B253" t="n">
        <v>3</v>
      </c>
      <c r="C253" t="inlineStr">
        <is>
          <t>W4102504211</t>
        </is>
      </c>
      <c r="D253" t="n">
        <v>14.1</v>
      </c>
      <c r="E253" t="n">
        <v>1</v>
      </c>
    </row>
    <row r="254">
      <c r="A254" t="n">
        <v>2026</v>
      </c>
      <c r="B254" t="n">
        <v>3</v>
      </c>
      <c r="C254" t="inlineStr">
        <is>
          <t>W4102504221</t>
        </is>
      </c>
      <c r="D254" t="n">
        <v>7.05</v>
      </c>
      <c r="E254" t="n">
        <v>1</v>
      </c>
    </row>
    <row r="255">
      <c r="A255" t="n">
        <v>2026</v>
      </c>
      <c r="B255" t="n">
        <v>3</v>
      </c>
      <c r="C255" t="inlineStr">
        <is>
          <t>W4102504222</t>
        </is>
      </c>
      <c r="D255" t="n">
        <v>60950.93</v>
      </c>
      <c r="E255" t="n">
        <v>84</v>
      </c>
    </row>
    <row r="256">
      <c r="A256" t="n">
        <v>2026</v>
      </c>
      <c r="B256" t="n">
        <v>3</v>
      </c>
      <c r="C256" t="inlineStr">
        <is>
          <t>W4102504262</t>
        </is>
      </c>
      <c r="D256" t="n">
        <v>7184.06</v>
      </c>
      <c r="E256" t="n">
        <v>17</v>
      </c>
    </row>
    <row r="257">
      <c r="A257" t="n">
        <v>2026</v>
      </c>
      <c r="B257" t="n">
        <v>3</v>
      </c>
      <c r="C257" t="inlineStr">
        <is>
          <t>W4102504941</t>
        </is>
      </c>
      <c r="D257" t="n">
        <v>708</v>
      </c>
      <c r="E257" t="n">
        <v>4</v>
      </c>
    </row>
    <row r="258">
      <c r="A258" t="n">
        <v>2026</v>
      </c>
      <c r="B258" t="n">
        <v>3</v>
      </c>
      <c r="C258" t="inlineStr">
        <is>
          <t>W4102504951</t>
        </is>
      </c>
      <c r="D258" t="n">
        <v>27214.78</v>
      </c>
      <c r="E258" t="n">
        <v>2</v>
      </c>
    </row>
    <row r="259">
      <c r="A259" t="n">
        <v>2026</v>
      </c>
      <c r="B259" t="n">
        <v>3</v>
      </c>
      <c r="C259" t="inlineStr">
        <is>
          <t>W4102504967</t>
        </is>
      </c>
      <c r="D259" t="n">
        <v>56.15</v>
      </c>
      <c r="E259" t="n">
        <v>1</v>
      </c>
    </row>
    <row r="260">
      <c r="A260" t="n">
        <v>2026</v>
      </c>
      <c r="B260" t="n">
        <v>3</v>
      </c>
      <c r="C260" t="inlineStr">
        <is>
          <t>W4102504971</t>
        </is>
      </c>
      <c r="D260" t="n">
        <v>554.47</v>
      </c>
      <c r="E260" t="n">
        <v>5</v>
      </c>
    </row>
    <row r="261">
      <c r="A261" t="n">
        <v>2026</v>
      </c>
      <c r="B261" t="n">
        <v>3</v>
      </c>
      <c r="C261" t="inlineStr">
        <is>
          <t>W4102504973</t>
        </is>
      </c>
      <c r="D261" t="n">
        <v>1106.67</v>
      </c>
      <c r="E261" t="n">
        <v>9</v>
      </c>
    </row>
    <row r="262">
      <c r="A262" t="n">
        <v>2026</v>
      </c>
      <c r="B262" t="n">
        <v>3</v>
      </c>
      <c r="C262" t="inlineStr">
        <is>
          <t>W4102504974</t>
        </is>
      </c>
      <c r="D262" t="n">
        <v>1357.86</v>
      </c>
      <c r="E262" t="n">
        <v>5</v>
      </c>
    </row>
    <row r="263">
      <c r="A263" t="n">
        <v>2026</v>
      </c>
      <c r="B263" t="n">
        <v>3</v>
      </c>
      <c r="C263" t="inlineStr">
        <is>
          <t>W4102504975</t>
        </is>
      </c>
      <c r="D263" t="n">
        <v>2224.37</v>
      </c>
      <c r="E263" t="n">
        <v>6</v>
      </c>
    </row>
    <row r="264">
      <c r="A264" t="n">
        <v>2026</v>
      </c>
      <c r="B264" t="n">
        <v>3</v>
      </c>
      <c r="C264" t="inlineStr">
        <is>
          <t>W4102604411</t>
        </is>
      </c>
      <c r="D264" t="n">
        <v>-52565.7</v>
      </c>
      <c r="E264" t="n">
        <v>70</v>
      </c>
    </row>
    <row r="265">
      <c r="A265" t="n">
        <v>2026</v>
      </c>
      <c r="B265" t="n">
        <v>3</v>
      </c>
      <c r="C265" t="inlineStr">
        <is>
          <t>W4102604414</t>
        </is>
      </c>
      <c r="D265" t="n">
        <v>-2669.49</v>
      </c>
      <c r="E265" t="n">
        <v>5</v>
      </c>
    </row>
    <row r="266">
      <c r="A266" t="n">
        <v>2026</v>
      </c>
      <c r="B266" t="n">
        <v>3</v>
      </c>
      <c r="C266" t="inlineStr">
        <is>
          <t>W4102604611</t>
        </is>
      </c>
      <c r="D266" t="n">
        <v>2322.85</v>
      </c>
      <c r="E266" t="n">
        <v>21</v>
      </c>
    </row>
    <row r="267">
      <c r="A267" t="n">
        <v>2026</v>
      </c>
      <c r="B267" t="n">
        <v>3</v>
      </c>
      <c r="C267" t="inlineStr">
        <is>
          <t>W4102604612</t>
        </is>
      </c>
      <c r="D267" t="n">
        <v>10.95</v>
      </c>
      <c r="E267" t="n">
        <v>5</v>
      </c>
    </row>
    <row r="268">
      <c r="A268" t="n">
        <v>2026</v>
      </c>
      <c r="B268" t="n">
        <v>3</v>
      </c>
      <c r="C268" t="inlineStr">
        <is>
          <t>W4102604938</t>
        </is>
      </c>
      <c r="D268" t="n">
        <v>1052.78</v>
      </c>
      <c r="E268" t="n">
        <v>5</v>
      </c>
    </row>
    <row r="269">
      <c r="A269" t="n">
        <v>2026</v>
      </c>
      <c r="B269" t="n">
        <v>3</v>
      </c>
      <c r="C269" t="inlineStr">
        <is>
          <t>W4102604940</t>
        </is>
      </c>
      <c r="D269" t="n">
        <v>864.6799999999999</v>
      </c>
      <c r="E269" t="n">
        <v>7</v>
      </c>
    </row>
    <row r="270">
      <c r="A270" t="n">
        <v>2026</v>
      </c>
      <c r="B270" t="n">
        <v>3</v>
      </c>
      <c r="C270" t="inlineStr">
        <is>
          <t>W4102604941</t>
        </is>
      </c>
      <c r="D270" t="n">
        <v>1603.77</v>
      </c>
      <c r="E270" t="n">
        <v>7</v>
      </c>
    </row>
    <row r="271">
      <c r="A271" t="n">
        <v>2026</v>
      </c>
      <c r="B271" t="n">
        <v>3</v>
      </c>
      <c r="C271" t="inlineStr">
        <is>
          <t>W4102604949</t>
        </is>
      </c>
      <c r="D271" t="n">
        <v>1105.05</v>
      </c>
      <c r="E271" t="n">
        <v>5</v>
      </c>
    </row>
    <row r="272">
      <c r="A272" t="n">
        <v>2026</v>
      </c>
      <c r="B272" t="n">
        <v>3</v>
      </c>
      <c r="C272" t="inlineStr">
        <is>
          <t>W4102604950</t>
        </is>
      </c>
      <c r="D272" t="n">
        <v>1458.16</v>
      </c>
      <c r="E272" t="n">
        <v>8</v>
      </c>
    </row>
    <row r="273">
      <c r="A273" t="n">
        <v>2026</v>
      </c>
      <c r="B273" t="n">
        <v>3</v>
      </c>
      <c r="C273" t="inlineStr">
        <is>
          <t>W4102604951</t>
        </is>
      </c>
      <c r="D273" t="n">
        <v>174.06</v>
      </c>
      <c r="E273" t="n">
        <v>1</v>
      </c>
    </row>
    <row r="274">
      <c r="A274" t="n">
        <v>2026</v>
      </c>
      <c r="B274" t="n">
        <v>3</v>
      </c>
      <c r="C274" t="inlineStr">
        <is>
          <t>W4102607081</t>
        </is>
      </c>
      <c r="D274" t="n">
        <v>0</v>
      </c>
      <c r="E274" t="n">
        <v>4</v>
      </c>
    </row>
    <row r="275">
      <c r="A275" t="n">
        <v>2026</v>
      </c>
      <c r="B275" t="n">
        <v>3</v>
      </c>
      <c r="C275" t="inlineStr">
        <is>
          <t>W4102608246</t>
        </is>
      </c>
      <c r="D275" t="n">
        <v>875</v>
      </c>
      <c r="E275" t="n">
        <v>1</v>
      </c>
    </row>
    <row r="276">
      <c r="A276" t="n">
        <v>2026</v>
      </c>
      <c r="B276" t="n">
        <v>3</v>
      </c>
      <c r="C276" t="inlineStr">
        <is>
          <t>W4102651216</t>
        </is>
      </c>
      <c r="D276" t="n">
        <v>285</v>
      </c>
      <c r="E276" t="n">
        <v>5</v>
      </c>
    </row>
    <row r="277">
      <c r="A277" t="n">
        <v>2026</v>
      </c>
      <c r="B277" t="n">
        <v>3</v>
      </c>
      <c r="C277" t="inlineStr">
        <is>
          <t>W4102652709</t>
        </is>
      </c>
      <c r="D277" t="n">
        <v>264.74</v>
      </c>
      <c r="E277" t="n">
        <v>2</v>
      </c>
    </row>
    <row r="278">
      <c r="A278" t="n">
        <v>2026</v>
      </c>
      <c r="B278" t="n">
        <v>3</v>
      </c>
      <c r="C278" t="inlineStr">
        <is>
          <t>W4102654411</t>
        </is>
      </c>
      <c r="D278" t="n">
        <v>-45251.58</v>
      </c>
      <c r="E278" t="n">
        <v>28</v>
      </c>
    </row>
    <row r="279">
      <c r="A279" t="n">
        <v>2026</v>
      </c>
      <c r="B279" t="n">
        <v>3</v>
      </c>
      <c r="C279" t="inlineStr">
        <is>
          <t>W4102654611</t>
        </is>
      </c>
      <c r="D279" t="n">
        <v>2215.49</v>
      </c>
      <c r="E279" t="n">
        <v>22</v>
      </c>
    </row>
    <row r="280">
      <c r="A280" t="n">
        <v>2026</v>
      </c>
      <c r="B280" t="n">
        <v>3</v>
      </c>
      <c r="C280" t="inlineStr">
        <is>
          <t>W4102654945</t>
        </is>
      </c>
      <c r="D280" t="n">
        <v>1050.53</v>
      </c>
      <c r="E280" t="n">
        <v>8</v>
      </c>
    </row>
    <row r="281">
      <c r="A281" t="n">
        <v>2026</v>
      </c>
      <c r="B281" t="n">
        <v>3</v>
      </c>
      <c r="C281" t="inlineStr">
        <is>
          <t>W4102654946</t>
        </is>
      </c>
      <c r="D281" t="n">
        <v>586.71</v>
      </c>
      <c r="E281" t="n">
        <v>5</v>
      </c>
    </row>
    <row r="282">
      <c r="A282" t="n">
        <v>2026</v>
      </c>
      <c r="B282" t="n">
        <v>3</v>
      </c>
      <c r="C282" t="inlineStr">
        <is>
          <t>W4102654947</t>
        </is>
      </c>
      <c r="D282" t="n">
        <v>553.71</v>
      </c>
      <c r="E282" t="n">
        <v>4</v>
      </c>
    </row>
    <row r="283">
      <c r="A283" t="n">
        <v>2026</v>
      </c>
      <c r="B283" t="n">
        <v>4</v>
      </c>
      <c r="C283" t="inlineStr">
        <is>
          <t>P4102157208</t>
        </is>
      </c>
      <c r="D283" t="n">
        <v>0</v>
      </c>
      <c r="E283" t="n">
        <v>14</v>
      </c>
    </row>
    <row r="284">
      <c r="A284" t="n">
        <v>2026</v>
      </c>
      <c r="B284" t="n">
        <v>4</v>
      </c>
      <c r="C284" t="inlineStr">
        <is>
          <t>P4102157414</t>
        </is>
      </c>
      <c r="D284" t="n">
        <v>0</v>
      </c>
      <c r="E284" t="n">
        <v>12</v>
      </c>
    </row>
    <row r="285">
      <c r="A285" t="n">
        <v>2026</v>
      </c>
      <c r="B285" t="n">
        <v>4</v>
      </c>
      <c r="C285" t="inlineStr">
        <is>
          <t>P4102157420</t>
        </is>
      </c>
      <c r="D285" t="n">
        <v>0</v>
      </c>
      <c r="E285" t="n">
        <v>6</v>
      </c>
    </row>
    <row r="286">
      <c r="A286" t="n">
        <v>2026</v>
      </c>
      <c r="B286" t="n">
        <v>4</v>
      </c>
      <c r="C286" t="inlineStr">
        <is>
          <t>P4102157429</t>
        </is>
      </c>
      <c r="D286" t="n">
        <v>0</v>
      </c>
      <c r="E286" t="n">
        <v>6</v>
      </c>
    </row>
    <row r="287">
      <c r="A287" t="n">
        <v>2026</v>
      </c>
      <c r="B287" t="n">
        <v>4</v>
      </c>
      <c r="C287" t="inlineStr">
        <is>
          <t>P4102157442</t>
        </is>
      </c>
      <c r="D287" t="n">
        <v>0</v>
      </c>
      <c r="E287" t="n">
        <v>13</v>
      </c>
    </row>
    <row r="288">
      <c r="A288" t="n">
        <v>2026</v>
      </c>
      <c r="B288" t="n">
        <v>4</v>
      </c>
      <c r="C288" t="inlineStr">
        <is>
          <t>P4102157449</t>
        </is>
      </c>
      <c r="D288" t="n">
        <v>0</v>
      </c>
      <c r="E288" t="n">
        <v>17</v>
      </c>
    </row>
    <row r="289">
      <c r="A289" t="n">
        <v>2026</v>
      </c>
      <c r="B289" t="n">
        <v>4</v>
      </c>
      <c r="C289" t="inlineStr">
        <is>
          <t>P4102157451</t>
        </is>
      </c>
      <c r="D289" t="n">
        <v>0</v>
      </c>
      <c r="E289" t="n">
        <v>93</v>
      </c>
    </row>
    <row r="290">
      <c r="A290" t="n">
        <v>2026</v>
      </c>
      <c r="B290" t="n">
        <v>4</v>
      </c>
      <c r="C290" t="inlineStr">
        <is>
          <t>P4102157453</t>
        </is>
      </c>
      <c r="D290" t="n">
        <v>0</v>
      </c>
      <c r="E290" t="n">
        <v>39</v>
      </c>
    </row>
    <row r="291">
      <c r="A291" t="n">
        <v>2026</v>
      </c>
      <c r="B291" t="n">
        <v>4</v>
      </c>
      <c r="C291" t="inlineStr">
        <is>
          <t>P4102157455</t>
        </is>
      </c>
      <c r="D291" t="n">
        <v>0</v>
      </c>
      <c r="E291" t="n">
        <v>91</v>
      </c>
    </row>
    <row r="292">
      <c r="A292" t="n">
        <v>2026</v>
      </c>
      <c r="B292" t="n">
        <v>4</v>
      </c>
      <c r="C292" t="inlineStr">
        <is>
          <t>P4102157456</t>
        </is>
      </c>
      <c r="D292" t="n">
        <v>0</v>
      </c>
      <c r="E292" t="n">
        <v>16</v>
      </c>
    </row>
    <row r="293">
      <c r="A293" t="n">
        <v>2026</v>
      </c>
      <c r="B293" t="n">
        <v>4</v>
      </c>
      <c r="C293" t="inlineStr">
        <is>
          <t>P4102157457</t>
        </is>
      </c>
      <c r="D293" t="n">
        <v>0</v>
      </c>
      <c r="E293" t="n">
        <v>40</v>
      </c>
    </row>
    <row r="294">
      <c r="A294" t="n">
        <v>2026</v>
      </c>
      <c r="B294" t="n">
        <v>4</v>
      </c>
      <c r="C294" t="inlineStr">
        <is>
          <t>P4102157458</t>
        </is>
      </c>
      <c r="D294" t="n">
        <v>0</v>
      </c>
      <c r="E294" t="n">
        <v>7</v>
      </c>
    </row>
    <row r="295">
      <c r="A295" t="n">
        <v>2026</v>
      </c>
      <c r="B295" t="n">
        <v>4</v>
      </c>
      <c r="C295" t="inlineStr">
        <is>
          <t>P4102157459</t>
        </is>
      </c>
      <c r="D295" t="n">
        <v>0</v>
      </c>
      <c r="E295" t="n">
        <v>12</v>
      </c>
    </row>
    <row r="296">
      <c r="A296" t="n">
        <v>2026</v>
      </c>
      <c r="B296" t="n">
        <v>4</v>
      </c>
      <c r="C296" t="inlineStr">
        <is>
          <t>P4102307304</t>
        </is>
      </c>
      <c r="D296" t="n">
        <v>0</v>
      </c>
      <c r="E296" t="n">
        <v>6</v>
      </c>
    </row>
    <row r="297">
      <c r="A297" t="n">
        <v>2026</v>
      </c>
      <c r="B297" t="n">
        <v>4</v>
      </c>
      <c r="C297" t="inlineStr">
        <is>
          <t>P4102307306</t>
        </is>
      </c>
      <c r="D297" t="n">
        <v>0</v>
      </c>
      <c r="E297" t="n">
        <v>2</v>
      </c>
    </row>
    <row r="298">
      <c r="A298" t="n">
        <v>2026</v>
      </c>
      <c r="B298" t="n">
        <v>4</v>
      </c>
      <c r="C298" t="inlineStr">
        <is>
          <t>P4102307422</t>
        </is>
      </c>
      <c r="D298" t="n">
        <v>0</v>
      </c>
      <c r="E298" t="n">
        <v>4</v>
      </c>
    </row>
    <row r="299">
      <c r="A299" t="n">
        <v>2026</v>
      </c>
      <c r="B299" t="n">
        <v>4</v>
      </c>
      <c r="C299" t="inlineStr">
        <is>
          <t>P4102307424</t>
        </is>
      </c>
      <c r="D299" t="n">
        <v>0</v>
      </c>
      <c r="E299" t="n">
        <v>6</v>
      </c>
    </row>
    <row r="300">
      <c r="A300" t="n">
        <v>2026</v>
      </c>
      <c r="B300" t="n">
        <v>4</v>
      </c>
      <c r="C300" t="inlineStr">
        <is>
          <t>P4102307426</t>
        </is>
      </c>
      <c r="D300" t="n">
        <v>0</v>
      </c>
      <c r="E300" t="n">
        <v>4</v>
      </c>
    </row>
    <row r="301">
      <c r="A301" t="n">
        <v>2026</v>
      </c>
      <c r="B301" t="n">
        <v>4</v>
      </c>
      <c r="C301" t="inlineStr">
        <is>
          <t>P4102307427</t>
        </is>
      </c>
      <c r="D301" t="n">
        <v>0</v>
      </c>
      <c r="E301" t="n">
        <v>9</v>
      </c>
    </row>
    <row r="302">
      <c r="A302" t="n">
        <v>2026</v>
      </c>
      <c r="B302" t="n">
        <v>4</v>
      </c>
      <c r="C302" t="inlineStr">
        <is>
          <t>P4102307428</t>
        </is>
      </c>
      <c r="D302" t="n">
        <v>0</v>
      </c>
      <c r="E302" t="n">
        <v>8</v>
      </c>
    </row>
    <row r="303">
      <c r="A303" t="n">
        <v>2026</v>
      </c>
      <c r="B303" t="n">
        <v>4</v>
      </c>
      <c r="C303" t="inlineStr">
        <is>
          <t>P4102307429</t>
        </is>
      </c>
      <c r="D303" t="n">
        <v>0</v>
      </c>
      <c r="E303" t="n">
        <v>9</v>
      </c>
    </row>
    <row r="304">
      <c r="A304" t="n">
        <v>2026</v>
      </c>
      <c r="B304" t="n">
        <v>4</v>
      </c>
      <c r="C304" t="inlineStr">
        <is>
          <t>P4102307430</t>
        </is>
      </c>
      <c r="D304" t="n">
        <v>0</v>
      </c>
      <c r="E304" t="n">
        <v>8</v>
      </c>
    </row>
    <row r="305">
      <c r="A305" t="n">
        <v>2026</v>
      </c>
      <c r="B305" t="n">
        <v>4</v>
      </c>
      <c r="C305" t="inlineStr">
        <is>
          <t>P4102307433</t>
        </is>
      </c>
      <c r="D305" t="n">
        <v>0</v>
      </c>
      <c r="E305" t="n">
        <v>86</v>
      </c>
    </row>
    <row r="306">
      <c r="A306" t="n">
        <v>2026</v>
      </c>
      <c r="B306" t="n">
        <v>4</v>
      </c>
      <c r="C306" t="inlineStr">
        <is>
          <t>P4102307434</t>
        </is>
      </c>
      <c r="D306" t="n">
        <v>-78.41</v>
      </c>
      <c r="E306" t="n">
        <v>5</v>
      </c>
    </row>
    <row r="307">
      <c r="A307" t="n">
        <v>2026</v>
      </c>
      <c r="B307" t="n">
        <v>4</v>
      </c>
      <c r="C307" t="inlineStr">
        <is>
          <t>P4102307435</t>
        </is>
      </c>
      <c r="D307" t="n">
        <v>0</v>
      </c>
      <c r="E307" t="n">
        <v>20</v>
      </c>
    </row>
    <row r="308">
      <c r="A308" t="n">
        <v>2026</v>
      </c>
      <c r="B308" t="n">
        <v>4</v>
      </c>
      <c r="C308" t="inlineStr">
        <is>
          <t>P4102307436</t>
        </is>
      </c>
      <c r="D308" t="n">
        <v>0</v>
      </c>
      <c r="E308" t="n">
        <v>6</v>
      </c>
    </row>
    <row r="309">
      <c r="A309" t="n">
        <v>2026</v>
      </c>
      <c r="B309" t="n">
        <v>4</v>
      </c>
      <c r="C309" t="inlineStr">
        <is>
          <t>P4102307439</t>
        </is>
      </c>
      <c r="D309" t="n">
        <v>0</v>
      </c>
      <c r="E309" t="n">
        <v>17</v>
      </c>
    </row>
    <row r="310">
      <c r="A310" t="n">
        <v>2026</v>
      </c>
      <c r="B310" t="n">
        <v>4</v>
      </c>
      <c r="C310" t="inlineStr">
        <is>
          <t>P4102307440</t>
        </is>
      </c>
      <c r="D310" t="n">
        <v>0</v>
      </c>
      <c r="E310" t="n">
        <v>31</v>
      </c>
    </row>
    <row r="311">
      <c r="A311" t="n">
        <v>2026</v>
      </c>
      <c r="B311" t="n">
        <v>4</v>
      </c>
      <c r="C311" t="inlineStr">
        <is>
          <t>P4102307441</t>
        </is>
      </c>
      <c r="D311" t="n">
        <v>0</v>
      </c>
      <c r="E311" t="n">
        <v>16</v>
      </c>
    </row>
    <row r="312">
      <c r="A312" t="n">
        <v>2026</v>
      </c>
      <c r="B312" t="n">
        <v>4</v>
      </c>
      <c r="C312" t="inlineStr">
        <is>
          <t>P4102309045</t>
        </is>
      </c>
      <c r="D312" t="n">
        <v>78.41</v>
      </c>
      <c r="E312" t="n">
        <v>15</v>
      </c>
    </row>
    <row r="313">
      <c r="A313" t="n">
        <v>2026</v>
      </c>
      <c r="B313" t="n">
        <v>4</v>
      </c>
      <c r="C313" t="inlineStr">
        <is>
          <t>P4102309046</t>
        </is>
      </c>
      <c r="D313" t="n">
        <v>0</v>
      </c>
      <c r="E313" t="n">
        <v>8</v>
      </c>
    </row>
    <row r="314">
      <c r="A314" t="n">
        <v>2026</v>
      </c>
      <c r="B314" t="n">
        <v>4</v>
      </c>
      <c r="C314" t="inlineStr">
        <is>
          <t>P4102602023</t>
        </is>
      </c>
      <c r="D314" t="n">
        <v>0</v>
      </c>
      <c r="E314" t="n">
        <v>5</v>
      </c>
    </row>
    <row r="315">
      <c r="A315" t="n">
        <v>2026</v>
      </c>
      <c r="B315" t="n">
        <v>4</v>
      </c>
      <c r="C315" t="inlineStr">
        <is>
          <t>P4102604612</t>
        </is>
      </c>
      <c r="D315" t="n">
        <v>0</v>
      </c>
      <c r="E315" t="n">
        <v>2</v>
      </c>
    </row>
    <row r="316">
      <c r="A316" t="n">
        <v>2026</v>
      </c>
      <c r="B316" t="n">
        <v>4</v>
      </c>
      <c r="C316" t="inlineStr">
        <is>
          <t>P4102607989</t>
        </is>
      </c>
      <c r="D316" t="n">
        <v>0</v>
      </c>
      <c r="E316" t="n">
        <v>33</v>
      </c>
    </row>
    <row r="317">
      <c r="A317" t="n">
        <v>2026</v>
      </c>
      <c r="B317" t="n">
        <v>4</v>
      </c>
      <c r="C317" t="inlineStr">
        <is>
          <t>P4102608246</t>
        </is>
      </c>
      <c r="D317" t="n">
        <v>0</v>
      </c>
      <c r="E317" t="n">
        <v>75</v>
      </c>
    </row>
    <row r="318">
      <c r="A318" t="n">
        <v>2026</v>
      </c>
      <c r="B318" t="n">
        <v>4</v>
      </c>
      <c r="C318" t="inlineStr">
        <is>
          <t>P4102608260</t>
        </is>
      </c>
      <c r="D318" t="n">
        <v>0</v>
      </c>
      <c r="E318" t="n">
        <v>12</v>
      </c>
    </row>
    <row r="319">
      <c r="A319" t="n">
        <v>2026</v>
      </c>
      <c r="B319" t="n">
        <v>4</v>
      </c>
      <c r="C319" t="inlineStr">
        <is>
          <t>P4102608263</t>
        </is>
      </c>
      <c r="D319" t="n">
        <v>0</v>
      </c>
      <c r="E319" t="n">
        <v>43</v>
      </c>
    </row>
    <row r="320">
      <c r="A320" t="n">
        <v>2026</v>
      </c>
      <c r="B320" t="n">
        <v>4</v>
      </c>
      <c r="C320" t="inlineStr">
        <is>
          <t>P4102608270</t>
        </is>
      </c>
      <c r="D320" t="n">
        <v>0</v>
      </c>
      <c r="E320" t="n">
        <v>17</v>
      </c>
    </row>
    <row r="321">
      <c r="A321" t="n">
        <v>2026</v>
      </c>
      <c r="B321" t="n">
        <v>4</v>
      </c>
      <c r="C321" t="inlineStr">
        <is>
          <t>P4102608271</t>
        </is>
      </c>
      <c r="D321" t="n">
        <v>0</v>
      </c>
      <c r="E321" t="n">
        <v>22</v>
      </c>
    </row>
    <row r="322">
      <c r="A322" t="n">
        <v>2026</v>
      </c>
      <c r="B322" t="n">
        <v>4</v>
      </c>
      <c r="C322" t="inlineStr">
        <is>
          <t>P4102657982</t>
        </is>
      </c>
      <c r="D322" t="n">
        <v>0</v>
      </c>
      <c r="E322" t="n">
        <v>8</v>
      </c>
    </row>
    <row r="323">
      <c r="A323" t="n">
        <v>2026</v>
      </c>
      <c r="B323" t="n">
        <v>4</v>
      </c>
      <c r="C323" t="inlineStr">
        <is>
          <t>P4102658229</t>
        </is>
      </c>
      <c r="D323" t="n">
        <v>0</v>
      </c>
      <c r="E323" t="n">
        <v>68</v>
      </c>
    </row>
    <row r="324">
      <c r="A324" t="n">
        <v>2026</v>
      </c>
      <c r="B324" t="n">
        <v>4</v>
      </c>
      <c r="C324" t="inlineStr">
        <is>
          <t>P4102658235</t>
        </is>
      </c>
      <c r="D324" t="n">
        <v>0</v>
      </c>
      <c r="E324" t="n">
        <v>2</v>
      </c>
    </row>
    <row r="325">
      <c r="A325" t="n">
        <v>2026</v>
      </c>
      <c r="B325" t="n">
        <v>4</v>
      </c>
      <c r="C325" t="inlineStr">
        <is>
          <t>P4102658256</t>
        </is>
      </c>
      <c r="D325" t="n">
        <v>0</v>
      </c>
      <c r="E325" t="n">
        <v>35</v>
      </c>
    </row>
    <row r="326">
      <c r="A326" t="n">
        <v>2026</v>
      </c>
      <c r="B326" t="n">
        <v>4</v>
      </c>
      <c r="C326" t="inlineStr">
        <is>
          <t>P4102658259</t>
        </is>
      </c>
      <c r="D326" t="n">
        <v>0</v>
      </c>
      <c r="E326" t="n">
        <v>2</v>
      </c>
    </row>
    <row r="327">
      <c r="A327" t="n">
        <v>2026</v>
      </c>
      <c r="B327" t="n">
        <v>4</v>
      </c>
      <c r="C327" t="inlineStr">
        <is>
          <t>P4102658269</t>
        </is>
      </c>
      <c r="D327" t="n">
        <v>0</v>
      </c>
      <c r="E327" t="n">
        <v>30</v>
      </c>
    </row>
    <row r="328">
      <c r="A328" t="n">
        <v>2026</v>
      </c>
      <c r="B328" t="n">
        <v>4</v>
      </c>
      <c r="C328" t="inlineStr">
        <is>
          <t>P4102658272</t>
        </is>
      </c>
      <c r="D328" t="n">
        <v>0</v>
      </c>
      <c r="E328" t="n">
        <v>4</v>
      </c>
    </row>
    <row r="329">
      <c r="A329" t="n">
        <v>2026</v>
      </c>
      <c r="B329" t="n">
        <v>4</v>
      </c>
      <c r="C329" t="inlineStr">
        <is>
          <t>W4102154411</t>
        </is>
      </c>
      <c r="D329" t="n">
        <v>-112501</v>
      </c>
      <c r="E329" t="n">
        <v>80</v>
      </c>
    </row>
    <row r="330">
      <c r="A330" t="n">
        <v>2026</v>
      </c>
      <c r="B330" t="n">
        <v>4</v>
      </c>
      <c r="C330" t="inlineStr">
        <is>
          <t>W4102154501</t>
        </is>
      </c>
      <c r="D330" t="n">
        <v>0</v>
      </c>
      <c r="E330" t="n">
        <v>2</v>
      </c>
    </row>
    <row r="331">
      <c r="A331" t="n">
        <v>2026</v>
      </c>
      <c r="B331" t="n">
        <v>4</v>
      </c>
      <c r="C331" t="inlineStr">
        <is>
          <t>W4102154611</t>
        </is>
      </c>
      <c r="D331" t="n">
        <v>2518.27</v>
      </c>
      <c r="E331" t="n">
        <v>21</v>
      </c>
    </row>
    <row r="332">
      <c r="A332" t="n">
        <v>2026</v>
      </c>
      <c r="B332" t="n">
        <v>4</v>
      </c>
      <c r="C332" t="inlineStr">
        <is>
          <t>W4102154953</t>
        </is>
      </c>
      <c r="D332" t="n">
        <v>23.26</v>
      </c>
      <c r="E332" t="n">
        <v>1</v>
      </c>
    </row>
    <row r="333">
      <c r="A333" t="n">
        <v>2026</v>
      </c>
      <c r="B333" t="n">
        <v>4</v>
      </c>
      <c r="C333" t="inlineStr">
        <is>
          <t>W4102154961</t>
        </is>
      </c>
      <c r="D333" t="n">
        <v>148.09</v>
      </c>
      <c r="E333" t="n">
        <v>7</v>
      </c>
    </row>
    <row r="334">
      <c r="A334" t="n">
        <v>2026</v>
      </c>
      <c r="B334" t="n">
        <v>4</v>
      </c>
      <c r="C334" t="inlineStr">
        <is>
          <t>W4102154964</t>
        </is>
      </c>
      <c r="D334" t="n">
        <v>1312.13</v>
      </c>
      <c r="E334" t="n">
        <v>5</v>
      </c>
    </row>
    <row r="335">
      <c r="A335" t="n">
        <v>2026</v>
      </c>
      <c r="B335" t="n">
        <v>4</v>
      </c>
      <c r="C335" t="inlineStr">
        <is>
          <t>W4102154966</t>
        </is>
      </c>
      <c r="D335" t="n">
        <v>789.99</v>
      </c>
      <c r="E335" t="n">
        <v>2</v>
      </c>
    </row>
    <row r="336">
      <c r="A336" t="n">
        <v>2026</v>
      </c>
      <c r="B336" t="n">
        <v>4</v>
      </c>
      <c r="C336" t="inlineStr">
        <is>
          <t>W4102154967</t>
        </is>
      </c>
      <c r="D336" t="n">
        <v>1279.25</v>
      </c>
      <c r="E336" t="n">
        <v>8</v>
      </c>
    </row>
    <row r="337">
      <c r="A337" t="n">
        <v>2026</v>
      </c>
      <c r="B337" t="n">
        <v>4</v>
      </c>
      <c r="C337" t="inlineStr">
        <is>
          <t>W4102304411</t>
        </is>
      </c>
      <c r="D337" t="n">
        <v>-36783.14</v>
      </c>
      <c r="E337" t="n">
        <v>66</v>
      </c>
    </row>
    <row r="338">
      <c r="A338" t="n">
        <v>2026</v>
      </c>
      <c r="B338" t="n">
        <v>4</v>
      </c>
      <c r="C338" t="inlineStr">
        <is>
          <t>W4102304412</t>
        </is>
      </c>
      <c r="D338" t="n">
        <v>415</v>
      </c>
      <c r="E338" t="n">
        <v>5</v>
      </c>
    </row>
    <row r="339">
      <c r="A339" t="n">
        <v>2026</v>
      </c>
      <c r="B339" t="n">
        <v>4</v>
      </c>
      <c r="C339" t="inlineStr">
        <is>
          <t>W4102304611</t>
        </is>
      </c>
      <c r="D339" t="n">
        <v>5425.41</v>
      </c>
      <c r="E339" t="n">
        <v>38</v>
      </c>
    </row>
    <row r="340">
      <c r="A340" t="n">
        <v>2026</v>
      </c>
      <c r="B340" t="n">
        <v>4</v>
      </c>
      <c r="C340" t="inlineStr">
        <is>
          <t>W4102304943</t>
        </is>
      </c>
      <c r="D340" t="n">
        <v>1606.84</v>
      </c>
      <c r="E340" t="n">
        <v>6</v>
      </c>
    </row>
    <row r="341">
      <c r="A341" t="n">
        <v>2026</v>
      </c>
      <c r="B341" t="n">
        <v>4</v>
      </c>
      <c r="C341" t="inlineStr">
        <is>
          <t>W4102304946</t>
        </is>
      </c>
      <c r="D341" t="n">
        <v>1299.56</v>
      </c>
      <c r="E341" t="n">
        <v>7</v>
      </c>
    </row>
    <row r="342">
      <c r="A342" t="n">
        <v>2026</v>
      </c>
      <c r="B342" t="n">
        <v>4</v>
      </c>
      <c r="C342" t="inlineStr">
        <is>
          <t>W4102304947</t>
        </is>
      </c>
      <c r="D342" t="n">
        <v>17.83</v>
      </c>
      <c r="E342" t="n">
        <v>1</v>
      </c>
    </row>
    <row r="343">
      <c r="A343" t="n">
        <v>2026</v>
      </c>
      <c r="B343" t="n">
        <v>4</v>
      </c>
      <c r="C343" t="inlineStr">
        <is>
          <t>W4102307366</t>
        </is>
      </c>
      <c r="D343" t="n">
        <v>0</v>
      </c>
      <c r="E343" t="n">
        <v>4</v>
      </c>
    </row>
    <row r="344">
      <c r="A344" t="n">
        <v>2026</v>
      </c>
      <c r="B344" t="n">
        <v>4</v>
      </c>
      <c r="C344" t="inlineStr">
        <is>
          <t>W4102504104</t>
        </is>
      </c>
      <c r="D344" t="n">
        <v>0</v>
      </c>
      <c r="E344" t="n">
        <v>2</v>
      </c>
    </row>
    <row r="345">
      <c r="A345" t="n">
        <v>2026</v>
      </c>
      <c r="B345" t="n">
        <v>4</v>
      </c>
      <c r="C345" t="inlineStr">
        <is>
          <t>W4102504106</t>
        </is>
      </c>
      <c r="D345" t="n">
        <v>635.12</v>
      </c>
      <c r="E345" t="n">
        <v>27</v>
      </c>
    </row>
    <row r="346">
      <c r="A346" t="n">
        <v>2026</v>
      </c>
      <c r="B346" t="n">
        <v>4</v>
      </c>
      <c r="C346" t="inlineStr">
        <is>
          <t>W4102504107</t>
        </is>
      </c>
      <c r="D346" t="n">
        <v>23.65</v>
      </c>
      <c r="E346" t="n">
        <v>1</v>
      </c>
    </row>
    <row r="347">
      <c r="A347" t="n">
        <v>2026</v>
      </c>
      <c r="B347" t="n">
        <v>4</v>
      </c>
      <c r="C347" t="inlineStr">
        <is>
          <t>W4102504108</t>
        </is>
      </c>
      <c r="D347" t="n">
        <v>800.3099999999999</v>
      </c>
      <c r="E347" t="n">
        <v>11</v>
      </c>
    </row>
    <row r="348">
      <c r="A348" t="n">
        <v>2026</v>
      </c>
      <c r="B348" t="n">
        <v>4</v>
      </c>
      <c r="C348" t="inlineStr">
        <is>
          <t>W4102504109</t>
        </is>
      </c>
      <c r="D348" t="n">
        <v>963.67</v>
      </c>
      <c r="E348" t="n">
        <v>13</v>
      </c>
    </row>
    <row r="349">
      <c r="A349" t="n">
        <v>2026</v>
      </c>
      <c r="B349" t="n">
        <v>4</v>
      </c>
      <c r="C349" t="inlineStr">
        <is>
          <t>W4102504211</t>
        </is>
      </c>
      <c r="D349" t="n">
        <v>14.1</v>
      </c>
      <c r="E349" t="n">
        <v>1</v>
      </c>
    </row>
    <row r="350">
      <c r="A350" t="n">
        <v>2026</v>
      </c>
      <c r="B350" t="n">
        <v>4</v>
      </c>
      <c r="C350" t="inlineStr">
        <is>
          <t>W4102504221</t>
        </is>
      </c>
      <c r="D350" t="n">
        <v>79.95</v>
      </c>
      <c r="E350" t="n">
        <v>3</v>
      </c>
    </row>
    <row r="351">
      <c r="A351" t="n">
        <v>2026</v>
      </c>
      <c r="B351" t="n">
        <v>4</v>
      </c>
      <c r="C351" t="inlineStr">
        <is>
          <t>W4102504222</t>
        </is>
      </c>
      <c r="D351" t="n">
        <v>60998.49</v>
      </c>
      <c r="E351" t="n">
        <v>66</v>
      </c>
    </row>
    <row r="352">
      <c r="A352" t="n">
        <v>2026</v>
      </c>
      <c r="B352" t="n">
        <v>4</v>
      </c>
      <c r="C352" t="inlineStr">
        <is>
          <t>W4102504262</t>
        </is>
      </c>
      <c r="D352" t="n">
        <v>15629.66</v>
      </c>
      <c r="E352" t="n">
        <v>16</v>
      </c>
    </row>
    <row r="353">
      <c r="A353" t="n">
        <v>2026</v>
      </c>
      <c r="B353" t="n">
        <v>4</v>
      </c>
      <c r="C353" t="inlineStr">
        <is>
          <t>W4102504941</t>
        </is>
      </c>
      <c r="D353" t="n">
        <v>773.3200000000001</v>
      </c>
      <c r="E353" t="n">
        <v>8</v>
      </c>
    </row>
    <row r="354">
      <c r="A354" t="n">
        <v>2026</v>
      </c>
      <c r="B354" t="n">
        <v>4</v>
      </c>
      <c r="C354" t="inlineStr">
        <is>
          <t>W4102504967</t>
        </is>
      </c>
      <c r="D354" t="n">
        <v>56.15</v>
      </c>
      <c r="E354" t="n">
        <v>1</v>
      </c>
    </row>
    <row r="355">
      <c r="A355" t="n">
        <v>2026</v>
      </c>
      <c r="B355" t="n">
        <v>4</v>
      </c>
      <c r="C355" t="inlineStr">
        <is>
          <t>W4102504971</t>
        </is>
      </c>
      <c r="D355" t="n">
        <v>1258.53</v>
      </c>
      <c r="E355" t="n">
        <v>5</v>
      </c>
    </row>
    <row r="356">
      <c r="A356" t="n">
        <v>2026</v>
      </c>
      <c r="B356" t="n">
        <v>4</v>
      </c>
      <c r="C356" t="inlineStr">
        <is>
          <t>W4102504973</t>
        </is>
      </c>
      <c r="D356" t="n">
        <v>1998.97</v>
      </c>
      <c r="E356" t="n">
        <v>10</v>
      </c>
    </row>
    <row r="357">
      <c r="A357" t="n">
        <v>2026</v>
      </c>
      <c r="B357" t="n">
        <v>4</v>
      </c>
      <c r="C357" t="inlineStr">
        <is>
          <t>W4102504974</t>
        </is>
      </c>
      <c r="D357" t="n">
        <v>1535.3</v>
      </c>
      <c r="E357" t="n">
        <v>7</v>
      </c>
    </row>
    <row r="358">
      <c r="A358" t="n">
        <v>2026</v>
      </c>
      <c r="B358" t="n">
        <v>4</v>
      </c>
      <c r="C358" t="inlineStr">
        <is>
          <t>W4102504975</t>
        </is>
      </c>
      <c r="D358" t="n">
        <v>790.01</v>
      </c>
      <c r="E358" t="n">
        <v>3</v>
      </c>
    </row>
    <row r="359">
      <c r="A359" t="n">
        <v>2026</v>
      </c>
      <c r="B359" t="n">
        <v>4</v>
      </c>
      <c r="C359" t="inlineStr">
        <is>
          <t>W4102504976</t>
        </is>
      </c>
      <c r="D359" t="n">
        <v>138.66</v>
      </c>
      <c r="E359" t="n">
        <v>2</v>
      </c>
    </row>
    <row r="360">
      <c r="A360" t="n">
        <v>2026</v>
      </c>
      <c r="B360" t="n">
        <v>4</v>
      </c>
      <c r="C360" t="inlineStr">
        <is>
          <t>W4102604411</t>
        </is>
      </c>
      <c r="D360" t="n">
        <v>-43963.4</v>
      </c>
      <c r="E360" t="n">
        <v>58</v>
      </c>
    </row>
    <row r="361">
      <c r="A361" t="n">
        <v>2026</v>
      </c>
      <c r="B361" t="n">
        <v>4</v>
      </c>
      <c r="C361" t="inlineStr">
        <is>
          <t>W4102604414</t>
        </is>
      </c>
      <c r="D361" t="n">
        <v>-164.49</v>
      </c>
      <c r="E361" t="n">
        <v>3</v>
      </c>
    </row>
    <row r="362">
      <c r="A362" t="n">
        <v>2026</v>
      </c>
      <c r="B362" t="n">
        <v>4</v>
      </c>
      <c r="C362" t="inlineStr">
        <is>
          <t>W4102604611</t>
        </is>
      </c>
      <c r="D362" t="n">
        <v>1474.71</v>
      </c>
      <c r="E362" t="n">
        <v>20</v>
      </c>
    </row>
    <row r="363">
      <c r="A363" t="n">
        <v>2026</v>
      </c>
      <c r="B363" t="n">
        <v>4</v>
      </c>
      <c r="C363" t="inlineStr">
        <is>
          <t>W4102604612</t>
        </is>
      </c>
      <c r="D363" t="n">
        <v>-2152.94</v>
      </c>
      <c r="E363" t="n">
        <v>6</v>
      </c>
    </row>
    <row r="364">
      <c r="A364" t="n">
        <v>2026</v>
      </c>
      <c r="B364" t="n">
        <v>4</v>
      </c>
      <c r="C364" t="inlineStr">
        <is>
          <t>W4102604938</t>
        </is>
      </c>
      <c r="D364" t="n">
        <v>1645.43</v>
      </c>
      <c r="E364" t="n">
        <v>7</v>
      </c>
    </row>
    <row r="365">
      <c r="A365" t="n">
        <v>2026</v>
      </c>
      <c r="B365" t="n">
        <v>4</v>
      </c>
      <c r="C365" t="inlineStr">
        <is>
          <t>W4102604940</t>
        </is>
      </c>
      <c r="D365" t="n">
        <v>448.84</v>
      </c>
      <c r="E365" t="n">
        <v>5</v>
      </c>
    </row>
    <row r="366">
      <c r="A366" t="n">
        <v>2026</v>
      </c>
      <c r="B366" t="n">
        <v>4</v>
      </c>
      <c r="C366" t="inlineStr">
        <is>
          <t>W4102604941</t>
        </is>
      </c>
      <c r="D366" t="n">
        <v>940.16</v>
      </c>
      <c r="E366" t="n">
        <v>6</v>
      </c>
    </row>
    <row r="367">
      <c r="A367" t="n">
        <v>2026</v>
      </c>
      <c r="B367" t="n">
        <v>4</v>
      </c>
      <c r="C367" t="inlineStr">
        <is>
          <t>W4102604949</t>
        </is>
      </c>
      <c r="D367" t="n">
        <v>2053.08</v>
      </c>
      <c r="E367" t="n">
        <v>7</v>
      </c>
    </row>
    <row r="368">
      <c r="A368" t="n">
        <v>2026</v>
      </c>
      <c r="B368" t="n">
        <v>4</v>
      </c>
      <c r="C368" t="inlineStr">
        <is>
          <t>W4102604950</t>
        </is>
      </c>
      <c r="D368" t="n">
        <v>1259.49</v>
      </c>
      <c r="E368" t="n">
        <v>5</v>
      </c>
    </row>
    <row r="369">
      <c r="A369" t="n">
        <v>2026</v>
      </c>
      <c r="B369" t="n">
        <v>4</v>
      </c>
      <c r="C369" t="inlineStr">
        <is>
          <t>W4102604951</t>
        </is>
      </c>
      <c r="D369" t="n">
        <v>443.26</v>
      </c>
      <c r="E369" t="n">
        <v>1</v>
      </c>
    </row>
    <row r="370">
      <c r="A370" t="n">
        <v>2026</v>
      </c>
      <c r="B370" t="n">
        <v>4</v>
      </c>
      <c r="C370" t="inlineStr">
        <is>
          <t>W4102607081</t>
        </is>
      </c>
      <c r="D370" t="n">
        <v>0</v>
      </c>
      <c r="E370" t="n">
        <v>4</v>
      </c>
    </row>
    <row r="371">
      <c r="A371" t="n">
        <v>2026</v>
      </c>
      <c r="B371" t="n">
        <v>4</v>
      </c>
      <c r="C371" t="inlineStr">
        <is>
          <t>W4102608246</t>
        </is>
      </c>
      <c r="D371" t="n">
        <v>875</v>
      </c>
      <c r="E371" t="n">
        <v>1</v>
      </c>
    </row>
    <row r="372">
      <c r="A372" t="n">
        <v>2026</v>
      </c>
      <c r="B372" t="n">
        <v>4</v>
      </c>
      <c r="C372" t="inlineStr">
        <is>
          <t>W4102651216</t>
        </is>
      </c>
      <c r="D372" t="n">
        <v>286</v>
      </c>
      <c r="E372" t="n">
        <v>5</v>
      </c>
    </row>
    <row r="373">
      <c r="A373" t="n">
        <v>2026</v>
      </c>
      <c r="B373" t="n">
        <v>4</v>
      </c>
      <c r="C373" t="inlineStr">
        <is>
          <t>W4102652709</t>
        </is>
      </c>
      <c r="D373" t="n">
        <v>5.16</v>
      </c>
      <c r="E373" t="n">
        <v>1</v>
      </c>
    </row>
    <row r="374">
      <c r="A374" t="n">
        <v>2026</v>
      </c>
      <c r="B374" t="n">
        <v>4</v>
      </c>
      <c r="C374" t="inlineStr">
        <is>
          <t>W4102654411</t>
        </is>
      </c>
      <c r="D374" t="n">
        <v>-2036.88</v>
      </c>
      <c r="E374" t="n">
        <v>39</v>
      </c>
    </row>
    <row r="375">
      <c r="A375" t="n">
        <v>2026</v>
      </c>
      <c r="B375" t="n">
        <v>4</v>
      </c>
      <c r="C375" t="inlineStr">
        <is>
          <t>W4102654611</t>
        </is>
      </c>
      <c r="D375" t="n">
        <v>-37118.62</v>
      </c>
      <c r="E375" t="n">
        <v>20</v>
      </c>
    </row>
    <row r="376">
      <c r="A376" t="n">
        <v>2026</v>
      </c>
      <c r="B376" t="n">
        <v>4</v>
      </c>
      <c r="C376" t="inlineStr">
        <is>
          <t>W4102654945</t>
        </is>
      </c>
      <c r="D376" t="n">
        <v>1892.43</v>
      </c>
      <c r="E376" t="n">
        <v>8</v>
      </c>
    </row>
    <row r="377">
      <c r="A377" t="n">
        <v>2026</v>
      </c>
      <c r="B377" t="n">
        <v>4</v>
      </c>
      <c r="C377" t="inlineStr">
        <is>
          <t>W4102654946</t>
        </is>
      </c>
      <c r="D377" t="n">
        <v>589.11</v>
      </c>
      <c r="E377" t="n">
        <v>5</v>
      </c>
    </row>
    <row r="378">
      <c r="A378" t="n">
        <v>2026</v>
      </c>
      <c r="B378" t="n">
        <v>4</v>
      </c>
      <c r="C378" t="inlineStr">
        <is>
          <t>W4102654947</t>
        </is>
      </c>
      <c r="D378" t="n">
        <v>602.89</v>
      </c>
      <c r="E378" t="n">
        <v>4</v>
      </c>
    </row>
    <row r="379">
      <c r="A379" t="n">
        <v>2026</v>
      </c>
      <c r="B379" t="n">
        <v>5</v>
      </c>
      <c r="C379" t="inlineStr">
        <is>
          <t>P4102157208</t>
        </is>
      </c>
      <c r="D379" t="n">
        <v>0</v>
      </c>
      <c r="E379" t="n">
        <v>8</v>
      </c>
    </row>
    <row r="380">
      <c r="A380" t="n">
        <v>2026</v>
      </c>
      <c r="B380" t="n">
        <v>5</v>
      </c>
      <c r="C380" t="inlineStr">
        <is>
          <t>P4102157411</t>
        </is>
      </c>
      <c r="D380" t="n">
        <v>0</v>
      </c>
      <c r="E380" t="n">
        <v>2</v>
      </c>
    </row>
    <row r="381">
      <c r="A381" t="n">
        <v>2026</v>
      </c>
      <c r="B381" t="n">
        <v>5</v>
      </c>
      <c r="C381" t="inlineStr">
        <is>
          <t>P4102157414</t>
        </is>
      </c>
      <c r="D381" t="n">
        <v>0</v>
      </c>
      <c r="E381" t="n">
        <v>19</v>
      </c>
    </row>
    <row r="382">
      <c r="A382" t="n">
        <v>2026</v>
      </c>
      <c r="B382" t="n">
        <v>5</v>
      </c>
      <c r="C382" t="inlineStr">
        <is>
          <t>P4102157420</t>
        </is>
      </c>
      <c r="D382" t="n">
        <v>0</v>
      </c>
      <c r="E382" t="n">
        <v>6</v>
      </c>
    </row>
    <row r="383">
      <c r="A383" t="n">
        <v>2026</v>
      </c>
      <c r="B383" t="n">
        <v>5</v>
      </c>
      <c r="C383" t="inlineStr">
        <is>
          <t>P4102157429</t>
        </is>
      </c>
      <c r="D383" t="n">
        <v>0</v>
      </c>
      <c r="E383" t="n">
        <v>8</v>
      </c>
    </row>
    <row r="384">
      <c r="A384" t="n">
        <v>2026</v>
      </c>
      <c r="B384" t="n">
        <v>5</v>
      </c>
      <c r="C384" t="inlineStr">
        <is>
          <t>P4102157431</t>
        </is>
      </c>
      <c r="D384" t="n">
        <v>0</v>
      </c>
      <c r="E384" t="n">
        <v>4</v>
      </c>
    </row>
    <row r="385">
      <c r="A385" t="n">
        <v>2026</v>
      </c>
      <c r="B385" t="n">
        <v>5</v>
      </c>
      <c r="C385" t="inlineStr">
        <is>
          <t>P4102157436</t>
        </is>
      </c>
      <c r="D385" t="n">
        <v>0</v>
      </c>
      <c r="E385" t="n">
        <v>4</v>
      </c>
    </row>
    <row r="386">
      <c r="A386" t="n">
        <v>2026</v>
      </c>
      <c r="B386" t="n">
        <v>5</v>
      </c>
      <c r="C386" t="inlineStr">
        <is>
          <t>P4102157439</t>
        </is>
      </c>
      <c r="D386" t="n">
        <v>0</v>
      </c>
      <c r="E386" t="n">
        <v>2</v>
      </c>
    </row>
    <row r="387">
      <c r="A387" t="n">
        <v>2026</v>
      </c>
      <c r="B387" t="n">
        <v>5</v>
      </c>
      <c r="C387" t="inlineStr">
        <is>
          <t>P4102157442</t>
        </is>
      </c>
      <c r="D387" t="n">
        <v>0</v>
      </c>
      <c r="E387" t="n">
        <v>4</v>
      </c>
    </row>
    <row r="388">
      <c r="A388" t="n">
        <v>2026</v>
      </c>
      <c r="B388" t="n">
        <v>5</v>
      </c>
      <c r="C388" t="inlineStr">
        <is>
          <t>P4102157443</t>
        </is>
      </c>
      <c r="D388" t="n">
        <v>0</v>
      </c>
      <c r="E388" t="n">
        <v>4</v>
      </c>
    </row>
    <row r="389">
      <c r="A389" t="n">
        <v>2026</v>
      </c>
      <c r="B389" t="n">
        <v>5</v>
      </c>
      <c r="C389" t="inlineStr">
        <is>
          <t>P4102157445</t>
        </is>
      </c>
      <c r="D389" t="n">
        <v>0</v>
      </c>
      <c r="E389" t="n">
        <v>2</v>
      </c>
    </row>
    <row r="390">
      <c r="A390" t="n">
        <v>2026</v>
      </c>
      <c r="B390" t="n">
        <v>5</v>
      </c>
      <c r="C390" t="inlineStr">
        <is>
          <t>P4102157449</t>
        </is>
      </c>
      <c r="D390" t="n">
        <v>0</v>
      </c>
      <c r="E390" t="n">
        <v>8</v>
      </c>
    </row>
    <row r="391">
      <c r="A391" t="n">
        <v>2026</v>
      </c>
      <c r="B391" t="n">
        <v>5</v>
      </c>
      <c r="C391" t="inlineStr">
        <is>
          <t>P4102157450</t>
        </is>
      </c>
      <c r="D391" t="n">
        <v>0</v>
      </c>
      <c r="E391" t="n">
        <v>2</v>
      </c>
    </row>
    <row r="392">
      <c r="A392" t="n">
        <v>2026</v>
      </c>
      <c r="B392" t="n">
        <v>5</v>
      </c>
      <c r="C392" t="inlineStr">
        <is>
          <t>P4102157451</t>
        </is>
      </c>
      <c r="D392" t="n">
        <v>0</v>
      </c>
      <c r="E392" t="n">
        <v>60</v>
      </c>
    </row>
    <row r="393">
      <c r="A393" t="n">
        <v>2026</v>
      </c>
      <c r="B393" t="n">
        <v>5</v>
      </c>
      <c r="C393" t="inlineStr">
        <is>
          <t>P4102157452</t>
        </is>
      </c>
      <c r="D393" t="n">
        <v>0</v>
      </c>
      <c r="E393" t="n">
        <v>2</v>
      </c>
    </row>
    <row r="394">
      <c r="A394" t="n">
        <v>2026</v>
      </c>
      <c r="B394" t="n">
        <v>5</v>
      </c>
      <c r="C394" t="inlineStr">
        <is>
          <t>P4102157453</t>
        </is>
      </c>
      <c r="D394" t="n">
        <v>0</v>
      </c>
      <c r="E394" t="n">
        <v>47</v>
      </c>
    </row>
    <row r="395">
      <c r="A395" t="n">
        <v>2026</v>
      </c>
      <c r="B395" t="n">
        <v>5</v>
      </c>
      <c r="C395" t="inlineStr">
        <is>
          <t>P4102157455</t>
        </is>
      </c>
      <c r="D395" t="n">
        <v>0</v>
      </c>
      <c r="E395" t="n">
        <v>87</v>
      </c>
    </row>
    <row r="396">
      <c r="A396" t="n">
        <v>2026</v>
      </c>
      <c r="B396" t="n">
        <v>5</v>
      </c>
      <c r="C396" t="inlineStr">
        <is>
          <t>P4102157456</t>
        </is>
      </c>
      <c r="D396" t="n">
        <v>0</v>
      </c>
      <c r="E396" t="n">
        <v>2</v>
      </c>
    </row>
    <row r="397">
      <c r="A397" t="n">
        <v>2026</v>
      </c>
      <c r="B397" t="n">
        <v>5</v>
      </c>
      <c r="C397" t="inlineStr">
        <is>
          <t>P4102157457</t>
        </is>
      </c>
      <c r="D397" t="n">
        <v>0</v>
      </c>
      <c r="E397" t="n">
        <v>41</v>
      </c>
    </row>
    <row r="398">
      <c r="A398" t="n">
        <v>2026</v>
      </c>
      <c r="B398" t="n">
        <v>5</v>
      </c>
      <c r="C398" t="inlineStr">
        <is>
          <t>P4102157458</t>
        </is>
      </c>
      <c r="D398" t="n">
        <v>0</v>
      </c>
      <c r="E398" t="n">
        <v>19</v>
      </c>
    </row>
    <row r="399">
      <c r="A399" t="n">
        <v>2026</v>
      </c>
      <c r="B399" t="n">
        <v>5</v>
      </c>
      <c r="C399" t="inlineStr">
        <is>
          <t>P4102157462</t>
        </is>
      </c>
      <c r="D399" t="n">
        <v>0</v>
      </c>
      <c r="E399" t="n">
        <v>17</v>
      </c>
    </row>
    <row r="400">
      <c r="A400" t="n">
        <v>2026</v>
      </c>
      <c r="B400" t="n">
        <v>5</v>
      </c>
      <c r="C400" t="inlineStr">
        <is>
          <t>P4102157463</t>
        </is>
      </c>
      <c r="D400" t="n">
        <v>0</v>
      </c>
      <c r="E400" t="n">
        <v>29</v>
      </c>
    </row>
    <row r="401">
      <c r="A401" t="n">
        <v>2026</v>
      </c>
      <c r="B401" t="n">
        <v>5</v>
      </c>
      <c r="C401" t="inlineStr">
        <is>
          <t>P4102157464</t>
        </is>
      </c>
      <c r="D401" t="n">
        <v>0</v>
      </c>
      <c r="E401" t="n">
        <v>8</v>
      </c>
    </row>
    <row r="402">
      <c r="A402" t="n">
        <v>2026</v>
      </c>
      <c r="B402" t="n">
        <v>5</v>
      </c>
      <c r="C402" t="inlineStr">
        <is>
          <t>P4102157465</t>
        </is>
      </c>
      <c r="D402" t="n">
        <v>0</v>
      </c>
      <c r="E402" t="n">
        <v>8</v>
      </c>
    </row>
    <row r="403">
      <c r="A403" t="n">
        <v>2026</v>
      </c>
      <c r="B403" t="n">
        <v>5</v>
      </c>
      <c r="C403" t="inlineStr">
        <is>
          <t>P4102307304</t>
        </is>
      </c>
      <c r="D403" t="n">
        <v>0</v>
      </c>
      <c r="E403" t="n">
        <v>4</v>
      </c>
    </row>
    <row r="404">
      <c r="A404" t="n">
        <v>2026</v>
      </c>
      <c r="B404" t="n">
        <v>5</v>
      </c>
      <c r="C404" t="inlineStr">
        <is>
          <t>P4102307422</t>
        </is>
      </c>
      <c r="D404" t="n">
        <v>0</v>
      </c>
      <c r="E404" t="n">
        <v>6</v>
      </c>
    </row>
    <row r="405">
      <c r="A405" t="n">
        <v>2026</v>
      </c>
      <c r="B405" t="n">
        <v>5</v>
      </c>
      <c r="C405" t="inlineStr">
        <is>
          <t>P4102307427</t>
        </is>
      </c>
      <c r="D405" t="n">
        <v>0</v>
      </c>
      <c r="E405" t="n">
        <v>4</v>
      </c>
    </row>
    <row r="406">
      <c r="A406" t="n">
        <v>2026</v>
      </c>
      <c r="B406" t="n">
        <v>5</v>
      </c>
      <c r="C406" t="inlineStr">
        <is>
          <t>P4102307428</t>
        </is>
      </c>
      <c r="D406" t="n">
        <v>0</v>
      </c>
      <c r="E406" t="n">
        <v>4</v>
      </c>
    </row>
    <row r="407">
      <c r="A407" t="n">
        <v>2026</v>
      </c>
      <c r="B407" t="n">
        <v>5</v>
      </c>
      <c r="C407" t="inlineStr">
        <is>
          <t>P4102307429</t>
        </is>
      </c>
      <c r="D407" t="n">
        <v>0</v>
      </c>
      <c r="E407" t="n">
        <v>6</v>
      </c>
    </row>
    <row r="408">
      <c r="A408" t="n">
        <v>2026</v>
      </c>
      <c r="B408" t="n">
        <v>5</v>
      </c>
      <c r="C408" t="inlineStr">
        <is>
          <t>P4102307433</t>
        </is>
      </c>
      <c r="D408" t="n">
        <v>0</v>
      </c>
      <c r="E408" t="n">
        <v>67</v>
      </c>
    </row>
    <row r="409">
      <c r="A409" t="n">
        <v>2026</v>
      </c>
      <c r="B409" t="n">
        <v>5</v>
      </c>
      <c r="C409" t="inlineStr">
        <is>
          <t>P4102307434</t>
        </is>
      </c>
      <c r="D409" t="n">
        <v>0</v>
      </c>
      <c r="E409" t="n">
        <v>4</v>
      </c>
    </row>
    <row r="410">
      <c r="A410" t="n">
        <v>2026</v>
      </c>
      <c r="B410" t="n">
        <v>5</v>
      </c>
      <c r="C410" t="inlineStr">
        <is>
          <t>P4102307435</t>
        </is>
      </c>
      <c r="D410" t="n">
        <v>0</v>
      </c>
      <c r="E410" t="n">
        <v>20</v>
      </c>
    </row>
    <row r="411">
      <c r="A411" t="n">
        <v>2026</v>
      </c>
      <c r="B411" t="n">
        <v>5</v>
      </c>
      <c r="C411" t="inlineStr">
        <is>
          <t>P4102307436</t>
        </is>
      </c>
      <c r="D411" t="n">
        <v>0</v>
      </c>
      <c r="E411" t="n">
        <v>7</v>
      </c>
    </row>
    <row r="412">
      <c r="A412" t="n">
        <v>2026</v>
      </c>
      <c r="B412" t="n">
        <v>5</v>
      </c>
      <c r="C412" t="inlineStr">
        <is>
          <t>P4102307439</t>
        </is>
      </c>
      <c r="D412" t="n">
        <v>0</v>
      </c>
      <c r="E412" t="n">
        <v>10</v>
      </c>
    </row>
    <row r="413">
      <c r="A413" t="n">
        <v>2026</v>
      </c>
      <c r="B413" t="n">
        <v>5</v>
      </c>
      <c r="C413" t="inlineStr">
        <is>
          <t>P4102307440</t>
        </is>
      </c>
      <c r="D413" t="n">
        <v>0</v>
      </c>
      <c r="E413" t="n">
        <v>27</v>
      </c>
    </row>
    <row r="414">
      <c r="A414" t="n">
        <v>2026</v>
      </c>
      <c r="B414" t="n">
        <v>5</v>
      </c>
      <c r="C414" t="inlineStr">
        <is>
          <t>P4102307441</t>
        </is>
      </c>
      <c r="D414" t="n">
        <v>0</v>
      </c>
      <c r="E414" t="n">
        <v>23</v>
      </c>
    </row>
    <row r="415">
      <c r="A415" t="n">
        <v>2026</v>
      </c>
      <c r="B415" t="n">
        <v>5</v>
      </c>
      <c r="C415" t="inlineStr">
        <is>
          <t>P4102307444</t>
        </is>
      </c>
      <c r="D415" t="n">
        <v>0</v>
      </c>
      <c r="E415" t="n">
        <v>16</v>
      </c>
    </row>
    <row r="416">
      <c r="A416" t="n">
        <v>2026</v>
      </c>
      <c r="B416" t="n">
        <v>5</v>
      </c>
      <c r="C416" t="inlineStr">
        <is>
          <t>P4102309045</t>
        </is>
      </c>
      <c r="D416" t="n">
        <v>0</v>
      </c>
      <c r="E416" t="n">
        <v>19</v>
      </c>
    </row>
    <row r="417">
      <c r="A417" t="n">
        <v>2026</v>
      </c>
      <c r="B417" t="n">
        <v>5</v>
      </c>
      <c r="C417" t="inlineStr">
        <is>
          <t>P4102604612</t>
        </is>
      </c>
      <c r="D417" t="n">
        <v>0</v>
      </c>
      <c r="E417" t="n">
        <v>7</v>
      </c>
    </row>
    <row r="418">
      <c r="A418" t="n">
        <v>2026</v>
      </c>
      <c r="B418" t="n">
        <v>5</v>
      </c>
      <c r="C418" t="inlineStr">
        <is>
          <t>P4102607989</t>
        </is>
      </c>
      <c r="D418" t="n">
        <v>0</v>
      </c>
      <c r="E418" t="n">
        <v>30</v>
      </c>
    </row>
    <row r="419">
      <c r="A419" t="n">
        <v>2026</v>
      </c>
      <c r="B419" t="n">
        <v>5</v>
      </c>
      <c r="C419" t="inlineStr">
        <is>
          <t>P4102608246</t>
        </is>
      </c>
      <c r="D419" t="n">
        <v>0</v>
      </c>
      <c r="E419" t="n">
        <v>74</v>
      </c>
    </row>
    <row r="420">
      <c r="A420" t="n">
        <v>2026</v>
      </c>
      <c r="B420" t="n">
        <v>5</v>
      </c>
      <c r="C420" t="inlineStr">
        <is>
          <t>P4102608260</t>
        </is>
      </c>
      <c r="D420" t="n">
        <v>0</v>
      </c>
      <c r="E420" t="n">
        <v>4</v>
      </c>
    </row>
    <row r="421">
      <c r="A421" t="n">
        <v>2026</v>
      </c>
      <c r="B421" t="n">
        <v>5</v>
      </c>
      <c r="C421" t="inlineStr">
        <is>
          <t>P4102608263</t>
        </is>
      </c>
      <c r="D421" t="n">
        <v>0</v>
      </c>
      <c r="E421" t="n">
        <v>36</v>
      </c>
    </row>
    <row r="422">
      <c r="A422" t="n">
        <v>2026</v>
      </c>
      <c r="B422" t="n">
        <v>5</v>
      </c>
      <c r="C422" t="inlineStr">
        <is>
          <t>P4102608268</t>
        </is>
      </c>
      <c r="D422" t="n">
        <v>0</v>
      </c>
      <c r="E422" t="n">
        <v>14</v>
      </c>
    </row>
    <row r="423">
      <c r="A423" t="n">
        <v>2026</v>
      </c>
      <c r="B423" t="n">
        <v>5</v>
      </c>
      <c r="C423" t="inlineStr">
        <is>
          <t>P4102608270</t>
        </is>
      </c>
      <c r="D423" t="n">
        <v>0</v>
      </c>
      <c r="E423" t="n">
        <v>13</v>
      </c>
    </row>
    <row r="424">
      <c r="A424" t="n">
        <v>2026</v>
      </c>
      <c r="B424" t="n">
        <v>5</v>
      </c>
      <c r="C424" t="inlineStr">
        <is>
          <t>P4102608271</t>
        </is>
      </c>
      <c r="D424" t="n">
        <v>0</v>
      </c>
      <c r="E424" t="n">
        <v>15</v>
      </c>
    </row>
    <row r="425">
      <c r="A425" t="n">
        <v>2026</v>
      </c>
      <c r="B425" t="n">
        <v>5</v>
      </c>
      <c r="C425" t="inlineStr">
        <is>
          <t>P4102608275</t>
        </is>
      </c>
      <c r="D425" t="n">
        <v>0</v>
      </c>
      <c r="E425" t="n">
        <v>4</v>
      </c>
    </row>
    <row r="426">
      <c r="A426" t="n">
        <v>2026</v>
      </c>
      <c r="B426" t="n">
        <v>5</v>
      </c>
      <c r="C426" t="inlineStr">
        <is>
          <t>P4102658225</t>
        </is>
      </c>
      <c r="D426" t="n">
        <v>0</v>
      </c>
      <c r="E426" t="n">
        <v>2</v>
      </c>
    </row>
    <row r="427">
      <c r="A427" t="n">
        <v>2026</v>
      </c>
      <c r="B427" t="n">
        <v>5</v>
      </c>
      <c r="C427" t="inlineStr">
        <is>
          <t>P4102658229</t>
        </is>
      </c>
      <c r="D427" t="n">
        <v>0</v>
      </c>
      <c r="E427" t="n">
        <v>31</v>
      </c>
    </row>
    <row r="428">
      <c r="A428" t="n">
        <v>2026</v>
      </c>
      <c r="B428" t="n">
        <v>5</v>
      </c>
      <c r="C428" t="inlineStr">
        <is>
          <t>P4102658235</t>
        </is>
      </c>
      <c r="D428" t="n">
        <v>0</v>
      </c>
      <c r="E428" t="n">
        <v>2</v>
      </c>
    </row>
    <row r="429">
      <c r="A429" t="n">
        <v>2026</v>
      </c>
      <c r="B429" t="n">
        <v>5</v>
      </c>
      <c r="C429" t="inlineStr">
        <is>
          <t>P4102658250</t>
        </is>
      </c>
      <c r="D429" t="n">
        <v>0</v>
      </c>
      <c r="E429" t="n">
        <v>6</v>
      </c>
    </row>
    <row r="430">
      <c r="A430" t="n">
        <v>2026</v>
      </c>
      <c r="B430" t="n">
        <v>5</v>
      </c>
      <c r="C430" t="inlineStr">
        <is>
          <t>P4102658256</t>
        </is>
      </c>
      <c r="D430" t="n">
        <v>0</v>
      </c>
      <c r="E430" t="n">
        <v>30</v>
      </c>
    </row>
    <row r="431">
      <c r="A431" t="n">
        <v>2026</v>
      </c>
      <c r="B431" t="n">
        <v>5</v>
      </c>
      <c r="C431" t="inlineStr">
        <is>
          <t>P4102658269</t>
        </is>
      </c>
      <c r="D431" t="n">
        <v>0</v>
      </c>
      <c r="E431" t="n">
        <v>13</v>
      </c>
    </row>
    <row r="432">
      <c r="A432" t="n">
        <v>2026</v>
      </c>
      <c r="B432" t="n">
        <v>5</v>
      </c>
      <c r="C432" t="inlineStr">
        <is>
          <t>P4102658272</t>
        </is>
      </c>
      <c r="D432" t="n">
        <v>0</v>
      </c>
      <c r="E432" t="n">
        <v>23</v>
      </c>
    </row>
    <row r="433">
      <c r="A433" t="n">
        <v>2026</v>
      </c>
      <c r="B433" t="n">
        <v>5</v>
      </c>
      <c r="C433" t="inlineStr">
        <is>
          <t>W4102154411</t>
        </is>
      </c>
      <c r="D433" t="n">
        <v>8147.74</v>
      </c>
      <c r="E433" t="n">
        <v>78</v>
      </c>
    </row>
    <row r="434">
      <c r="A434" t="n">
        <v>2026</v>
      </c>
      <c r="B434" t="n">
        <v>5</v>
      </c>
      <c r="C434" t="inlineStr">
        <is>
          <t>W4102154501</t>
        </is>
      </c>
      <c r="D434" t="n">
        <v>1083</v>
      </c>
      <c r="E434" t="n">
        <v>1</v>
      </c>
    </row>
    <row r="435">
      <c r="A435" t="n">
        <v>2026</v>
      </c>
      <c r="B435" t="n">
        <v>5</v>
      </c>
      <c r="C435" t="inlineStr">
        <is>
          <t>W4102154611</t>
        </is>
      </c>
      <c r="D435" t="n">
        <v>2091.58</v>
      </c>
      <c r="E435" t="n">
        <v>15</v>
      </c>
    </row>
    <row r="436">
      <c r="A436" t="n">
        <v>2026</v>
      </c>
      <c r="B436" t="n">
        <v>5</v>
      </c>
      <c r="C436" t="inlineStr">
        <is>
          <t>W4102154953</t>
        </is>
      </c>
      <c r="D436" t="n">
        <v>23.26</v>
      </c>
      <c r="E436" t="n">
        <v>1</v>
      </c>
    </row>
    <row r="437">
      <c r="A437" t="n">
        <v>2026</v>
      </c>
      <c r="B437" t="n">
        <v>5</v>
      </c>
      <c r="C437" t="inlineStr">
        <is>
          <t>W4102154961</t>
        </is>
      </c>
      <c r="D437" t="n">
        <v>232.16</v>
      </c>
      <c r="E437" t="n">
        <v>9</v>
      </c>
    </row>
    <row r="438">
      <c r="A438" t="n">
        <v>2026</v>
      </c>
      <c r="B438" t="n">
        <v>5</v>
      </c>
      <c r="C438" t="inlineStr">
        <is>
          <t>W4102154964</t>
        </is>
      </c>
      <c r="D438" t="n">
        <v>1203.77</v>
      </c>
      <c r="E438" t="n">
        <v>6</v>
      </c>
    </row>
    <row r="439">
      <c r="A439" t="n">
        <v>2026</v>
      </c>
      <c r="B439" t="n">
        <v>5</v>
      </c>
      <c r="C439" t="inlineStr">
        <is>
          <t>W4102154966</t>
        </is>
      </c>
      <c r="D439" t="n">
        <v>1715.63</v>
      </c>
      <c r="E439" t="n">
        <v>3</v>
      </c>
    </row>
    <row r="440">
      <c r="A440" t="n">
        <v>2026</v>
      </c>
      <c r="B440" t="n">
        <v>5</v>
      </c>
      <c r="C440" t="inlineStr">
        <is>
          <t>W4102154967</t>
        </is>
      </c>
      <c r="D440" t="n">
        <v>1717.21</v>
      </c>
      <c r="E440" t="n">
        <v>5</v>
      </c>
    </row>
    <row r="441">
      <c r="A441" t="n">
        <v>2026</v>
      </c>
      <c r="B441" t="n">
        <v>5</v>
      </c>
      <c r="C441" t="inlineStr">
        <is>
          <t>W4102304411</t>
        </is>
      </c>
      <c r="D441" t="n">
        <v>-49576.81</v>
      </c>
      <c r="E441" t="n">
        <v>60</v>
      </c>
    </row>
    <row r="442">
      <c r="A442" t="n">
        <v>2026</v>
      </c>
      <c r="B442" t="n">
        <v>5</v>
      </c>
      <c r="C442" t="inlineStr">
        <is>
          <t>W4102304412</t>
        </is>
      </c>
      <c r="D442" t="n">
        <v>414</v>
      </c>
      <c r="E442" t="n">
        <v>5</v>
      </c>
    </row>
    <row r="443">
      <c r="A443" t="n">
        <v>2026</v>
      </c>
      <c r="B443" t="n">
        <v>5</v>
      </c>
      <c r="C443" t="inlineStr">
        <is>
          <t>W4102304611</t>
        </is>
      </c>
      <c r="D443" t="n">
        <v>10705.28</v>
      </c>
      <c r="E443" t="n">
        <v>29</v>
      </c>
    </row>
    <row r="444">
      <c r="A444" t="n">
        <v>2026</v>
      </c>
      <c r="B444" t="n">
        <v>5</v>
      </c>
      <c r="C444" t="inlineStr">
        <is>
          <t>W4102304943</t>
        </is>
      </c>
      <c r="D444" t="n">
        <v>1666.54</v>
      </c>
      <c r="E444" t="n">
        <v>7</v>
      </c>
    </row>
    <row r="445">
      <c r="A445" t="n">
        <v>2026</v>
      </c>
      <c r="B445" t="n">
        <v>5</v>
      </c>
      <c r="C445" t="inlineStr">
        <is>
          <t>W4102304946</t>
        </is>
      </c>
      <c r="D445" t="n">
        <v>596.67</v>
      </c>
      <c r="E445" t="n">
        <v>3</v>
      </c>
    </row>
    <row r="446">
      <c r="A446" t="n">
        <v>2026</v>
      </c>
      <c r="B446" t="n">
        <v>5</v>
      </c>
      <c r="C446" t="inlineStr">
        <is>
          <t>W4102304947</t>
        </is>
      </c>
      <c r="D446" t="n">
        <v>17.83</v>
      </c>
      <c r="E446" t="n">
        <v>1</v>
      </c>
    </row>
    <row r="447">
      <c r="A447" t="n">
        <v>2026</v>
      </c>
      <c r="B447" t="n">
        <v>5</v>
      </c>
      <c r="C447" t="inlineStr">
        <is>
          <t>W4102307366</t>
        </is>
      </c>
      <c r="D447" t="n">
        <v>0</v>
      </c>
      <c r="E447" t="n">
        <v>4</v>
      </c>
    </row>
    <row r="448">
      <c r="A448" t="n">
        <v>2026</v>
      </c>
      <c r="B448" t="n">
        <v>5</v>
      </c>
      <c r="C448" t="inlineStr">
        <is>
          <t>W4102504104</t>
        </is>
      </c>
      <c r="D448" t="n">
        <v>12884</v>
      </c>
      <c r="E448" t="n">
        <v>2</v>
      </c>
    </row>
    <row r="449">
      <c r="A449" t="n">
        <v>2026</v>
      </c>
      <c r="B449" t="n">
        <v>5</v>
      </c>
      <c r="C449" t="inlineStr">
        <is>
          <t>W4102504106</t>
        </is>
      </c>
      <c r="D449" t="n">
        <v>81.84999999999999</v>
      </c>
      <c r="E449" t="n">
        <v>2</v>
      </c>
    </row>
    <row r="450">
      <c r="A450" t="n">
        <v>2026</v>
      </c>
      <c r="B450" t="n">
        <v>5</v>
      </c>
      <c r="C450" t="inlineStr">
        <is>
          <t>W4102504107</t>
        </is>
      </c>
      <c r="D450" t="n">
        <v>23.5</v>
      </c>
      <c r="E450" t="n">
        <v>1</v>
      </c>
    </row>
    <row r="451">
      <c r="A451" t="n">
        <v>2026</v>
      </c>
      <c r="B451" t="n">
        <v>5</v>
      </c>
      <c r="C451" t="inlineStr">
        <is>
          <t>W4102504108</t>
        </is>
      </c>
      <c r="D451" t="n">
        <v>1371.74</v>
      </c>
      <c r="E451" t="n">
        <v>13</v>
      </c>
    </row>
    <row r="452">
      <c r="A452" t="n">
        <v>2026</v>
      </c>
      <c r="B452" t="n">
        <v>5</v>
      </c>
      <c r="C452" t="inlineStr">
        <is>
          <t>W4102504109</t>
        </is>
      </c>
      <c r="D452" t="n">
        <v>561.01</v>
      </c>
      <c r="E452" t="n">
        <v>7</v>
      </c>
    </row>
    <row r="453">
      <c r="A453" t="n">
        <v>2026</v>
      </c>
      <c r="B453" t="n">
        <v>5</v>
      </c>
      <c r="C453" t="inlineStr">
        <is>
          <t>W4102504211</t>
        </is>
      </c>
      <c r="D453" t="n">
        <v>14.1</v>
      </c>
      <c r="E453" t="n">
        <v>1</v>
      </c>
    </row>
    <row r="454">
      <c r="A454" t="n">
        <v>2026</v>
      </c>
      <c r="B454" t="n">
        <v>5</v>
      </c>
      <c r="C454" t="inlineStr">
        <is>
          <t>W4102504221</t>
        </is>
      </c>
      <c r="D454" t="n">
        <v>7.05</v>
      </c>
      <c r="E454" t="n">
        <v>1</v>
      </c>
    </row>
    <row r="455">
      <c r="A455" t="n">
        <v>2026</v>
      </c>
      <c r="B455" t="n">
        <v>5</v>
      </c>
      <c r="C455" t="inlineStr">
        <is>
          <t>W4102504222</t>
        </is>
      </c>
      <c r="D455" t="n">
        <v>34236.64</v>
      </c>
      <c r="E455" t="n">
        <v>63</v>
      </c>
    </row>
    <row r="456">
      <c r="A456" t="n">
        <v>2026</v>
      </c>
      <c r="B456" t="n">
        <v>5</v>
      </c>
      <c r="C456" t="inlineStr">
        <is>
          <t>W4102504262</t>
        </is>
      </c>
      <c r="D456" t="n">
        <v>10375.5</v>
      </c>
      <c r="E456" t="n">
        <v>18</v>
      </c>
    </row>
    <row r="457">
      <c r="A457" t="n">
        <v>2026</v>
      </c>
      <c r="B457" t="n">
        <v>5</v>
      </c>
      <c r="C457" t="inlineStr">
        <is>
          <t>W4102504941</t>
        </is>
      </c>
      <c r="D457" t="n">
        <v>343</v>
      </c>
      <c r="E457" t="n">
        <v>3</v>
      </c>
    </row>
    <row r="458">
      <c r="A458" t="n">
        <v>2026</v>
      </c>
      <c r="B458" t="n">
        <v>5</v>
      </c>
      <c r="C458" t="inlineStr">
        <is>
          <t>W4102504951</t>
        </is>
      </c>
      <c r="D458" t="n">
        <v>23756.09</v>
      </c>
      <c r="E458" t="n">
        <v>11</v>
      </c>
    </row>
    <row r="459">
      <c r="A459" t="n">
        <v>2026</v>
      </c>
      <c r="B459" t="n">
        <v>5</v>
      </c>
      <c r="C459" t="inlineStr">
        <is>
          <t>W4102504967</t>
        </is>
      </c>
      <c r="D459" t="n">
        <v>-224.6</v>
      </c>
      <c r="E459" t="n">
        <v>2</v>
      </c>
    </row>
    <row r="460">
      <c r="A460" t="n">
        <v>2026</v>
      </c>
      <c r="B460" t="n">
        <v>5</v>
      </c>
      <c r="C460" t="inlineStr">
        <is>
          <t>W4102504971</t>
        </is>
      </c>
      <c r="D460" t="n">
        <v>365.6</v>
      </c>
      <c r="E460" t="n">
        <v>4</v>
      </c>
    </row>
    <row r="461">
      <c r="A461" t="n">
        <v>2026</v>
      </c>
      <c r="B461" t="n">
        <v>5</v>
      </c>
      <c r="C461" t="inlineStr">
        <is>
          <t>W4102504973</t>
        </is>
      </c>
      <c r="D461" t="n">
        <v>1293.65</v>
      </c>
      <c r="E461" t="n">
        <v>9</v>
      </c>
    </row>
    <row r="462">
      <c r="A462" t="n">
        <v>2026</v>
      </c>
      <c r="B462" t="n">
        <v>5</v>
      </c>
      <c r="C462" t="inlineStr">
        <is>
          <t>W4102504974</t>
        </is>
      </c>
      <c r="D462" t="n">
        <v>1528.97</v>
      </c>
      <c r="E462" t="n">
        <v>7</v>
      </c>
    </row>
    <row r="463">
      <c r="A463" t="n">
        <v>2026</v>
      </c>
      <c r="B463" t="n">
        <v>5</v>
      </c>
      <c r="C463" t="inlineStr">
        <is>
          <t>W4102504975</t>
        </is>
      </c>
      <c r="D463" t="n">
        <v>702.25</v>
      </c>
      <c r="E463" t="n">
        <v>2</v>
      </c>
    </row>
    <row r="464">
      <c r="A464" t="n">
        <v>2026</v>
      </c>
      <c r="B464" t="n">
        <v>5</v>
      </c>
      <c r="C464" t="inlineStr">
        <is>
          <t>W4102504976</t>
        </is>
      </c>
      <c r="D464" t="n">
        <v>982.9299999999999</v>
      </c>
      <c r="E464" t="n">
        <v>6</v>
      </c>
    </row>
    <row r="465">
      <c r="A465" t="n">
        <v>2026</v>
      </c>
      <c r="B465" t="n">
        <v>5</v>
      </c>
      <c r="C465" t="inlineStr">
        <is>
          <t>W4102604411</t>
        </is>
      </c>
      <c r="D465" t="n">
        <v>-26283.24</v>
      </c>
      <c r="E465" t="n">
        <v>46</v>
      </c>
    </row>
    <row r="466">
      <c r="A466" t="n">
        <v>2026</v>
      </c>
      <c r="B466" t="n">
        <v>5</v>
      </c>
      <c r="C466" t="inlineStr">
        <is>
          <t>W4102604414</t>
        </is>
      </c>
      <c r="D466" t="n">
        <v>-164.49</v>
      </c>
      <c r="E466" t="n">
        <v>3</v>
      </c>
    </row>
    <row r="467">
      <c r="A467" t="n">
        <v>2026</v>
      </c>
      <c r="B467" t="n">
        <v>5</v>
      </c>
      <c r="C467" t="inlineStr">
        <is>
          <t>W4102604611</t>
        </is>
      </c>
      <c r="D467" t="n">
        <v>4693.41</v>
      </c>
      <c r="E467" t="n">
        <v>20</v>
      </c>
    </row>
    <row r="468">
      <c r="A468" t="n">
        <v>2026</v>
      </c>
      <c r="B468" t="n">
        <v>5</v>
      </c>
      <c r="C468" t="inlineStr">
        <is>
          <t>W4102604612</t>
        </is>
      </c>
      <c r="D468" t="n">
        <v>-897.88</v>
      </c>
      <c r="E468" t="n">
        <v>8</v>
      </c>
    </row>
    <row r="469">
      <c r="A469" t="n">
        <v>2026</v>
      </c>
      <c r="B469" t="n">
        <v>5</v>
      </c>
      <c r="C469" t="inlineStr">
        <is>
          <t>W4102604938</t>
        </is>
      </c>
      <c r="D469" t="n">
        <v>865.9400000000001</v>
      </c>
      <c r="E469" t="n">
        <v>7</v>
      </c>
    </row>
    <row r="470">
      <c r="A470" t="n">
        <v>2026</v>
      </c>
      <c r="B470" t="n">
        <v>5</v>
      </c>
      <c r="C470" t="inlineStr">
        <is>
          <t>W4102604940</t>
        </is>
      </c>
      <c r="D470" t="n">
        <v>612.36</v>
      </c>
      <c r="E470" t="n">
        <v>6</v>
      </c>
    </row>
    <row r="471">
      <c r="A471" t="n">
        <v>2026</v>
      </c>
      <c r="B471" t="n">
        <v>5</v>
      </c>
      <c r="C471" t="inlineStr">
        <is>
          <t>W4102604941</t>
        </is>
      </c>
      <c r="D471" t="n">
        <v>764.8200000000001</v>
      </c>
      <c r="E471" t="n">
        <v>6</v>
      </c>
    </row>
    <row r="472">
      <c r="A472" t="n">
        <v>2026</v>
      </c>
      <c r="B472" t="n">
        <v>5</v>
      </c>
      <c r="C472" t="inlineStr">
        <is>
          <t>W4102604949</t>
        </is>
      </c>
      <c r="D472" t="n">
        <v>754.96</v>
      </c>
      <c r="E472" t="n">
        <v>4</v>
      </c>
    </row>
    <row r="473">
      <c r="A473" t="n">
        <v>2026</v>
      </c>
      <c r="B473" t="n">
        <v>5</v>
      </c>
      <c r="C473" t="inlineStr">
        <is>
          <t>W4102604950</t>
        </is>
      </c>
      <c r="D473" t="n">
        <v>1024.01</v>
      </c>
      <c r="E473" t="n">
        <v>6</v>
      </c>
    </row>
    <row r="474">
      <c r="A474" t="n">
        <v>2026</v>
      </c>
      <c r="B474" t="n">
        <v>5</v>
      </c>
      <c r="C474" t="inlineStr">
        <is>
          <t>W4102604951</t>
        </is>
      </c>
      <c r="D474" t="n">
        <v>309.98</v>
      </c>
      <c r="E474" t="n">
        <v>1</v>
      </c>
    </row>
    <row r="475">
      <c r="A475" t="n">
        <v>2026</v>
      </c>
      <c r="B475" t="n">
        <v>5</v>
      </c>
      <c r="C475" t="inlineStr">
        <is>
          <t>W4102607081</t>
        </is>
      </c>
      <c r="D475" t="n">
        <v>0</v>
      </c>
      <c r="E475" t="n">
        <v>4</v>
      </c>
    </row>
    <row r="476">
      <c r="A476" t="n">
        <v>2026</v>
      </c>
      <c r="B476" t="n">
        <v>5</v>
      </c>
      <c r="C476" t="inlineStr">
        <is>
          <t>W4102608246</t>
        </is>
      </c>
      <c r="D476" t="n">
        <v>875</v>
      </c>
      <c r="E476" t="n">
        <v>1</v>
      </c>
    </row>
    <row r="477">
      <c r="A477" t="n">
        <v>2026</v>
      </c>
      <c r="B477" t="n">
        <v>5</v>
      </c>
      <c r="C477" t="inlineStr">
        <is>
          <t>W4102651216</t>
        </is>
      </c>
      <c r="D477" t="n">
        <v>285</v>
      </c>
      <c r="E477" t="n">
        <v>5</v>
      </c>
    </row>
    <row r="478">
      <c r="A478" t="n">
        <v>2026</v>
      </c>
      <c r="B478" t="n">
        <v>5</v>
      </c>
      <c r="C478" t="inlineStr">
        <is>
          <t>W4102654411</t>
        </is>
      </c>
      <c r="D478" t="n">
        <v>5566.17</v>
      </c>
      <c r="E478" t="n">
        <v>36</v>
      </c>
    </row>
    <row r="479">
      <c r="A479" t="n">
        <v>2026</v>
      </c>
      <c r="B479" t="n">
        <v>5</v>
      </c>
      <c r="C479" t="inlineStr">
        <is>
          <t>W4102654611</t>
        </is>
      </c>
      <c r="D479" t="n">
        <v>587.54</v>
      </c>
      <c r="E479" t="n">
        <v>14</v>
      </c>
    </row>
    <row r="480">
      <c r="A480" t="n">
        <v>2026</v>
      </c>
      <c r="B480" t="n">
        <v>5</v>
      </c>
      <c r="C480" t="inlineStr">
        <is>
          <t>W4102654945</t>
        </is>
      </c>
      <c r="D480" t="n">
        <v>1784.52</v>
      </c>
      <c r="E480" t="n">
        <v>10</v>
      </c>
    </row>
    <row r="481">
      <c r="A481" t="n">
        <v>2026</v>
      </c>
      <c r="B481" t="n">
        <v>5</v>
      </c>
      <c r="C481" t="inlineStr">
        <is>
          <t>W4102654946</t>
        </is>
      </c>
      <c r="D481" t="n">
        <v>615.67</v>
      </c>
      <c r="E481" t="n">
        <v>6</v>
      </c>
    </row>
    <row r="482">
      <c r="A482" t="n">
        <v>2026</v>
      </c>
      <c r="B482" t="n">
        <v>5</v>
      </c>
      <c r="C482" t="inlineStr">
        <is>
          <t>W4102654947</t>
        </is>
      </c>
      <c r="D482" t="n">
        <v>461.73</v>
      </c>
      <c r="E482" t="n">
        <v>5</v>
      </c>
    </row>
    <row r="483">
      <c r="A483" t="n">
        <v>2026</v>
      </c>
      <c r="B483" t="n">
        <v>6</v>
      </c>
      <c r="C483" t="inlineStr">
        <is>
          <t>P4102157208</t>
        </is>
      </c>
      <c r="D483" t="n">
        <v>0</v>
      </c>
      <c r="E483" t="n">
        <v>6</v>
      </c>
    </row>
    <row r="484">
      <c r="A484" t="n">
        <v>2026</v>
      </c>
      <c r="B484" t="n">
        <v>6</v>
      </c>
      <c r="C484" t="inlineStr">
        <is>
          <t>P4102157414</t>
        </is>
      </c>
      <c r="D484" t="n">
        <v>0</v>
      </c>
      <c r="E484" t="n">
        <v>4</v>
      </c>
    </row>
    <row r="485">
      <c r="A485" t="n">
        <v>2026</v>
      </c>
      <c r="B485" t="n">
        <v>6</v>
      </c>
      <c r="C485" t="inlineStr">
        <is>
          <t>P4102157420</t>
        </is>
      </c>
      <c r="D485" t="n">
        <v>0</v>
      </c>
      <c r="E485" t="n">
        <v>6</v>
      </c>
    </row>
    <row r="486">
      <c r="A486" t="n">
        <v>2026</v>
      </c>
      <c r="B486" t="n">
        <v>6</v>
      </c>
      <c r="C486" t="inlineStr">
        <is>
          <t>P4102157429</t>
        </is>
      </c>
      <c r="D486" t="n">
        <v>0</v>
      </c>
      <c r="E486" t="n">
        <v>8</v>
      </c>
    </row>
    <row r="487">
      <c r="A487" t="n">
        <v>2026</v>
      </c>
      <c r="B487" t="n">
        <v>6</v>
      </c>
      <c r="C487" t="inlineStr">
        <is>
          <t>P4102157449</t>
        </is>
      </c>
      <c r="D487" t="n">
        <v>0</v>
      </c>
      <c r="E487" t="n">
        <v>10</v>
      </c>
    </row>
    <row r="488">
      <c r="A488" t="n">
        <v>2026</v>
      </c>
      <c r="B488" t="n">
        <v>6</v>
      </c>
      <c r="C488" t="inlineStr">
        <is>
          <t>P4102157451</t>
        </is>
      </c>
      <c r="D488" t="n">
        <v>0</v>
      </c>
      <c r="E488" t="n">
        <v>51</v>
      </c>
    </row>
    <row r="489">
      <c r="A489" t="n">
        <v>2026</v>
      </c>
      <c r="B489" t="n">
        <v>6</v>
      </c>
      <c r="C489" t="inlineStr">
        <is>
          <t>P4102157453</t>
        </is>
      </c>
      <c r="D489" t="n">
        <v>0</v>
      </c>
      <c r="E489" t="n">
        <v>49</v>
      </c>
    </row>
    <row r="490">
      <c r="A490" t="n">
        <v>2026</v>
      </c>
      <c r="B490" t="n">
        <v>6</v>
      </c>
      <c r="C490" t="inlineStr">
        <is>
          <t>P4102157455</t>
        </is>
      </c>
      <c r="D490" t="n">
        <v>0</v>
      </c>
      <c r="E490" t="n">
        <v>89</v>
      </c>
    </row>
    <row r="491">
      <c r="A491" t="n">
        <v>2026</v>
      </c>
      <c r="B491" t="n">
        <v>6</v>
      </c>
      <c r="C491" t="inlineStr">
        <is>
          <t>P4102157456</t>
        </is>
      </c>
      <c r="D491" t="n">
        <v>0</v>
      </c>
      <c r="E491" t="n">
        <v>2</v>
      </c>
    </row>
    <row r="492">
      <c r="A492" t="n">
        <v>2026</v>
      </c>
      <c r="B492" t="n">
        <v>6</v>
      </c>
      <c r="C492" t="inlineStr">
        <is>
          <t>P4102157457</t>
        </is>
      </c>
      <c r="D492" t="n">
        <v>0</v>
      </c>
      <c r="E492" t="n">
        <v>34</v>
      </c>
    </row>
    <row r="493">
      <c r="A493" t="n">
        <v>2026</v>
      </c>
      <c r="B493" t="n">
        <v>6</v>
      </c>
      <c r="C493" t="inlineStr">
        <is>
          <t>P4102157458</t>
        </is>
      </c>
      <c r="D493" t="n">
        <v>0</v>
      </c>
      <c r="E493" t="n">
        <v>14</v>
      </c>
    </row>
    <row r="494">
      <c r="A494" t="n">
        <v>2026</v>
      </c>
      <c r="B494" t="n">
        <v>6</v>
      </c>
      <c r="C494" t="inlineStr">
        <is>
          <t>P4102157461</t>
        </is>
      </c>
      <c r="D494" t="n">
        <v>0</v>
      </c>
      <c r="E494" t="n">
        <v>25</v>
      </c>
    </row>
    <row r="495">
      <c r="A495" t="n">
        <v>2026</v>
      </c>
      <c r="B495" t="n">
        <v>6</v>
      </c>
      <c r="C495" t="inlineStr">
        <is>
          <t>P4102157462</t>
        </is>
      </c>
      <c r="D495" t="n">
        <v>0</v>
      </c>
      <c r="E495" t="n">
        <v>11</v>
      </c>
    </row>
    <row r="496">
      <c r="A496" t="n">
        <v>2026</v>
      </c>
      <c r="B496" t="n">
        <v>6</v>
      </c>
      <c r="C496" t="inlineStr">
        <is>
          <t>P4102157463</t>
        </is>
      </c>
      <c r="D496" t="n">
        <v>0</v>
      </c>
      <c r="E496" t="n">
        <v>51</v>
      </c>
    </row>
    <row r="497">
      <c r="A497" t="n">
        <v>2026</v>
      </c>
      <c r="B497" t="n">
        <v>6</v>
      </c>
      <c r="C497" t="inlineStr">
        <is>
          <t>P4102157464</t>
        </is>
      </c>
      <c r="D497" t="n">
        <v>0</v>
      </c>
      <c r="E497" t="n">
        <v>8</v>
      </c>
    </row>
    <row r="498">
      <c r="A498" t="n">
        <v>2026</v>
      </c>
      <c r="B498" t="n">
        <v>6</v>
      </c>
      <c r="C498" t="inlineStr">
        <is>
          <t>P4102157465</t>
        </is>
      </c>
      <c r="D498" t="n">
        <v>0</v>
      </c>
      <c r="E498" t="n">
        <v>5</v>
      </c>
    </row>
    <row r="499">
      <c r="A499" t="n">
        <v>2026</v>
      </c>
      <c r="B499" t="n">
        <v>6</v>
      </c>
      <c r="C499" t="inlineStr">
        <is>
          <t>P4102157466</t>
        </is>
      </c>
      <c r="D499" t="n">
        <v>0</v>
      </c>
      <c r="E499" t="n">
        <v>11</v>
      </c>
    </row>
    <row r="500">
      <c r="A500" t="n">
        <v>2026</v>
      </c>
      <c r="B500" t="n">
        <v>6</v>
      </c>
      <c r="C500" t="inlineStr">
        <is>
          <t>P4102157467</t>
        </is>
      </c>
      <c r="D500" t="n">
        <v>0</v>
      </c>
      <c r="E500" t="n">
        <v>4</v>
      </c>
    </row>
    <row r="501">
      <c r="A501" t="n">
        <v>2026</v>
      </c>
      <c r="B501" t="n">
        <v>6</v>
      </c>
      <c r="C501" t="inlineStr">
        <is>
          <t>P4102307304</t>
        </is>
      </c>
      <c r="D501" t="n">
        <v>0</v>
      </c>
      <c r="E501" t="n">
        <v>18</v>
      </c>
    </row>
    <row r="502">
      <c r="A502" t="n">
        <v>2026</v>
      </c>
      <c r="B502" t="n">
        <v>6</v>
      </c>
      <c r="C502" t="inlineStr">
        <is>
          <t>P4102307306</t>
        </is>
      </c>
      <c r="D502" t="n">
        <v>0</v>
      </c>
      <c r="E502" t="n">
        <v>2</v>
      </c>
    </row>
    <row r="503">
      <c r="A503" t="n">
        <v>2026</v>
      </c>
      <c r="B503" t="n">
        <v>6</v>
      </c>
      <c r="C503" t="inlineStr">
        <is>
          <t>P4102307411</t>
        </is>
      </c>
      <c r="D503" t="n">
        <v>0</v>
      </c>
      <c r="E503" t="n">
        <v>2</v>
      </c>
    </row>
    <row r="504">
      <c r="A504" t="n">
        <v>2026</v>
      </c>
      <c r="B504" t="n">
        <v>6</v>
      </c>
      <c r="C504" t="inlineStr">
        <is>
          <t>P4102307427</t>
        </is>
      </c>
      <c r="D504" t="n">
        <v>0</v>
      </c>
      <c r="E504" t="n">
        <v>4</v>
      </c>
    </row>
    <row r="505">
      <c r="A505" t="n">
        <v>2026</v>
      </c>
      <c r="B505" t="n">
        <v>6</v>
      </c>
      <c r="C505" t="inlineStr">
        <is>
          <t>P4102307428</t>
        </is>
      </c>
      <c r="D505" t="n">
        <v>0</v>
      </c>
      <c r="E505" t="n">
        <v>9</v>
      </c>
    </row>
    <row r="506">
      <c r="A506" t="n">
        <v>2026</v>
      </c>
      <c r="B506" t="n">
        <v>6</v>
      </c>
      <c r="C506" t="inlineStr">
        <is>
          <t>P4102307429</t>
        </is>
      </c>
      <c r="D506" t="n">
        <v>0</v>
      </c>
      <c r="E506" t="n">
        <v>6</v>
      </c>
    </row>
    <row r="507">
      <c r="A507" t="n">
        <v>2026</v>
      </c>
      <c r="B507" t="n">
        <v>6</v>
      </c>
      <c r="C507" t="inlineStr">
        <is>
          <t>P4102307430</t>
        </is>
      </c>
      <c r="D507" t="n">
        <v>0</v>
      </c>
      <c r="E507" t="n">
        <v>2</v>
      </c>
    </row>
    <row r="508">
      <c r="A508" t="n">
        <v>2026</v>
      </c>
      <c r="B508" t="n">
        <v>6</v>
      </c>
      <c r="C508" t="inlineStr">
        <is>
          <t>P4102307432</t>
        </is>
      </c>
      <c r="D508" t="n">
        <v>0</v>
      </c>
      <c r="E508" t="n">
        <v>8</v>
      </c>
    </row>
    <row r="509">
      <c r="A509" t="n">
        <v>2026</v>
      </c>
      <c r="B509" t="n">
        <v>6</v>
      </c>
      <c r="C509" t="inlineStr">
        <is>
          <t>P4102307433</t>
        </is>
      </c>
      <c r="D509" t="n">
        <v>0</v>
      </c>
      <c r="E509" t="n">
        <v>44</v>
      </c>
    </row>
    <row r="510">
      <c r="A510" t="n">
        <v>2026</v>
      </c>
      <c r="B510" t="n">
        <v>6</v>
      </c>
      <c r="C510" t="inlineStr">
        <is>
          <t>P4102307434</t>
        </is>
      </c>
      <c r="D510" t="n">
        <v>0</v>
      </c>
      <c r="E510" t="n">
        <v>4</v>
      </c>
    </row>
    <row r="511">
      <c r="A511" t="n">
        <v>2026</v>
      </c>
      <c r="B511" t="n">
        <v>6</v>
      </c>
      <c r="C511" t="inlineStr">
        <is>
          <t>P4102307435</t>
        </is>
      </c>
      <c r="D511" t="n">
        <v>0</v>
      </c>
      <c r="E511" t="n">
        <v>12</v>
      </c>
    </row>
    <row r="512">
      <c r="A512" t="n">
        <v>2026</v>
      </c>
      <c r="B512" t="n">
        <v>6</v>
      </c>
      <c r="C512" t="inlineStr">
        <is>
          <t>P4102307438</t>
        </is>
      </c>
      <c r="D512" t="n">
        <v>0</v>
      </c>
      <c r="E512" t="n">
        <v>22</v>
      </c>
    </row>
    <row r="513">
      <c r="A513" t="n">
        <v>2026</v>
      </c>
      <c r="B513" t="n">
        <v>6</v>
      </c>
      <c r="C513" t="inlineStr">
        <is>
          <t>P4102307439</t>
        </is>
      </c>
      <c r="D513" t="n">
        <v>0</v>
      </c>
      <c r="E513" t="n">
        <v>26</v>
      </c>
    </row>
    <row r="514">
      <c r="A514" t="n">
        <v>2026</v>
      </c>
      <c r="B514" t="n">
        <v>6</v>
      </c>
      <c r="C514" t="inlineStr">
        <is>
          <t>P4102307440</t>
        </is>
      </c>
      <c r="D514" t="n">
        <v>0</v>
      </c>
      <c r="E514" t="n">
        <v>21</v>
      </c>
    </row>
    <row r="515">
      <c r="A515" t="n">
        <v>2026</v>
      </c>
      <c r="B515" t="n">
        <v>6</v>
      </c>
      <c r="C515" t="inlineStr">
        <is>
          <t>P4102307441</t>
        </is>
      </c>
      <c r="D515" t="n">
        <v>0</v>
      </c>
      <c r="E515" t="n">
        <v>21</v>
      </c>
    </row>
    <row r="516">
      <c r="A516" t="n">
        <v>2026</v>
      </c>
      <c r="B516" t="n">
        <v>6</v>
      </c>
      <c r="C516" t="inlineStr">
        <is>
          <t>P4102307442</t>
        </is>
      </c>
      <c r="D516" t="n">
        <v>0</v>
      </c>
      <c r="E516" t="n">
        <v>15</v>
      </c>
    </row>
    <row r="517">
      <c r="A517" t="n">
        <v>2026</v>
      </c>
      <c r="B517" t="n">
        <v>6</v>
      </c>
      <c r="C517" t="inlineStr">
        <is>
          <t>P4102307444</t>
        </is>
      </c>
      <c r="D517" t="n">
        <v>0</v>
      </c>
      <c r="E517" t="n">
        <v>43</v>
      </c>
    </row>
    <row r="518">
      <c r="A518" t="n">
        <v>2026</v>
      </c>
      <c r="B518" t="n">
        <v>6</v>
      </c>
      <c r="C518" t="inlineStr">
        <is>
          <t>P4102307447</t>
        </is>
      </c>
      <c r="D518" t="n">
        <v>0</v>
      </c>
      <c r="E518" t="n">
        <v>4</v>
      </c>
    </row>
    <row r="519">
      <c r="A519" t="n">
        <v>2026</v>
      </c>
      <c r="B519" t="n">
        <v>6</v>
      </c>
      <c r="C519" t="inlineStr">
        <is>
          <t>P4102309044</t>
        </is>
      </c>
      <c r="D519" t="n">
        <v>0</v>
      </c>
      <c r="E519" t="n">
        <v>2</v>
      </c>
    </row>
    <row r="520">
      <c r="A520" t="n">
        <v>2026</v>
      </c>
      <c r="B520" t="n">
        <v>6</v>
      </c>
      <c r="C520" t="inlineStr">
        <is>
          <t>P4102309045</t>
        </is>
      </c>
      <c r="D520" t="n">
        <v>0</v>
      </c>
      <c r="E520" t="n">
        <v>33</v>
      </c>
    </row>
    <row r="521">
      <c r="A521" t="n">
        <v>2026</v>
      </c>
      <c r="B521" t="n">
        <v>6</v>
      </c>
      <c r="C521" t="inlineStr">
        <is>
          <t>P4102309046</t>
        </is>
      </c>
      <c r="D521" t="n">
        <v>0</v>
      </c>
      <c r="E521" t="n">
        <v>6</v>
      </c>
    </row>
    <row r="522">
      <c r="A522" t="n">
        <v>2026</v>
      </c>
      <c r="B522" t="n">
        <v>6</v>
      </c>
      <c r="C522" t="inlineStr">
        <is>
          <t>P4102604612</t>
        </is>
      </c>
      <c r="D522" t="n">
        <v>0</v>
      </c>
      <c r="E522" t="n">
        <v>2</v>
      </c>
    </row>
    <row r="523">
      <c r="A523" t="n">
        <v>2026</v>
      </c>
      <c r="B523" t="n">
        <v>6</v>
      </c>
      <c r="C523" t="inlineStr">
        <is>
          <t>P4102607989</t>
        </is>
      </c>
      <c r="D523" t="n">
        <v>0</v>
      </c>
      <c r="E523" t="n">
        <v>31</v>
      </c>
    </row>
    <row r="524">
      <c r="A524" t="n">
        <v>2026</v>
      </c>
      <c r="B524" t="n">
        <v>6</v>
      </c>
      <c r="C524" t="inlineStr">
        <is>
          <t>P4102608226</t>
        </is>
      </c>
      <c r="D524" t="n">
        <v>0</v>
      </c>
      <c r="E524" t="n">
        <v>2</v>
      </c>
    </row>
    <row r="525">
      <c r="A525" t="n">
        <v>2026</v>
      </c>
      <c r="B525" t="n">
        <v>6</v>
      </c>
      <c r="C525" t="inlineStr">
        <is>
          <t>P4102608246</t>
        </is>
      </c>
      <c r="D525" t="n">
        <v>0</v>
      </c>
      <c r="E525" t="n">
        <v>77</v>
      </c>
    </row>
    <row r="526">
      <c r="A526" t="n">
        <v>2026</v>
      </c>
      <c r="B526" t="n">
        <v>6</v>
      </c>
      <c r="C526" t="inlineStr">
        <is>
          <t>P4102608260</t>
        </is>
      </c>
      <c r="D526" t="n">
        <v>0</v>
      </c>
      <c r="E526" t="n">
        <v>6</v>
      </c>
    </row>
    <row r="527">
      <c r="A527" t="n">
        <v>2026</v>
      </c>
      <c r="B527" t="n">
        <v>6</v>
      </c>
      <c r="C527" t="inlineStr">
        <is>
          <t>P4102608263</t>
        </is>
      </c>
      <c r="D527" t="n">
        <v>0</v>
      </c>
      <c r="E527" t="n">
        <v>39</v>
      </c>
    </row>
    <row r="528">
      <c r="A528" t="n">
        <v>2026</v>
      </c>
      <c r="B528" t="n">
        <v>6</v>
      </c>
      <c r="C528" t="inlineStr">
        <is>
          <t>P4102608268</t>
        </is>
      </c>
      <c r="D528" t="n">
        <v>0</v>
      </c>
      <c r="E528" t="n">
        <v>9</v>
      </c>
    </row>
    <row r="529">
      <c r="A529" t="n">
        <v>2026</v>
      </c>
      <c r="B529" t="n">
        <v>6</v>
      </c>
      <c r="C529" t="inlineStr">
        <is>
          <t>P4102608270</t>
        </is>
      </c>
      <c r="D529" t="n">
        <v>0</v>
      </c>
      <c r="E529" t="n">
        <v>13</v>
      </c>
    </row>
    <row r="530">
      <c r="A530" t="n">
        <v>2026</v>
      </c>
      <c r="B530" t="n">
        <v>6</v>
      </c>
      <c r="C530" t="inlineStr">
        <is>
          <t>P4102608271</t>
        </is>
      </c>
      <c r="D530" t="n">
        <v>0</v>
      </c>
      <c r="E530" t="n">
        <v>13</v>
      </c>
    </row>
    <row r="531">
      <c r="A531" t="n">
        <v>2026</v>
      </c>
      <c r="B531" t="n">
        <v>6</v>
      </c>
      <c r="C531" t="inlineStr">
        <is>
          <t>P4102658229</t>
        </is>
      </c>
      <c r="D531" t="n">
        <v>0</v>
      </c>
      <c r="E531" t="n">
        <v>11</v>
      </c>
    </row>
    <row r="532">
      <c r="A532" t="n">
        <v>2026</v>
      </c>
      <c r="B532" t="n">
        <v>6</v>
      </c>
      <c r="C532" t="inlineStr">
        <is>
          <t>P4102658250</t>
        </is>
      </c>
      <c r="D532" t="n">
        <v>0</v>
      </c>
      <c r="E532" t="n">
        <v>4</v>
      </c>
    </row>
    <row r="533">
      <c r="A533" t="n">
        <v>2026</v>
      </c>
      <c r="B533" t="n">
        <v>6</v>
      </c>
      <c r="C533" t="inlineStr">
        <is>
          <t>P4102658256</t>
        </is>
      </c>
      <c r="D533" t="n">
        <v>0</v>
      </c>
      <c r="E533" t="n">
        <v>5</v>
      </c>
    </row>
    <row r="534">
      <c r="A534" t="n">
        <v>2026</v>
      </c>
      <c r="B534" t="n">
        <v>6</v>
      </c>
      <c r="C534" t="inlineStr">
        <is>
          <t>P4102658269</t>
        </is>
      </c>
      <c r="D534" t="n">
        <v>0</v>
      </c>
      <c r="E534" t="n">
        <v>14</v>
      </c>
    </row>
    <row r="535">
      <c r="A535" t="n">
        <v>2026</v>
      </c>
      <c r="B535" t="n">
        <v>6</v>
      </c>
      <c r="C535" t="inlineStr">
        <is>
          <t>P4102658272</t>
        </is>
      </c>
      <c r="D535" t="n">
        <v>0</v>
      </c>
      <c r="E535" t="n">
        <v>34</v>
      </c>
    </row>
    <row r="536">
      <c r="A536" t="n">
        <v>2026</v>
      </c>
      <c r="B536" t="n">
        <v>6</v>
      </c>
      <c r="C536" t="inlineStr">
        <is>
          <t>P4102658276</t>
        </is>
      </c>
      <c r="D536" t="n">
        <v>0</v>
      </c>
      <c r="E536" t="n">
        <v>44</v>
      </c>
    </row>
    <row r="537">
      <c r="A537" t="n">
        <v>2026</v>
      </c>
      <c r="B537" t="n">
        <v>6</v>
      </c>
      <c r="C537" t="inlineStr">
        <is>
          <t>W4102154411</t>
        </is>
      </c>
      <c r="D537" t="n">
        <v>-63620</v>
      </c>
      <c r="E537" t="n">
        <v>88</v>
      </c>
    </row>
    <row r="538">
      <c r="A538" t="n">
        <v>2026</v>
      </c>
      <c r="B538" t="n">
        <v>6</v>
      </c>
      <c r="C538" t="inlineStr">
        <is>
          <t>W4102154501</t>
        </is>
      </c>
      <c r="D538" t="n">
        <v>1083</v>
      </c>
      <c r="E538" t="n">
        <v>1</v>
      </c>
    </row>
    <row r="539">
      <c r="A539" t="n">
        <v>2026</v>
      </c>
      <c r="B539" t="n">
        <v>6</v>
      </c>
      <c r="C539" t="inlineStr">
        <is>
          <t>W4102154611</t>
        </is>
      </c>
      <c r="D539" t="n">
        <v>702.9</v>
      </c>
      <c r="E539" t="n">
        <v>24</v>
      </c>
    </row>
    <row r="540">
      <c r="A540" t="n">
        <v>2026</v>
      </c>
      <c r="B540" t="n">
        <v>6</v>
      </c>
      <c r="C540" t="inlineStr">
        <is>
          <t>W4102154953</t>
        </is>
      </c>
      <c r="D540" t="n">
        <v>23.28</v>
      </c>
      <c r="E540" t="n">
        <v>1</v>
      </c>
    </row>
    <row r="541">
      <c r="A541" t="n">
        <v>2026</v>
      </c>
      <c r="B541" t="n">
        <v>6</v>
      </c>
      <c r="C541" t="inlineStr">
        <is>
          <t>W4102154961</t>
        </is>
      </c>
      <c r="D541" t="n">
        <v>1050.98</v>
      </c>
      <c r="E541" t="n">
        <v>8</v>
      </c>
    </row>
    <row r="542">
      <c r="A542" t="n">
        <v>2026</v>
      </c>
      <c r="B542" t="n">
        <v>6</v>
      </c>
      <c r="C542" t="inlineStr">
        <is>
          <t>W4102154964</t>
        </is>
      </c>
      <c r="D542" t="n">
        <v>1096.24</v>
      </c>
      <c r="E542" t="n">
        <v>5</v>
      </c>
    </row>
    <row r="543">
      <c r="A543" t="n">
        <v>2026</v>
      </c>
      <c r="B543" t="n">
        <v>6</v>
      </c>
      <c r="C543" t="inlineStr">
        <is>
          <t>W4102154966</t>
        </is>
      </c>
      <c r="D543" t="n">
        <v>169.84</v>
      </c>
      <c r="E543" t="n">
        <v>1</v>
      </c>
    </row>
    <row r="544">
      <c r="A544" t="n">
        <v>2026</v>
      </c>
      <c r="B544" t="n">
        <v>6</v>
      </c>
      <c r="C544" t="inlineStr">
        <is>
          <t>W4102154967</t>
        </is>
      </c>
      <c r="D544" t="n">
        <v>1882.03</v>
      </c>
      <c r="E544" t="n">
        <v>6</v>
      </c>
    </row>
    <row r="545">
      <c r="A545" t="n">
        <v>2026</v>
      </c>
      <c r="B545" t="n">
        <v>6</v>
      </c>
      <c r="C545" t="inlineStr">
        <is>
          <t>W4102304411</t>
        </is>
      </c>
      <c r="D545" t="n">
        <v>-63670.83</v>
      </c>
      <c r="E545" t="n">
        <v>76</v>
      </c>
    </row>
    <row r="546">
      <c r="A546" t="n">
        <v>2026</v>
      </c>
      <c r="B546" t="n">
        <v>6</v>
      </c>
      <c r="C546" t="inlineStr">
        <is>
          <t>W4102304412</t>
        </is>
      </c>
      <c r="D546" t="n">
        <v>415</v>
      </c>
      <c r="E546" t="n">
        <v>5</v>
      </c>
    </row>
    <row r="547">
      <c r="A547" t="n">
        <v>2026</v>
      </c>
      <c r="B547" t="n">
        <v>6</v>
      </c>
      <c r="C547" t="inlineStr">
        <is>
          <t>W4102304611</t>
        </is>
      </c>
      <c r="D547" t="n">
        <v>5766.79</v>
      </c>
      <c r="E547" t="n">
        <v>44</v>
      </c>
    </row>
    <row r="548">
      <c r="A548" t="n">
        <v>2026</v>
      </c>
      <c r="B548" t="n">
        <v>6</v>
      </c>
      <c r="C548" t="inlineStr">
        <is>
          <t>W4102304943</t>
        </is>
      </c>
      <c r="D548" t="n">
        <v>1248.35</v>
      </c>
      <c r="E548" t="n">
        <v>5</v>
      </c>
    </row>
    <row r="549">
      <c r="A549" t="n">
        <v>2026</v>
      </c>
      <c r="B549" t="n">
        <v>6</v>
      </c>
      <c r="C549" t="inlineStr">
        <is>
          <t>W4102304946</t>
        </is>
      </c>
      <c r="D549" t="n">
        <v>56.15</v>
      </c>
      <c r="E549" t="n">
        <v>1</v>
      </c>
    </row>
    <row r="550">
      <c r="A550" t="n">
        <v>2026</v>
      </c>
      <c r="B550" t="n">
        <v>6</v>
      </c>
      <c r="C550" t="inlineStr">
        <is>
          <t>W4102304947</t>
        </is>
      </c>
      <c r="D550" t="n">
        <v>17.83</v>
      </c>
      <c r="E550" t="n">
        <v>1</v>
      </c>
    </row>
    <row r="551">
      <c r="A551" t="n">
        <v>2026</v>
      </c>
      <c r="B551" t="n">
        <v>6</v>
      </c>
      <c r="C551" t="inlineStr">
        <is>
          <t>W4102307366</t>
        </is>
      </c>
      <c r="D551" t="n">
        <v>0</v>
      </c>
      <c r="E551" t="n">
        <v>2</v>
      </c>
    </row>
    <row r="552">
      <c r="A552" t="n">
        <v>2026</v>
      </c>
      <c r="B552" t="n">
        <v>6</v>
      </c>
      <c r="C552" t="inlineStr">
        <is>
          <t>W4102307411</t>
        </is>
      </c>
      <c r="D552" t="n">
        <v>580</v>
      </c>
      <c r="E552" t="n">
        <v>1</v>
      </c>
    </row>
    <row r="553">
      <c r="A553" t="n">
        <v>2026</v>
      </c>
      <c r="B553" t="n">
        <v>6</v>
      </c>
      <c r="C553" t="inlineStr">
        <is>
          <t>W4102504104</t>
        </is>
      </c>
      <c r="D553" t="n">
        <v>8817</v>
      </c>
      <c r="E553" t="n">
        <v>1</v>
      </c>
    </row>
    <row r="554">
      <c r="A554" t="n">
        <v>2026</v>
      </c>
      <c r="B554" t="n">
        <v>6</v>
      </c>
      <c r="C554" t="inlineStr">
        <is>
          <t>W4102504106</t>
        </is>
      </c>
      <c r="D554" t="n">
        <v>365.75</v>
      </c>
      <c r="E554" t="n">
        <v>11</v>
      </c>
    </row>
    <row r="555">
      <c r="A555" t="n">
        <v>2026</v>
      </c>
      <c r="B555" t="n">
        <v>6</v>
      </c>
      <c r="C555" t="inlineStr">
        <is>
          <t>W4102504107</t>
        </is>
      </c>
      <c r="D555" t="n">
        <v>23.5</v>
      </c>
      <c r="E555" t="n">
        <v>1</v>
      </c>
    </row>
    <row r="556">
      <c r="A556" t="n">
        <v>2026</v>
      </c>
      <c r="B556" t="n">
        <v>6</v>
      </c>
      <c r="C556" t="inlineStr">
        <is>
          <t>W4102504108</t>
        </is>
      </c>
      <c r="D556" t="n">
        <v>926.85</v>
      </c>
      <c r="E556" t="n">
        <v>7</v>
      </c>
    </row>
    <row r="557">
      <c r="A557" t="n">
        <v>2026</v>
      </c>
      <c r="B557" t="n">
        <v>6</v>
      </c>
      <c r="C557" t="inlineStr">
        <is>
          <t>W4102504109</t>
        </is>
      </c>
      <c r="D557" t="n">
        <v>501.88</v>
      </c>
      <c r="E557" t="n">
        <v>4</v>
      </c>
    </row>
    <row r="558">
      <c r="A558" t="n">
        <v>2026</v>
      </c>
      <c r="B558" t="n">
        <v>6</v>
      </c>
      <c r="C558" t="inlineStr">
        <is>
          <t>W4102504211</t>
        </is>
      </c>
      <c r="D558" t="n">
        <v>125.97</v>
      </c>
      <c r="E558" t="n">
        <v>4</v>
      </c>
    </row>
    <row r="559">
      <c r="A559" t="n">
        <v>2026</v>
      </c>
      <c r="B559" t="n">
        <v>6</v>
      </c>
      <c r="C559" t="inlineStr">
        <is>
          <t>W4102504221</t>
        </is>
      </c>
      <c r="D559" t="n">
        <v>181.1</v>
      </c>
      <c r="E559" t="n">
        <v>6</v>
      </c>
    </row>
    <row r="560">
      <c r="A560" t="n">
        <v>2026</v>
      </c>
      <c r="B560" t="n">
        <v>6</v>
      </c>
      <c r="C560" t="inlineStr">
        <is>
          <t>W4102504222</t>
        </is>
      </c>
      <c r="D560" t="n">
        <v>45320.78</v>
      </c>
      <c r="E560" t="n">
        <v>60</v>
      </c>
    </row>
    <row r="561">
      <c r="A561" t="n">
        <v>2026</v>
      </c>
      <c r="B561" t="n">
        <v>6</v>
      </c>
      <c r="C561" t="inlineStr">
        <is>
          <t>W4102504262</t>
        </is>
      </c>
      <c r="D561" t="n">
        <v>8289.76</v>
      </c>
      <c r="E561" t="n">
        <v>15</v>
      </c>
    </row>
    <row r="562">
      <c r="A562" t="n">
        <v>2026</v>
      </c>
      <c r="B562" t="n">
        <v>6</v>
      </c>
      <c r="C562" t="inlineStr">
        <is>
          <t>W4102504941</t>
        </is>
      </c>
      <c r="D562" t="n">
        <v>494</v>
      </c>
      <c r="E562" t="n">
        <v>1</v>
      </c>
    </row>
    <row r="563">
      <c r="A563" t="n">
        <v>2026</v>
      </c>
      <c r="B563" t="n">
        <v>6</v>
      </c>
      <c r="C563" t="inlineStr">
        <is>
          <t>W4102504951</t>
        </is>
      </c>
      <c r="D563" t="n">
        <v>27214.78</v>
      </c>
      <c r="E563" t="n">
        <v>2</v>
      </c>
    </row>
    <row r="564">
      <c r="A564" t="n">
        <v>2026</v>
      </c>
      <c r="B564" t="n">
        <v>6</v>
      </c>
      <c r="C564" t="inlineStr">
        <is>
          <t>W4102504971</t>
        </is>
      </c>
      <c r="D564" t="n">
        <v>331.86</v>
      </c>
      <c r="E564" t="n">
        <v>3</v>
      </c>
    </row>
    <row r="565">
      <c r="A565" t="n">
        <v>2026</v>
      </c>
      <c r="B565" t="n">
        <v>6</v>
      </c>
      <c r="C565" t="inlineStr">
        <is>
          <t>W4102504973</t>
        </is>
      </c>
      <c r="D565" t="n">
        <v>1333.4</v>
      </c>
      <c r="E565" t="n">
        <v>7</v>
      </c>
    </row>
    <row r="566">
      <c r="A566" t="n">
        <v>2026</v>
      </c>
      <c r="B566" t="n">
        <v>6</v>
      </c>
      <c r="C566" t="inlineStr">
        <is>
          <t>W4102504974</t>
        </is>
      </c>
      <c r="D566" t="n">
        <v>1411.83</v>
      </c>
      <c r="E566" t="n">
        <v>6</v>
      </c>
    </row>
    <row r="567">
      <c r="A567" t="n">
        <v>2026</v>
      </c>
      <c r="B567" t="n">
        <v>6</v>
      </c>
      <c r="C567" t="inlineStr">
        <is>
          <t>W4102504975</t>
        </is>
      </c>
      <c r="D567" t="n">
        <v>155.78</v>
      </c>
      <c r="E567" t="n">
        <v>1</v>
      </c>
    </row>
    <row r="568">
      <c r="A568" t="n">
        <v>2026</v>
      </c>
      <c r="B568" t="n">
        <v>6</v>
      </c>
      <c r="C568" t="inlineStr">
        <is>
          <t>W4102504976</t>
        </is>
      </c>
      <c r="D568" t="n">
        <v>1447.8</v>
      </c>
      <c r="E568" t="n">
        <v>5</v>
      </c>
    </row>
    <row r="569">
      <c r="A569" t="n">
        <v>2026</v>
      </c>
      <c r="B569" t="n">
        <v>6</v>
      </c>
      <c r="C569" t="inlineStr">
        <is>
          <t>W4102604411</t>
        </is>
      </c>
      <c r="D569" t="n">
        <v>-41200.41</v>
      </c>
      <c r="E569" t="n">
        <v>60</v>
      </c>
    </row>
    <row r="570">
      <c r="A570" t="n">
        <v>2026</v>
      </c>
      <c r="B570" t="n">
        <v>6</v>
      </c>
      <c r="C570" t="inlineStr">
        <is>
          <t>W4102604414</t>
        </is>
      </c>
      <c r="D570" t="n">
        <v>-164.49</v>
      </c>
      <c r="E570" t="n">
        <v>3</v>
      </c>
    </row>
    <row r="571">
      <c r="A571" t="n">
        <v>2026</v>
      </c>
      <c r="B571" t="n">
        <v>6</v>
      </c>
      <c r="C571" t="inlineStr">
        <is>
          <t>W4102604611</t>
        </is>
      </c>
      <c r="D571" t="n">
        <v>1679.24</v>
      </c>
      <c r="E571" t="n">
        <v>18</v>
      </c>
    </row>
    <row r="572">
      <c r="A572" t="n">
        <v>2026</v>
      </c>
      <c r="B572" t="n">
        <v>6</v>
      </c>
      <c r="C572" t="inlineStr">
        <is>
          <t>W4102604612</t>
        </is>
      </c>
      <c r="D572" t="n">
        <v>-406.52</v>
      </c>
      <c r="E572" t="n">
        <v>6</v>
      </c>
    </row>
    <row r="573">
      <c r="A573" t="n">
        <v>2026</v>
      </c>
      <c r="B573" t="n">
        <v>6</v>
      </c>
      <c r="C573" t="inlineStr">
        <is>
          <t>W4102604938</t>
        </is>
      </c>
      <c r="D573" t="n">
        <v>976.89</v>
      </c>
      <c r="E573" t="n">
        <v>4</v>
      </c>
    </row>
    <row r="574">
      <c r="A574" t="n">
        <v>2026</v>
      </c>
      <c r="B574" t="n">
        <v>6</v>
      </c>
      <c r="C574" t="inlineStr">
        <is>
          <t>W4102604940</t>
        </is>
      </c>
      <c r="D574" t="n">
        <v>976.72</v>
      </c>
      <c r="E574" t="n">
        <v>6</v>
      </c>
    </row>
    <row r="575">
      <c r="A575" t="n">
        <v>2026</v>
      </c>
      <c r="B575" t="n">
        <v>6</v>
      </c>
      <c r="C575" t="inlineStr">
        <is>
          <t>W4102604941</t>
        </is>
      </c>
      <c r="D575" t="n">
        <v>7351.56</v>
      </c>
      <c r="E575" t="n">
        <v>13</v>
      </c>
    </row>
    <row r="576">
      <c r="A576" t="n">
        <v>2026</v>
      </c>
      <c r="B576" t="n">
        <v>6</v>
      </c>
      <c r="C576" t="inlineStr">
        <is>
          <t>W4102604949</t>
        </is>
      </c>
      <c r="D576" t="n">
        <v>635.37</v>
      </c>
      <c r="E576" t="n">
        <v>4</v>
      </c>
    </row>
    <row r="577">
      <c r="A577" t="n">
        <v>2026</v>
      </c>
      <c r="B577" t="n">
        <v>6</v>
      </c>
      <c r="C577" t="inlineStr">
        <is>
          <t>W4102604950</t>
        </is>
      </c>
      <c r="D577" t="n">
        <v>716.11</v>
      </c>
      <c r="E577" t="n">
        <v>5</v>
      </c>
    </row>
    <row r="578">
      <c r="A578" t="n">
        <v>2026</v>
      </c>
      <c r="B578" t="n">
        <v>6</v>
      </c>
      <c r="C578" t="inlineStr">
        <is>
          <t>W4102604951</t>
        </is>
      </c>
      <c r="D578" t="n">
        <v>224.94</v>
      </c>
      <c r="E578" t="n">
        <v>1</v>
      </c>
    </row>
    <row r="579">
      <c r="A579" t="n">
        <v>2026</v>
      </c>
      <c r="B579" t="n">
        <v>6</v>
      </c>
      <c r="C579" t="inlineStr">
        <is>
          <t>W4102607081</t>
        </is>
      </c>
      <c r="D579" t="n">
        <v>0</v>
      </c>
      <c r="E579" t="n">
        <v>4</v>
      </c>
    </row>
    <row r="580">
      <c r="A580" t="n">
        <v>2026</v>
      </c>
      <c r="B580" t="n">
        <v>6</v>
      </c>
      <c r="C580" t="inlineStr">
        <is>
          <t>W4102608246</t>
        </is>
      </c>
      <c r="D580" t="n">
        <v>875</v>
      </c>
      <c r="E580" t="n">
        <v>1</v>
      </c>
    </row>
    <row r="581">
      <c r="A581" t="n">
        <v>2026</v>
      </c>
      <c r="B581" t="n">
        <v>6</v>
      </c>
      <c r="C581" t="inlineStr">
        <is>
          <t>W4102651216</t>
        </is>
      </c>
      <c r="D581" t="n">
        <v>286</v>
      </c>
      <c r="E581" t="n">
        <v>5</v>
      </c>
    </row>
    <row r="582">
      <c r="A582" t="n">
        <v>2026</v>
      </c>
      <c r="B582" t="n">
        <v>6</v>
      </c>
      <c r="C582" t="inlineStr">
        <is>
          <t>W4102654411</t>
        </is>
      </c>
      <c r="D582" t="n">
        <v>-1316.1</v>
      </c>
      <c r="E582" t="n">
        <v>35</v>
      </c>
    </row>
    <row r="583">
      <c r="A583" t="n">
        <v>2026</v>
      </c>
      <c r="B583" t="n">
        <v>6</v>
      </c>
      <c r="C583" t="inlineStr">
        <is>
          <t>W4102654611</t>
        </is>
      </c>
      <c r="D583" t="n">
        <v>823.66</v>
      </c>
      <c r="E583" t="n">
        <v>20</v>
      </c>
    </row>
    <row r="584">
      <c r="A584" t="n">
        <v>2026</v>
      </c>
      <c r="B584" t="n">
        <v>6</v>
      </c>
      <c r="C584" t="inlineStr">
        <is>
          <t>W4102654945</t>
        </is>
      </c>
      <c r="D584" t="n">
        <v>2282.74</v>
      </c>
      <c r="E584" t="n">
        <v>10</v>
      </c>
    </row>
    <row r="585">
      <c r="A585" t="n">
        <v>2026</v>
      </c>
      <c r="B585" t="n">
        <v>6</v>
      </c>
      <c r="C585" t="inlineStr">
        <is>
          <t>W4102654946</t>
        </is>
      </c>
      <c r="D585" t="n">
        <v>1739.33</v>
      </c>
      <c r="E585" t="n">
        <v>8</v>
      </c>
    </row>
    <row r="586">
      <c r="A586" t="n">
        <v>2026</v>
      </c>
      <c r="B586" t="n">
        <v>6</v>
      </c>
      <c r="C586" t="inlineStr">
        <is>
          <t>W4102654947</t>
        </is>
      </c>
      <c r="D586" t="n">
        <v>639.0700000000001</v>
      </c>
      <c r="E586" t="n">
        <v>5</v>
      </c>
    </row>
    <row r="587">
      <c r="A587" t="n">
        <v>2026</v>
      </c>
      <c r="B587" t="n">
        <v>7</v>
      </c>
      <c r="C587" t="inlineStr">
        <is>
          <t>P4102157208</t>
        </is>
      </c>
      <c r="D587" t="n">
        <v>0</v>
      </c>
      <c r="E587" t="n">
        <v>2</v>
      </c>
    </row>
    <row r="588">
      <c r="A588" t="n">
        <v>2026</v>
      </c>
      <c r="B588" t="n">
        <v>7</v>
      </c>
      <c r="C588" t="inlineStr">
        <is>
          <t>P4102157414</t>
        </is>
      </c>
      <c r="D588" t="n">
        <v>0</v>
      </c>
      <c r="E588" t="n">
        <v>2</v>
      </c>
    </row>
    <row r="589">
      <c r="A589" t="n">
        <v>2026</v>
      </c>
      <c r="B589" t="n">
        <v>7</v>
      </c>
      <c r="C589" t="inlineStr">
        <is>
          <t>P4102157420</t>
        </is>
      </c>
      <c r="D589" t="n">
        <v>0</v>
      </c>
      <c r="E589" t="n">
        <v>8</v>
      </c>
    </row>
    <row r="590">
      <c r="A590" t="n">
        <v>2026</v>
      </c>
      <c r="B590" t="n">
        <v>7</v>
      </c>
      <c r="C590" t="inlineStr">
        <is>
          <t>P4102157429</t>
        </is>
      </c>
      <c r="D590" t="n">
        <v>0</v>
      </c>
      <c r="E590" t="n">
        <v>2</v>
      </c>
    </row>
    <row r="591">
      <c r="A591" t="n">
        <v>2026</v>
      </c>
      <c r="B591" t="n">
        <v>7</v>
      </c>
      <c r="C591" t="inlineStr">
        <is>
          <t>P4102157442</t>
        </is>
      </c>
      <c r="D591" t="n">
        <v>0</v>
      </c>
      <c r="E591" t="n">
        <v>4</v>
      </c>
    </row>
    <row r="592">
      <c r="A592" t="n">
        <v>2026</v>
      </c>
      <c r="B592" t="n">
        <v>7</v>
      </c>
      <c r="C592" t="inlineStr">
        <is>
          <t>P4102157449</t>
        </is>
      </c>
      <c r="D592" t="n">
        <v>0</v>
      </c>
      <c r="E592" t="n">
        <v>2</v>
      </c>
    </row>
    <row r="593">
      <c r="A593" t="n">
        <v>2026</v>
      </c>
      <c r="B593" t="n">
        <v>7</v>
      </c>
      <c r="C593" t="inlineStr">
        <is>
          <t>P4102157451</t>
        </is>
      </c>
      <c r="D593" t="n">
        <v>0</v>
      </c>
      <c r="E593" t="n">
        <v>96</v>
      </c>
    </row>
    <row r="594">
      <c r="A594" t="n">
        <v>2026</v>
      </c>
      <c r="B594" t="n">
        <v>7</v>
      </c>
      <c r="C594" t="inlineStr">
        <is>
          <t>P4102157453</t>
        </is>
      </c>
      <c r="D594" t="n">
        <v>310103.49</v>
      </c>
      <c r="E594" t="n">
        <v>41</v>
      </c>
    </row>
    <row r="595">
      <c r="A595" t="n">
        <v>2026</v>
      </c>
      <c r="B595" t="n">
        <v>7</v>
      </c>
      <c r="C595" t="inlineStr">
        <is>
          <t>P4102157455</t>
        </is>
      </c>
      <c r="D595" t="n">
        <v>0</v>
      </c>
      <c r="E595" t="n">
        <v>109</v>
      </c>
    </row>
    <row r="596">
      <c r="A596" t="n">
        <v>2026</v>
      </c>
      <c r="B596" t="n">
        <v>7</v>
      </c>
      <c r="C596" t="inlineStr">
        <is>
          <t>P4102157456</t>
        </is>
      </c>
      <c r="D596" t="n">
        <v>0</v>
      </c>
      <c r="E596" t="n">
        <v>4</v>
      </c>
    </row>
    <row r="597">
      <c r="A597" t="n">
        <v>2026</v>
      </c>
      <c r="B597" t="n">
        <v>7</v>
      </c>
      <c r="C597" t="inlineStr">
        <is>
          <t>P4102157457</t>
        </is>
      </c>
      <c r="D597" t="n">
        <v>0</v>
      </c>
      <c r="E597" t="n">
        <v>37</v>
      </c>
    </row>
    <row r="598">
      <c r="A598" t="n">
        <v>2026</v>
      </c>
      <c r="B598" t="n">
        <v>7</v>
      </c>
      <c r="C598" t="inlineStr">
        <is>
          <t>P4102157458</t>
        </is>
      </c>
      <c r="D598" t="n">
        <v>0</v>
      </c>
      <c r="E598" t="n">
        <v>4</v>
      </c>
    </row>
    <row r="599">
      <c r="A599" t="n">
        <v>2026</v>
      </c>
      <c r="B599" t="n">
        <v>7</v>
      </c>
      <c r="C599" t="inlineStr">
        <is>
          <t>P4102157461</t>
        </is>
      </c>
      <c r="D599" t="n">
        <v>0</v>
      </c>
      <c r="E599" t="n">
        <v>23</v>
      </c>
    </row>
    <row r="600">
      <c r="A600" t="n">
        <v>2026</v>
      </c>
      <c r="B600" t="n">
        <v>7</v>
      </c>
      <c r="C600" t="inlineStr">
        <is>
          <t>P4102157462</t>
        </is>
      </c>
      <c r="D600" t="n">
        <v>0</v>
      </c>
      <c r="E600" t="n">
        <v>14</v>
      </c>
    </row>
    <row r="601">
      <c r="A601" t="n">
        <v>2026</v>
      </c>
      <c r="B601" t="n">
        <v>7</v>
      </c>
      <c r="C601" t="inlineStr">
        <is>
          <t>P4102157463</t>
        </is>
      </c>
      <c r="D601" t="n">
        <v>0</v>
      </c>
      <c r="E601" t="n">
        <v>69</v>
      </c>
    </row>
    <row r="602">
      <c r="A602" t="n">
        <v>2026</v>
      </c>
      <c r="B602" t="n">
        <v>7</v>
      </c>
      <c r="C602" t="inlineStr">
        <is>
          <t>P4102157464</t>
        </is>
      </c>
      <c r="D602" t="n">
        <v>0</v>
      </c>
      <c r="E602" t="n">
        <v>6</v>
      </c>
    </row>
    <row r="603">
      <c r="A603" t="n">
        <v>2026</v>
      </c>
      <c r="B603" t="n">
        <v>7</v>
      </c>
      <c r="C603" t="inlineStr">
        <is>
          <t>P4102157465</t>
        </is>
      </c>
      <c r="D603" t="n">
        <v>0</v>
      </c>
      <c r="E603" t="n">
        <v>2</v>
      </c>
    </row>
    <row r="604">
      <c r="A604" t="n">
        <v>2026</v>
      </c>
      <c r="B604" t="n">
        <v>7</v>
      </c>
      <c r="C604" t="inlineStr">
        <is>
          <t>P4102157466</t>
        </is>
      </c>
      <c r="D604" t="n">
        <v>0</v>
      </c>
      <c r="E604" t="n">
        <v>16</v>
      </c>
    </row>
    <row r="605">
      <c r="A605" t="n">
        <v>2026</v>
      </c>
      <c r="B605" t="n">
        <v>7</v>
      </c>
      <c r="C605" t="inlineStr">
        <is>
          <t>P4102157467</t>
        </is>
      </c>
      <c r="D605" t="n">
        <v>0</v>
      </c>
      <c r="E605" t="n">
        <v>6</v>
      </c>
    </row>
    <row r="606">
      <c r="A606" t="n">
        <v>2026</v>
      </c>
      <c r="B606" t="n">
        <v>7</v>
      </c>
      <c r="C606" t="inlineStr">
        <is>
          <t>P4102157468</t>
        </is>
      </c>
      <c r="D606" t="n">
        <v>0</v>
      </c>
      <c r="E606" t="n">
        <v>4</v>
      </c>
    </row>
    <row r="607">
      <c r="A607" t="n">
        <v>2026</v>
      </c>
      <c r="B607" t="n">
        <v>7</v>
      </c>
      <c r="C607" t="inlineStr">
        <is>
          <t>P4102157469</t>
        </is>
      </c>
      <c r="D607" t="n">
        <v>0</v>
      </c>
      <c r="E607" t="n">
        <v>5</v>
      </c>
    </row>
    <row r="608">
      <c r="A608" t="n">
        <v>2026</v>
      </c>
      <c r="B608" t="n">
        <v>7</v>
      </c>
      <c r="C608" t="inlineStr">
        <is>
          <t>P4102307304</t>
        </is>
      </c>
      <c r="D608" t="n">
        <v>0</v>
      </c>
      <c r="E608" t="n">
        <v>6</v>
      </c>
    </row>
    <row r="609">
      <c r="A609" t="n">
        <v>2026</v>
      </c>
      <c r="B609" t="n">
        <v>7</v>
      </c>
      <c r="C609" t="inlineStr">
        <is>
          <t>P4102307427</t>
        </is>
      </c>
      <c r="D609" t="n">
        <v>0</v>
      </c>
      <c r="E609" t="n">
        <v>2</v>
      </c>
    </row>
    <row r="610">
      <c r="A610" t="n">
        <v>2026</v>
      </c>
      <c r="B610" t="n">
        <v>7</v>
      </c>
      <c r="C610" t="inlineStr">
        <is>
          <t>P4102307429</t>
        </is>
      </c>
      <c r="D610" t="n">
        <v>0</v>
      </c>
      <c r="E610" t="n">
        <v>4</v>
      </c>
    </row>
    <row r="611">
      <c r="A611" t="n">
        <v>2026</v>
      </c>
      <c r="B611" t="n">
        <v>7</v>
      </c>
      <c r="C611" t="inlineStr">
        <is>
          <t>P4102307430</t>
        </is>
      </c>
      <c r="D611" t="n">
        <v>0</v>
      </c>
      <c r="E611" t="n">
        <v>2</v>
      </c>
    </row>
    <row r="612">
      <c r="A612" t="n">
        <v>2026</v>
      </c>
      <c r="B612" t="n">
        <v>7</v>
      </c>
      <c r="C612" t="inlineStr">
        <is>
          <t>P4102307433</t>
        </is>
      </c>
      <c r="D612" t="n">
        <v>-340000</v>
      </c>
      <c r="E612" t="n">
        <v>19</v>
      </c>
    </row>
    <row r="613">
      <c r="A613" t="n">
        <v>2026</v>
      </c>
      <c r="B613" t="n">
        <v>7</v>
      </c>
      <c r="C613" t="inlineStr">
        <is>
          <t>P4102307435</t>
        </is>
      </c>
      <c r="D613" t="n">
        <v>18000</v>
      </c>
      <c r="E613" t="n">
        <v>5</v>
      </c>
    </row>
    <row r="614">
      <c r="A614" t="n">
        <v>2026</v>
      </c>
      <c r="B614" t="n">
        <v>7</v>
      </c>
      <c r="C614" t="inlineStr">
        <is>
          <t>P4102307438</t>
        </is>
      </c>
      <c r="D614" t="n">
        <v>0</v>
      </c>
      <c r="E614" t="n">
        <v>27</v>
      </c>
    </row>
    <row r="615">
      <c r="A615" t="n">
        <v>2026</v>
      </c>
      <c r="B615" t="n">
        <v>7</v>
      </c>
      <c r="C615" t="inlineStr">
        <is>
          <t>P4102307439</t>
        </is>
      </c>
      <c r="D615" t="n">
        <v>0</v>
      </c>
      <c r="E615" t="n">
        <v>8</v>
      </c>
    </row>
    <row r="616">
      <c r="A616" t="n">
        <v>2026</v>
      </c>
      <c r="B616" t="n">
        <v>7</v>
      </c>
      <c r="C616" t="inlineStr">
        <is>
          <t>P4102307440</t>
        </is>
      </c>
      <c r="D616" t="n">
        <v>0</v>
      </c>
      <c r="E616" t="n">
        <v>8</v>
      </c>
    </row>
    <row r="617">
      <c r="A617" t="n">
        <v>2026</v>
      </c>
      <c r="B617" t="n">
        <v>7</v>
      </c>
      <c r="C617" t="inlineStr">
        <is>
          <t>P4102307441</t>
        </is>
      </c>
      <c r="D617" t="n">
        <v>0</v>
      </c>
      <c r="E617" t="n">
        <v>6</v>
      </c>
    </row>
    <row r="618">
      <c r="A618" t="n">
        <v>2026</v>
      </c>
      <c r="B618" t="n">
        <v>7</v>
      </c>
      <c r="C618" t="inlineStr">
        <is>
          <t>P4102307442</t>
        </is>
      </c>
      <c r="D618" t="n">
        <v>0</v>
      </c>
      <c r="E618" t="n">
        <v>26</v>
      </c>
    </row>
    <row r="619">
      <c r="A619" t="n">
        <v>2026</v>
      </c>
      <c r="B619" t="n">
        <v>7</v>
      </c>
      <c r="C619" t="inlineStr">
        <is>
          <t>P4102307443</t>
        </is>
      </c>
      <c r="D619" t="n">
        <v>0</v>
      </c>
      <c r="E619" t="n">
        <v>7</v>
      </c>
    </row>
    <row r="620">
      <c r="A620" t="n">
        <v>2026</v>
      </c>
      <c r="B620" t="n">
        <v>7</v>
      </c>
      <c r="C620" t="inlineStr">
        <is>
          <t>P4102307444</t>
        </is>
      </c>
      <c r="D620" t="n">
        <v>-66000</v>
      </c>
      <c r="E620" t="n">
        <v>44</v>
      </c>
    </row>
    <row r="621">
      <c r="A621" t="n">
        <v>2026</v>
      </c>
      <c r="B621" t="n">
        <v>7</v>
      </c>
      <c r="C621" t="inlineStr">
        <is>
          <t>P4102307447</t>
        </is>
      </c>
      <c r="D621" t="n">
        <v>0</v>
      </c>
      <c r="E621" t="n">
        <v>12</v>
      </c>
    </row>
    <row r="622">
      <c r="A622" t="n">
        <v>2026</v>
      </c>
      <c r="B622" t="n">
        <v>7</v>
      </c>
      <c r="C622" t="inlineStr">
        <is>
          <t>P4102307448</t>
        </is>
      </c>
      <c r="D622" t="n">
        <v>0</v>
      </c>
      <c r="E622" t="n">
        <v>11</v>
      </c>
    </row>
    <row r="623">
      <c r="A623" t="n">
        <v>2026</v>
      </c>
      <c r="B623" t="n">
        <v>7</v>
      </c>
      <c r="C623" t="inlineStr">
        <is>
          <t>P4102307449</t>
        </is>
      </c>
      <c r="D623" t="n">
        <v>-20000</v>
      </c>
      <c r="E623" t="n">
        <v>13</v>
      </c>
    </row>
    <row r="624">
      <c r="A624" t="n">
        <v>2026</v>
      </c>
      <c r="B624" t="n">
        <v>7</v>
      </c>
      <c r="C624" t="inlineStr">
        <is>
          <t>P4102309045</t>
        </is>
      </c>
      <c r="D624" t="n">
        <v>0</v>
      </c>
      <c r="E624" t="n">
        <v>38</v>
      </c>
    </row>
    <row r="625">
      <c r="A625" t="n">
        <v>2026</v>
      </c>
      <c r="B625" t="n">
        <v>7</v>
      </c>
      <c r="C625" t="inlineStr">
        <is>
          <t>P4102607989</t>
        </is>
      </c>
      <c r="D625" t="n">
        <v>0</v>
      </c>
      <c r="E625" t="n">
        <v>35</v>
      </c>
    </row>
    <row r="626">
      <c r="A626" t="n">
        <v>2026</v>
      </c>
      <c r="B626" t="n">
        <v>7</v>
      </c>
      <c r="C626" t="inlineStr">
        <is>
          <t>P4102608232</t>
        </is>
      </c>
      <c r="D626" t="n">
        <v>0</v>
      </c>
      <c r="E626" t="n">
        <v>2</v>
      </c>
    </row>
    <row r="627">
      <c r="A627" t="n">
        <v>2026</v>
      </c>
      <c r="B627" t="n">
        <v>7</v>
      </c>
      <c r="C627" t="inlineStr">
        <is>
          <t>P4102608246</t>
        </is>
      </c>
      <c r="D627" t="n">
        <v>0</v>
      </c>
      <c r="E627" t="n">
        <v>64</v>
      </c>
    </row>
    <row r="628">
      <c r="A628" t="n">
        <v>2026</v>
      </c>
      <c r="B628" t="n">
        <v>7</v>
      </c>
      <c r="C628" t="inlineStr">
        <is>
          <t>P4102608260</t>
        </is>
      </c>
      <c r="D628" t="n">
        <v>0</v>
      </c>
      <c r="E628" t="n">
        <v>8</v>
      </c>
    </row>
    <row r="629">
      <c r="A629" t="n">
        <v>2026</v>
      </c>
      <c r="B629" t="n">
        <v>7</v>
      </c>
      <c r="C629" t="inlineStr">
        <is>
          <t>P4102608263</t>
        </is>
      </c>
      <c r="D629" t="n">
        <v>-69639.61</v>
      </c>
      <c r="E629" t="n">
        <v>44</v>
      </c>
    </row>
    <row r="630">
      <c r="A630" t="n">
        <v>2026</v>
      </c>
      <c r="B630" t="n">
        <v>7</v>
      </c>
      <c r="C630" t="inlineStr">
        <is>
          <t>P4102608270</t>
        </is>
      </c>
      <c r="D630" t="n">
        <v>0</v>
      </c>
      <c r="E630" t="n">
        <v>15</v>
      </c>
    </row>
    <row r="631">
      <c r="A631" t="n">
        <v>2026</v>
      </c>
      <c r="B631" t="n">
        <v>7</v>
      </c>
      <c r="C631" t="inlineStr">
        <is>
          <t>P4102608271</t>
        </is>
      </c>
      <c r="D631" t="n">
        <v>0</v>
      </c>
      <c r="E631" t="n">
        <v>14</v>
      </c>
    </row>
    <row r="632">
      <c r="A632" t="n">
        <v>2026</v>
      </c>
      <c r="B632" t="n">
        <v>7</v>
      </c>
      <c r="C632" t="inlineStr">
        <is>
          <t>P4102608275</t>
        </is>
      </c>
      <c r="D632" t="n">
        <v>0</v>
      </c>
      <c r="E632" t="n">
        <v>15</v>
      </c>
    </row>
    <row r="633">
      <c r="A633" t="n">
        <v>2026</v>
      </c>
      <c r="B633" t="n">
        <v>7</v>
      </c>
      <c r="C633" t="inlineStr">
        <is>
          <t>P4102658225</t>
        </is>
      </c>
      <c r="D633" t="n">
        <v>63000</v>
      </c>
      <c r="E633" t="n">
        <v>1</v>
      </c>
    </row>
    <row r="634">
      <c r="A634" t="n">
        <v>2026</v>
      </c>
      <c r="B634" t="n">
        <v>7</v>
      </c>
      <c r="C634" t="inlineStr">
        <is>
          <t>P4102658229</t>
        </is>
      </c>
      <c r="D634" t="n">
        <v>0</v>
      </c>
      <c r="E634" t="n">
        <v>10</v>
      </c>
    </row>
    <row r="635">
      <c r="A635" t="n">
        <v>2026</v>
      </c>
      <c r="B635" t="n">
        <v>7</v>
      </c>
      <c r="C635" t="inlineStr">
        <is>
          <t>P4102658257</t>
        </is>
      </c>
      <c r="D635" t="n">
        <v>0</v>
      </c>
      <c r="E635" t="n">
        <v>2</v>
      </c>
    </row>
    <row r="636">
      <c r="A636" t="n">
        <v>2026</v>
      </c>
      <c r="B636" t="n">
        <v>7</v>
      </c>
      <c r="C636" t="inlineStr">
        <is>
          <t>P4102658272</t>
        </is>
      </c>
      <c r="D636" t="n">
        <v>0</v>
      </c>
      <c r="E636" t="n">
        <v>22</v>
      </c>
    </row>
    <row r="637">
      <c r="A637" t="n">
        <v>2026</v>
      </c>
      <c r="B637" t="n">
        <v>7</v>
      </c>
      <c r="C637" t="inlineStr">
        <is>
          <t>P4102658276</t>
        </is>
      </c>
      <c r="D637" t="n">
        <v>0</v>
      </c>
      <c r="E637" t="n">
        <v>56</v>
      </c>
    </row>
    <row r="638">
      <c r="A638" t="n">
        <v>2026</v>
      </c>
      <c r="B638" t="n">
        <v>7</v>
      </c>
      <c r="C638" t="inlineStr">
        <is>
          <t>W4102154411</t>
        </is>
      </c>
      <c r="D638" t="n">
        <v>-35489.62</v>
      </c>
      <c r="E638" t="n">
        <v>124</v>
      </c>
    </row>
    <row r="639">
      <c r="A639" t="n">
        <v>2026</v>
      </c>
      <c r="B639" t="n">
        <v>7</v>
      </c>
      <c r="C639" t="inlineStr">
        <is>
          <t>W4102154501</t>
        </is>
      </c>
      <c r="D639" t="n">
        <v>1083</v>
      </c>
      <c r="E639" t="n">
        <v>1</v>
      </c>
    </row>
    <row r="640">
      <c r="A640" t="n">
        <v>2026</v>
      </c>
      <c r="B640" t="n">
        <v>7</v>
      </c>
      <c r="C640" t="inlineStr">
        <is>
          <t>W4102154611</t>
        </is>
      </c>
      <c r="D640" t="n">
        <v>2334.18</v>
      </c>
      <c r="E640" t="n">
        <v>27</v>
      </c>
    </row>
    <row r="641">
      <c r="A641" t="n">
        <v>2026</v>
      </c>
      <c r="B641" t="n">
        <v>7</v>
      </c>
      <c r="C641" t="inlineStr">
        <is>
          <t>W4102154961</t>
        </is>
      </c>
      <c r="D641" t="n">
        <v>222.95</v>
      </c>
      <c r="E641" t="n">
        <v>7</v>
      </c>
    </row>
    <row r="642">
      <c r="A642" t="n">
        <v>2026</v>
      </c>
      <c r="B642" t="n">
        <v>7</v>
      </c>
      <c r="C642" t="inlineStr">
        <is>
          <t>W4102154964</t>
        </is>
      </c>
      <c r="D642" t="n">
        <v>1190.87</v>
      </c>
      <c r="E642" t="n">
        <v>5</v>
      </c>
    </row>
    <row r="643">
      <c r="A643" t="n">
        <v>2026</v>
      </c>
      <c r="B643" t="n">
        <v>7</v>
      </c>
      <c r="C643" t="inlineStr">
        <is>
          <t>W4102154966</t>
        </is>
      </c>
      <c r="D643" t="n">
        <v>2687.83</v>
      </c>
      <c r="E643" t="n">
        <v>8</v>
      </c>
    </row>
    <row r="644">
      <c r="A644" t="n">
        <v>2026</v>
      </c>
      <c r="B644" t="n">
        <v>7</v>
      </c>
      <c r="C644" t="inlineStr">
        <is>
          <t>W4102154967</t>
        </is>
      </c>
      <c r="D644" t="n">
        <v>1118.42</v>
      </c>
      <c r="E644" t="n">
        <v>4</v>
      </c>
    </row>
    <row r="645">
      <c r="A645" t="n">
        <v>2026</v>
      </c>
      <c r="B645" t="n">
        <v>7</v>
      </c>
      <c r="C645" t="inlineStr">
        <is>
          <t>W4102154968</t>
        </is>
      </c>
      <c r="D645" t="n">
        <v>705.04</v>
      </c>
      <c r="E645" t="n">
        <v>1</v>
      </c>
    </row>
    <row r="646">
      <c r="A646" t="n">
        <v>2026</v>
      </c>
      <c r="B646" t="n">
        <v>7</v>
      </c>
      <c r="C646" t="inlineStr">
        <is>
          <t>W4102157414</t>
        </is>
      </c>
      <c r="D646" t="n">
        <v>0</v>
      </c>
      <c r="E646" t="n">
        <v>2</v>
      </c>
    </row>
    <row r="647">
      <c r="A647" t="n">
        <v>2026</v>
      </c>
      <c r="B647" t="n">
        <v>7</v>
      </c>
      <c r="C647" t="inlineStr">
        <is>
          <t>W4102304411</t>
        </is>
      </c>
      <c r="D647" t="n">
        <v>-42076.36</v>
      </c>
      <c r="E647" t="n">
        <v>57</v>
      </c>
    </row>
    <row r="648">
      <c r="A648" t="n">
        <v>2026</v>
      </c>
      <c r="B648" t="n">
        <v>7</v>
      </c>
      <c r="C648" t="inlineStr">
        <is>
          <t>W4102304412</t>
        </is>
      </c>
      <c r="D648" t="n">
        <v>0</v>
      </c>
      <c r="E648" t="n">
        <v>2</v>
      </c>
    </row>
    <row r="649">
      <c r="A649" t="n">
        <v>2026</v>
      </c>
      <c r="B649" t="n">
        <v>7</v>
      </c>
      <c r="C649" t="inlineStr">
        <is>
          <t>W4102304611</t>
        </is>
      </c>
      <c r="D649" t="n">
        <v>14567.96</v>
      </c>
      <c r="E649" t="n">
        <v>36</v>
      </c>
    </row>
    <row r="650">
      <c r="A650" t="n">
        <v>2026</v>
      </c>
      <c r="B650" t="n">
        <v>7</v>
      </c>
      <c r="C650" t="inlineStr">
        <is>
          <t>W4102304943</t>
        </is>
      </c>
      <c r="D650" t="n">
        <v>1259.79</v>
      </c>
      <c r="E650" t="n">
        <v>6</v>
      </c>
    </row>
    <row r="651">
      <c r="A651" t="n">
        <v>2026</v>
      </c>
      <c r="B651" t="n">
        <v>7</v>
      </c>
      <c r="C651" t="inlineStr">
        <is>
          <t>W4102304946</t>
        </is>
      </c>
      <c r="D651" t="n">
        <v>596.67</v>
      </c>
      <c r="E651" t="n">
        <v>3</v>
      </c>
    </row>
    <row r="652">
      <c r="A652" t="n">
        <v>2026</v>
      </c>
      <c r="B652" t="n">
        <v>7</v>
      </c>
      <c r="C652" t="inlineStr">
        <is>
          <t>W4102304947</t>
        </is>
      </c>
      <c r="D652" t="n">
        <v>17.83</v>
      </c>
      <c r="E652" t="n">
        <v>1</v>
      </c>
    </row>
    <row r="653">
      <c r="A653" t="n">
        <v>2026</v>
      </c>
      <c r="B653" t="n">
        <v>7</v>
      </c>
      <c r="C653" t="inlineStr">
        <is>
          <t>W4102307366</t>
        </is>
      </c>
      <c r="D653" t="n">
        <v>0</v>
      </c>
      <c r="E653" t="n">
        <v>4</v>
      </c>
    </row>
    <row r="654">
      <c r="A654" t="n">
        <v>2026</v>
      </c>
      <c r="B654" t="n">
        <v>7</v>
      </c>
      <c r="C654" t="inlineStr">
        <is>
          <t>W4102504104</t>
        </is>
      </c>
      <c r="D654" t="n">
        <v>4025</v>
      </c>
      <c r="E654" t="n">
        <v>1</v>
      </c>
    </row>
    <row r="655">
      <c r="A655" t="n">
        <v>2026</v>
      </c>
      <c r="B655" t="n">
        <v>7</v>
      </c>
      <c r="C655" t="inlineStr">
        <is>
          <t>W4102504106</t>
        </is>
      </c>
      <c r="D655" t="n">
        <v>343.47</v>
      </c>
      <c r="E655" t="n">
        <v>8</v>
      </c>
    </row>
    <row r="656">
      <c r="A656" t="n">
        <v>2026</v>
      </c>
      <c r="B656" t="n">
        <v>7</v>
      </c>
      <c r="C656" t="inlineStr">
        <is>
          <t>W4102504107</t>
        </is>
      </c>
      <c r="D656" t="n">
        <v>23.5</v>
      </c>
      <c r="E656" t="n">
        <v>1</v>
      </c>
    </row>
    <row r="657">
      <c r="A657" t="n">
        <v>2026</v>
      </c>
      <c r="B657" t="n">
        <v>7</v>
      </c>
      <c r="C657" t="inlineStr">
        <is>
          <t>W4102504108</t>
        </is>
      </c>
      <c r="D657" t="n">
        <v>299.18</v>
      </c>
      <c r="E657" t="n">
        <v>10</v>
      </c>
    </row>
    <row r="658">
      <c r="A658" t="n">
        <v>2026</v>
      </c>
      <c r="B658" t="n">
        <v>7</v>
      </c>
      <c r="C658" t="inlineStr">
        <is>
          <t>W4102504109</t>
        </is>
      </c>
      <c r="D658" t="n">
        <v>534.6</v>
      </c>
      <c r="E658" t="n">
        <v>6</v>
      </c>
    </row>
    <row r="659">
      <c r="A659" t="n">
        <v>2026</v>
      </c>
      <c r="B659" t="n">
        <v>7</v>
      </c>
      <c r="C659" t="inlineStr">
        <is>
          <t>W4102504211</t>
        </is>
      </c>
      <c r="D659" t="n">
        <v>14.1</v>
      </c>
      <c r="E659" t="n">
        <v>1</v>
      </c>
    </row>
    <row r="660">
      <c r="A660" t="n">
        <v>2026</v>
      </c>
      <c r="B660" t="n">
        <v>7</v>
      </c>
      <c r="C660" t="inlineStr">
        <is>
          <t>W4102504221</t>
        </is>
      </c>
      <c r="D660" t="n">
        <v>1660.05</v>
      </c>
      <c r="E660" t="n">
        <v>8</v>
      </c>
    </row>
    <row r="661">
      <c r="A661" t="n">
        <v>2026</v>
      </c>
      <c r="B661" t="n">
        <v>7</v>
      </c>
      <c r="C661" t="inlineStr">
        <is>
          <t>W4102504222</t>
        </is>
      </c>
      <c r="D661" t="n">
        <v>44964.31</v>
      </c>
      <c r="E661" t="n">
        <v>48</v>
      </c>
    </row>
    <row r="662">
      <c r="A662" t="n">
        <v>2026</v>
      </c>
      <c r="B662" t="n">
        <v>7</v>
      </c>
      <c r="C662" t="inlineStr">
        <is>
          <t>W4102504262</t>
        </is>
      </c>
      <c r="D662" t="n">
        <v>5667.18</v>
      </c>
      <c r="E662" t="n">
        <v>16</v>
      </c>
    </row>
    <row r="663">
      <c r="A663" t="n">
        <v>2026</v>
      </c>
      <c r="B663" t="n">
        <v>7</v>
      </c>
      <c r="C663" t="inlineStr">
        <is>
          <t>W4102504941</t>
        </is>
      </c>
      <c r="D663" t="n">
        <v>33.61</v>
      </c>
      <c r="E663" t="n">
        <v>1</v>
      </c>
    </row>
    <row r="664">
      <c r="A664" t="n">
        <v>2026</v>
      </c>
      <c r="B664" t="n">
        <v>7</v>
      </c>
      <c r="C664" t="inlineStr">
        <is>
          <t>W4102504971</t>
        </is>
      </c>
      <c r="D664" t="n">
        <v>339.5</v>
      </c>
      <c r="E664" t="n">
        <v>3</v>
      </c>
    </row>
    <row r="665">
      <c r="A665" t="n">
        <v>2026</v>
      </c>
      <c r="B665" t="n">
        <v>7</v>
      </c>
      <c r="C665" t="inlineStr">
        <is>
          <t>W4102504973</t>
        </is>
      </c>
      <c r="D665" t="n">
        <v>3048.43</v>
      </c>
      <c r="E665" t="n">
        <v>7</v>
      </c>
    </row>
    <row r="666">
      <c r="A666" t="n">
        <v>2026</v>
      </c>
      <c r="B666" t="n">
        <v>7</v>
      </c>
      <c r="C666" t="inlineStr">
        <is>
          <t>W4102504974</t>
        </is>
      </c>
      <c r="D666" t="n">
        <v>1214.13</v>
      </c>
      <c r="E666" t="n">
        <v>6</v>
      </c>
    </row>
    <row r="667">
      <c r="A667" t="n">
        <v>2026</v>
      </c>
      <c r="B667" t="n">
        <v>7</v>
      </c>
      <c r="C667" t="inlineStr">
        <is>
          <t>W4102504975</t>
        </is>
      </c>
      <c r="D667" t="n">
        <v>1109.91</v>
      </c>
      <c r="E667" t="n">
        <v>4</v>
      </c>
    </row>
    <row r="668">
      <c r="A668" t="n">
        <v>2026</v>
      </c>
      <c r="B668" t="n">
        <v>7</v>
      </c>
      <c r="C668" t="inlineStr">
        <is>
          <t>W4102504976</t>
        </is>
      </c>
      <c r="D668" t="n">
        <v>905.9400000000001</v>
      </c>
      <c r="E668" t="n">
        <v>6</v>
      </c>
    </row>
    <row r="669">
      <c r="A669" t="n">
        <v>2026</v>
      </c>
      <c r="B669" t="n">
        <v>7</v>
      </c>
      <c r="C669" t="inlineStr">
        <is>
          <t>W4102604411</t>
        </is>
      </c>
      <c r="D669" t="n">
        <v>-52191.17</v>
      </c>
      <c r="E669" t="n">
        <v>58</v>
      </c>
    </row>
    <row r="670">
      <c r="A670" t="n">
        <v>2026</v>
      </c>
      <c r="B670" t="n">
        <v>7</v>
      </c>
      <c r="C670" t="inlineStr">
        <is>
          <t>W4102604414</t>
        </is>
      </c>
      <c r="D670" t="n">
        <v>-164.49</v>
      </c>
      <c r="E670" t="n">
        <v>3</v>
      </c>
    </row>
    <row r="671">
      <c r="A671" t="n">
        <v>2026</v>
      </c>
      <c r="B671" t="n">
        <v>7</v>
      </c>
      <c r="C671" t="inlineStr">
        <is>
          <t>W4102604611</t>
        </is>
      </c>
      <c r="D671" t="n">
        <v>2276.76</v>
      </c>
      <c r="E671" t="n">
        <v>18</v>
      </c>
    </row>
    <row r="672">
      <c r="A672" t="n">
        <v>2026</v>
      </c>
      <c r="B672" t="n">
        <v>7</v>
      </c>
      <c r="C672" t="inlineStr">
        <is>
          <t>W4102604612</t>
        </is>
      </c>
      <c r="D672" t="n">
        <v>-873.0599999999999</v>
      </c>
      <c r="E672" t="n">
        <v>5</v>
      </c>
    </row>
    <row r="673">
      <c r="A673" t="n">
        <v>2026</v>
      </c>
      <c r="B673" t="n">
        <v>7</v>
      </c>
      <c r="C673" t="inlineStr">
        <is>
          <t>W4102604938</t>
        </is>
      </c>
      <c r="D673" t="n">
        <v>1003.67</v>
      </c>
      <c r="E673" t="n">
        <v>4</v>
      </c>
    </row>
    <row r="674">
      <c r="A674" t="n">
        <v>2026</v>
      </c>
      <c r="B674" t="n">
        <v>7</v>
      </c>
      <c r="C674" t="inlineStr">
        <is>
          <t>W4102604940</t>
        </is>
      </c>
      <c r="D674" t="n">
        <v>561.61</v>
      </c>
      <c r="E674" t="n">
        <v>5</v>
      </c>
    </row>
    <row r="675">
      <c r="A675" t="n">
        <v>2026</v>
      </c>
      <c r="B675" t="n">
        <v>7</v>
      </c>
      <c r="C675" t="inlineStr">
        <is>
          <t>W4102604941</t>
        </is>
      </c>
      <c r="D675" t="n">
        <v>1129.68</v>
      </c>
      <c r="E675" t="n">
        <v>7</v>
      </c>
    </row>
    <row r="676">
      <c r="A676" t="n">
        <v>2026</v>
      </c>
      <c r="B676" t="n">
        <v>7</v>
      </c>
      <c r="C676" t="inlineStr">
        <is>
          <t>W4102604949</t>
        </is>
      </c>
      <c r="D676" t="n">
        <v>618.26</v>
      </c>
      <c r="E676" t="n">
        <v>3</v>
      </c>
    </row>
    <row r="677">
      <c r="A677" t="n">
        <v>2026</v>
      </c>
      <c r="B677" t="n">
        <v>7</v>
      </c>
      <c r="C677" t="inlineStr">
        <is>
          <t>W4102604950</t>
        </is>
      </c>
      <c r="D677" t="n">
        <v>892</v>
      </c>
      <c r="E677" t="n">
        <v>5</v>
      </c>
    </row>
    <row r="678">
      <c r="A678" t="n">
        <v>2026</v>
      </c>
      <c r="B678" t="n">
        <v>7</v>
      </c>
      <c r="C678" t="inlineStr">
        <is>
          <t>W4102604951</t>
        </is>
      </c>
      <c r="D678" t="n">
        <v>325.92</v>
      </c>
      <c r="E678" t="n">
        <v>2</v>
      </c>
    </row>
    <row r="679">
      <c r="A679" t="n">
        <v>2026</v>
      </c>
      <c r="B679" t="n">
        <v>7</v>
      </c>
      <c r="C679" t="inlineStr">
        <is>
          <t>W4102607081</t>
        </is>
      </c>
      <c r="D679" t="n">
        <v>0</v>
      </c>
      <c r="E679" t="n">
        <v>4</v>
      </c>
    </row>
    <row r="680">
      <c r="A680" t="n">
        <v>2026</v>
      </c>
      <c r="B680" t="n">
        <v>7</v>
      </c>
      <c r="C680" t="inlineStr">
        <is>
          <t>W4102608246</t>
        </is>
      </c>
      <c r="D680" t="n">
        <v>875</v>
      </c>
      <c r="E680" t="n">
        <v>1</v>
      </c>
    </row>
    <row r="681">
      <c r="A681" t="n">
        <v>2026</v>
      </c>
      <c r="B681" t="n">
        <v>7</v>
      </c>
      <c r="C681" t="inlineStr">
        <is>
          <t>W4102651216</t>
        </is>
      </c>
      <c r="D681" t="n">
        <v>285</v>
      </c>
      <c r="E681" t="n">
        <v>5</v>
      </c>
    </row>
    <row r="682">
      <c r="A682" t="n">
        <v>2026</v>
      </c>
      <c r="B682" t="n">
        <v>7</v>
      </c>
      <c r="C682" t="inlineStr">
        <is>
          <t>W4102654411</t>
        </is>
      </c>
      <c r="D682" t="n">
        <v>-1224.39</v>
      </c>
      <c r="E682" t="n">
        <v>21</v>
      </c>
    </row>
    <row r="683">
      <c r="A683" t="n">
        <v>2026</v>
      </c>
      <c r="B683" t="n">
        <v>7</v>
      </c>
      <c r="C683" t="inlineStr">
        <is>
          <t>W4102654611</t>
        </is>
      </c>
      <c r="D683" t="n">
        <v>857.75</v>
      </c>
      <c r="E683" t="n">
        <v>17</v>
      </c>
    </row>
    <row r="684">
      <c r="A684" t="n">
        <v>2026</v>
      </c>
      <c r="B684" t="n">
        <v>7</v>
      </c>
      <c r="C684" t="inlineStr">
        <is>
          <t>W4102654945</t>
        </is>
      </c>
      <c r="D684" t="n">
        <v>2667.78</v>
      </c>
      <c r="E684" t="n">
        <v>6</v>
      </c>
    </row>
    <row r="685">
      <c r="A685" t="n">
        <v>2026</v>
      </c>
      <c r="B685" t="n">
        <v>7</v>
      </c>
      <c r="C685" t="inlineStr">
        <is>
          <t>W4102654946</t>
        </is>
      </c>
      <c r="D685" t="n">
        <v>718.64</v>
      </c>
      <c r="E685" t="n">
        <v>7</v>
      </c>
    </row>
    <row r="686">
      <c r="A686" t="n">
        <v>2026</v>
      </c>
      <c r="B686" t="n">
        <v>7</v>
      </c>
      <c r="C686" t="inlineStr">
        <is>
          <t>W4102654947</t>
        </is>
      </c>
      <c r="D686" t="n">
        <v>350.27</v>
      </c>
      <c r="E68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C2:M64"/>
  <sheetViews>
    <sheetView workbookViewId="0">
      <selection activeCell="A1" sqref="A1"/>
    </sheetView>
  </sheetViews>
  <sheetFormatPr baseColWidth="8" defaultRowHeight="15"/>
  <sheetData>
    <row r="2">
      <c r="C2" t="inlineStr">
        <is>
          <t>Importierte Monats-GuV</t>
        </is>
      </c>
    </row>
    <row r="3">
      <c r="C3" t="inlineStr">
        <is>
          <t>Befüllung über TVF_Import.ts. Eine Zeile je Jahr und Monat. Vorhandene Monate werden gezielt ersetzt. Originalquellen bleiben erhalten.</t>
        </is>
      </c>
    </row>
    <row r="6">
      <c r="C6" t="inlineStr">
        <is>
          <t>Jahr</t>
        </is>
      </c>
      <c r="D6" t="inlineStr">
        <is>
          <t>Monat</t>
        </is>
      </c>
      <c r="E6" t="inlineStr">
        <is>
          <t>Umsatz</t>
        </is>
      </c>
      <c r="F6" t="inlineStr">
        <is>
          <t>Bestand</t>
        </is>
      </c>
      <c r="G6" t="inlineStr">
        <is>
          <t>Sonstige_Ertraege</t>
        </is>
      </c>
      <c r="H6" t="inlineStr">
        <is>
          <t>Materialaufwand</t>
        </is>
      </c>
      <c r="I6" t="inlineStr">
        <is>
          <t>Personalaufwand</t>
        </is>
      </c>
      <c r="J6" t="inlineStr">
        <is>
          <t>Sonstiger_Aufwand</t>
        </is>
      </c>
      <c r="K6" t="inlineStr">
        <is>
          <t>Abschreibungen</t>
        </is>
      </c>
      <c r="L6" t="inlineStr">
        <is>
          <t>Finanzergebnis</t>
        </is>
      </c>
      <c r="M6" t="inlineStr">
        <is>
          <t>Neutrales_Ergebnis</t>
        </is>
      </c>
    </row>
    <row r="63">
      <c r="C63" t="inlineStr">
        <is>
          <t>SharePoint-Verknüpfungen (Dateien im selben Ordner)</t>
        </is>
      </c>
    </row>
    <row r="64">
      <c r="C64" t="inlineStr">
        <is>
          <t>Diese Datei</t>
        </is>
      </c>
      <c r="D64" t="inlineStr">
        <is>
          <t>Import Monatsdaten.xlsx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C2:Q67"/>
  <sheetViews>
    <sheetView workbookViewId="0">
      <selection activeCell="A1" sqref="A1"/>
    </sheetView>
  </sheetViews>
  <sheetFormatPr baseColWidth="8" defaultRowHeight="15"/>
  <sheetData>
    <row r="2">
      <c r="C2" t="inlineStr">
        <is>
          <t>GuV und EBITDA</t>
        </is>
      </c>
    </row>
    <row r="3">
      <c r="C3" t="inlineStr">
        <is>
          <t>Importierte Monatsdaten haben Vorrang vor dem Originalexport. Quelle je Monat in Zeile 23. Aufwendungen negativ, Beträge in EUR.</t>
        </is>
      </c>
    </row>
    <row r="5">
      <c r="C5" t="inlineStr">
        <is>
          <t>Position</t>
        </is>
      </c>
      <c r="F5" t="n">
        <v>1</v>
      </c>
      <c r="G5" t="n">
        <v>2</v>
      </c>
      <c r="H5" t="n">
        <v>3</v>
      </c>
      <c r="I5" t="n">
        <v>4</v>
      </c>
      <c r="J5" t="n">
        <v>5</v>
      </c>
      <c r="K5" t="n">
        <v>6</v>
      </c>
      <c r="L5" t="n">
        <v>7</v>
      </c>
      <c r="M5" t="n">
        <v>8</v>
      </c>
      <c r="N5" t="n">
        <v>9</v>
      </c>
      <c r="O5" t="n">
        <v>10</v>
      </c>
      <c r="P5" t="n">
        <v>11</v>
      </c>
      <c r="Q5" t="n">
        <v>12</v>
      </c>
    </row>
    <row r="6">
      <c r="C6" t="inlineStr">
        <is>
          <t>Position</t>
        </is>
      </c>
      <c r="D6" t="inlineStr">
        <is>
          <t>YTD</t>
        </is>
      </c>
      <c r="E6" t="inlineStr">
        <is>
          <t>Anteil</t>
        </is>
      </c>
      <c r="F6" t="inlineStr">
        <is>
          <t>Jan</t>
        </is>
      </c>
      <c r="G6" t="inlineStr">
        <is>
          <t>Feb</t>
        </is>
      </c>
      <c r="H6" t="inlineStr">
        <is>
          <t>Mär</t>
        </is>
      </c>
      <c r="I6" t="inlineStr">
        <is>
          <t>Apr</t>
        </is>
      </c>
      <c r="J6" t="inlineStr">
        <is>
          <t>Mai</t>
        </is>
      </c>
      <c r="K6" t="inlineStr">
        <is>
          <t>Jun</t>
        </is>
      </c>
      <c r="L6" t="inlineStr">
        <is>
          <t>Jul</t>
        </is>
      </c>
      <c r="M6" t="inlineStr">
        <is>
          <t>Aug</t>
        </is>
      </c>
      <c r="N6" t="inlineStr">
        <is>
          <t>Sep</t>
        </is>
      </c>
      <c r="O6" t="inlineStr">
        <is>
          <t>Okt</t>
        </is>
      </c>
      <c r="P6" t="inlineStr">
        <is>
          <t>Nov</t>
        </is>
      </c>
      <c r="Q6" t="inlineStr">
        <is>
          <t>Dez</t>
        </is>
      </c>
    </row>
    <row r="7">
      <c r="C7" t="inlineStr">
        <is>
          <t>Umsatzerlöse</t>
        </is>
      </c>
      <c r="D7">
        <f>SUMIFS(F7:Q7,$F$5:$Q$5,"&lt;="&amp;'[Steuerung.xlsx]Steuerung'!$F$7)</f>
        <v/>
      </c>
      <c r="E7">
        <f>IF($D$9=0,"n.a.",D7/$D$9)</f>
        <v/>
      </c>
      <c r="F7">
        <f>IF(COUNTIFS('[Import Monatsdaten.xlsx]Import Monatsdaten'!$C$7:$C$8,'[Steuerung.xlsx]Steuerung'!$F$6,'[Import Monatsdaten.xlsx]Import Monatsdaten'!$D$7:$D$8,1)&gt;0,SUMIFS('[Import Monatsdaten.xlsx]Import Monatsdaten'!$E$7:$E$8,'[Import Monatsdaten.xlsx]Import Monatsdaten'!$C$7:$C$8,'[Steuerung.xlsx]Steuerung'!$F$6,'[Import Monatsdaten.xlsx]Import Monatsdaten'!$D$7:$D$8,1),IF(COUNTIFS('[D Finanzen.xlsx]D Finanzen'!$A$45:$A$115,'[Steuerung.xlsx]Steuerung'!$F$6,'[D Finanzen.xlsx]D Finanzen'!$B$45:$B$115,F$5)=0,"",SUMIFS('[D Finanzen.xlsx]D Finanzen'!$E$45:$E$115,'[D Finanzen.xlsx]D Finanzen'!$A$45:$A$115,'[Steuerung.xlsx]Steuerung'!$F$6,'[D Finanzen.xlsx]D Finanzen'!$B$45:$B$115,F$5,'[D Finanzen.xlsx]D Finanzen'!$C$45:$C$115,10)))</f>
        <v/>
      </c>
      <c r="G7">
        <f>IF(COUNTIFS('[Import Monatsdaten.xlsx]Import Monatsdaten'!$C$7:$C$8,'[Steuerung.xlsx]Steuerung'!$F$6,'[Import Monatsdaten.xlsx]Import Monatsdaten'!$D$7:$D$8,2)&gt;0,SUMIFS('[Import Monatsdaten.xlsx]Import Monatsdaten'!$E$7:$E$8,'[Import Monatsdaten.xlsx]Import Monatsdaten'!$C$7:$C$8,'[Steuerung.xlsx]Steuerung'!$F$6,'[Import Monatsdaten.xlsx]Import Monatsdaten'!$D$7:$D$8,2),IF(COUNTIFS('[D Finanzen.xlsx]D Finanzen'!$A$45:$A$115,'[Steuerung.xlsx]Steuerung'!$F$6,'[D Finanzen.xlsx]D Finanzen'!$B$45:$B$115,G$5)=0,"",SUMIFS('[D Finanzen.xlsx]D Finanzen'!$E$45:$E$115,'[D Finanzen.xlsx]D Finanzen'!$A$45:$A$115,'[Steuerung.xlsx]Steuerung'!$F$6,'[D Finanzen.xlsx]D Finanzen'!$B$45:$B$115,G$5,'[D Finanzen.xlsx]D Finanzen'!$C$45:$C$115,10)))</f>
        <v/>
      </c>
      <c r="H7">
        <f>IF(COUNTIFS('[Import Monatsdaten.xlsx]Import Monatsdaten'!$C$7:$C$8,'[Steuerung.xlsx]Steuerung'!$F$6,'[Import Monatsdaten.xlsx]Import Monatsdaten'!$D$7:$D$8,3)&gt;0,SUMIFS('[Import Monatsdaten.xlsx]Import Monatsdaten'!$E$7:$E$8,'[Import Monatsdaten.xlsx]Import Monatsdaten'!$C$7:$C$8,'[Steuerung.xlsx]Steuerung'!$F$6,'[Import Monatsdaten.xlsx]Import Monatsdaten'!$D$7:$D$8,3),IF(COUNTIFS('[D Finanzen.xlsx]D Finanzen'!$A$45:$A$115,'[Steuerung.xlsx]Steuerung'!$F$6,'[D Finanzen.xlsx]D Finanzen'!$B$45:$B$115,H$5)=0,"",SUMIFS('[D Finanzen.xlsx]D Finanzen'!$E$45:$E$115,'[D Finanzen.xlsx]D Finanzen'!$A$45:$A$115,'[Steuerung.xlsx]Steuerung'!$F$6,'[D Finanzen.xlsx]D Finanzen'!$B$45:$B$115,H$5,'[D Finanzen.xlsx]D Finanzen'!$C$45:$C$115,10)))</f>
        <v/>
      </c>
      <c r="I7">
        <f>IF(COUNTIFS('[Import Monatsdaten.xlsx]Import Monatsdaten'!$C$7:$C$8,'[Steuerung.xlsx]Steuerung'!$F$6,'[Import Monatsdaten.xlsx]Import Monatsdaten'!$D$7:$D$8,4)&gt;0,SUMIFS('[Import Monatsdaten.xlsx]Import Monatsdaten'!$E$7:$E$8,'[Import Monatsdaten.xlsx]Import Monatsdaten'!$C$7:$C$8,'[Steuerung.xlsx]Steuerung'!$F$6,'[Import Monatsdaten.xlsx]Import Monatsdaten'!$D$7:$D$8,4),IF(COUNTIFS('[D Finanzen.xlsx]D Finanzen'!$A$45:$A$115,'[Steuerung.xlsx]Steuerung'!$F$6,'[D Finanzen.xlsx]D Finanzen'!$B$45:$B$115,I$5)=0,"",SUMIFS('[D Finanzen.xlsx]D Finanzen'!$E$45:$E$115,'[D Finanzen.xlsx]D Finanzen'!$A$45:$A$115,'[Steuerung.xlsx]Steuerung'!$F$6,'[D Finanzen.xlsx]D Finanzen'!$B$45:$B$115,I$5,'[D Finanzen.xlsx]D Finanzen'!$C$45:$C$115,10)))</f>
        <v/>
      </c>
      <c r="J7">
        <f>IF(COUNTIFS('[Import Monatsdaten.xlsx]Import Monatsdaten'!$C$7:$C$8,'[Steuerung.xlsx]Steuerung'!$F$6,'[Import Monatsdaten.xlsx]Import Monatsdaten'!$D$7:$D$8,5)&gt;0,SUMIFS('[Import Monatsdaten.xlsx]Import Monatsdaten'!$E$7:$E$8,'[Import Monatsdaten.xlsx]Import Monatsdaten'!$C$7:$C$8,'[Steuerung.xlsx]Steuerung'!$F$6,'[Import Monatsdaten.xlsx]Import Monatsdaten'!$D$7:$D$8,5),IF(COUNTIFS('[D Finanzen.xlsx]D Finanzen'!$A$45:$A$115,'[Steuerung.xlsx]Steuerung'!$F$6,'[D Finanzen.xlsx]D Finanzen'!$B$45:$B$115,J$5)=0,"",SUMIFS('[D Finanzen.xlsx]D Finanzen'!$E$45:$E$115,'[D Finanzen.xlsx]D Finanzen'!$A$45:$A$115,'[Steuerung.xlsx]Steuerung'!$F$6,'[D Finanzen.xlsx]D Finanzen'!$B$45:$B$115,J$5,'[D Finanzen.xlsx]D Finanzen'!$C$45:$C$115,10)))</f>
        <v/>
      </c>
      <c r="K7">
        <f>IF(COUNTIFS('[Import Monatsdaten.xlsx]Import Monatsdaten'!$C$7:$C$8,'[Steuerung.xlsx]Steuerung'!$F$6,'[Import Monatsdaten.xlsx]Import Monatsdaten'!$D$7:$D$8,6)&gt;0,SUMIFS('[Import Monatsdaten.xlsx]Import Monatsdaten'!$E$7:$E$8,'[Import Monatsdaten.xlsx]Import Monatsdaten'!$C$7:$C$8,'[Steuerung.xlsx]Steuerung'!$F$6,'[Import Monatsdaten.xlsx]Import Monatsdaten'!$D$7:$D$8,6),IF(COUNTIFS('[D Finanzen.xlsx]D Finanzen'!$A$45:$A$115,'[Steuerung.xlsx]Steuerung'!$F$6,'[D Finanzen.xlsx]D Finanzen'!$B$45:$B$115,K$5)=0,"",SUMIFS('[D Finanzen.xlsx]D Finanzen'!$E$45:$E$115,'[D Finanzen.xlsx]D Finanzen'!$A$45:$A$115,'[Steuerung.xlsx]Steuerung'!$F$6,'[D Finanzen.xlsx]D Finanzen'!$B$45:$B$115,K$5,'[D Finanzen.xlsx]D Finanzen'!$C$45:$C$115,10)))</f>
        <v/>
      </c>
      <c r="L7">
        <f>IF(COUNTIFS('[Import Monatsdaten.xlsx]Import Monatsdaten'!$C$7:$C$8,'[Steuerung.xlsx]Steuerung'!$F$6,'[Import Monatsdaten.xlsx]Import Monatsdaten'!$D$7:$D$8,7)&gt;0,SUMIFS('[Import Monatsdaten.xlsx]Import Monatsdaten'!$E$7:$E$8,'[Import Monatsdaten.xlsx]Import Monatsdaten'!$C$7:$C$8,'[Steuerung.xlsx]Steuerung'!$F$6,'[Import Monatsdaten.xlsx]Import Monatsdaten'!$D$7:$D$8,7),IF(COUNTIFS('[D Finanzen.xlsx]D Finanzen'!$A$45:$A$115,'[Steuerung.xlsx]Steuerung'!$F$6,'[D Finanzen.xlsx]D Finanzen'!$B$45:$B$115,L$5)=0,"",SUMIFS('[D Finanzen.xlsx]D Finanzen'!$E$45:$E$115,'[D Finanzen.xlsx]D Finanzen'!$A$45:$A$115,'[Steuerung.xlsx]Steuerung'!$F$6,'[D Finanzen.xlsx]D Finanzen'!$B$45:$B$115,L$5,'[D Finanzen.xlsx]D Finanzen'!$C$45:$C$115,10)))</f>
        <v/>
      </c>
      <c r="M7">
        <f>IF(COUNTIFS('[Import Monatsdaten.xlsx]Import Monatsdaten'!$C$7:$C$8,'[Steuerung.xlsx]Steuerung'!$F$6,'[Import Monatsdaten.xlsx]Import Monatsdaten'!$D$7:$D$8,8)&gt;0,SUMIFS('[Import Monatsdaten.xlsx]Import Monatsdaten'!$E$7:$E$8,'[Import Monatsdaten.xlsx]Import Monatsdaten'!$C$7:$C$8,'[Steuerung.xlsx]Steuerung'!$F$6,'[Import Monatsdaten.xlsx]Import Monatsdaten'!$D$7:$D$8,8),IF(COUNTIFS('[D Finanzen.xlsx]D Finanzen'!$A$45:$A$115,'[Steuerung.xlsx]Steuerung'!$F$6,'[D Finanzen.xlsx]D Finanzen'!$B$45:$B$115,M$5)=0,"",SUMIFS('[D Finanzen.xlsx]D Finanzen'!$E$45:$E$115,'[D Finanzen.xlsx]D Finanzen'!$A$45:$A$115,'[Steuerung.xlsx]Steuerung'!$F$6,'[D Finanzen.xlsx]D Finanzen'!$B$45:$B$115,M$5,'[D Finanzen.xlsx]D Finanzen'!$C$45:$C$115,10)))</f>
        <v/>
      </c>
      <c r="N7">
        <f>IF(COUNTIFS('[Import Monatsdaten.xlsx]Import Monatsdaten'!$C$7:$C$8,'[Steuerung.xlsx]Steuerung'!$F$6,'[Import Monatsdaten.xlsx]Import Monatsdaten'!$D$7:$D$8,9)&gt;0,SUMIFS('[Import Monatsdaten.xlsx]Import Monatsdaten'!$E$7:$E$8,'[Import Monatsdaten.xlsx]Import Monatsdaten'!$C$7:$C$8,'[Steuerung.xlsx]Steuerung'!$F$6,'[Import Monatsdaten.xlsx]Import Monatsdaten'!$D$7:$D$8,9),IF(COUNTIFS('[D Finanzen.xlsx]D Finanzen'!$A$45:$A$115,'[Steuerung.xlsx]Steuerung'!$F$6,'[D Finanzen.xlsx]D Finanzen'!$B$45:$B$115,N$5)=0,"",SUMIFS('[D Finanzen.xlsx]D Finanzen'!$E$45:$E$115,'[D Finanzen.xlsx]D Finanzen'!$A$45:$A$115,'[Steuerung.xlsx]Steuerung'!$F$6,'[D Finanzen.xlsx]D Finanzen'!$B$45:$B$115,N$5,'[D Finanzen.xlsx]D Finanzen'!$C$45:$C$115,10)))</f>
        <v/>
      </c>
      <c r="O7">
        <f>IF(COUNTIFS('[Import Monatsdaten.xlsx]Import Monatsdaten'!$C$7:$C$8,'[Steuerung.xlsx]Steuerung'!$F$6,'[Import Monatsdaten.xlsx]Import Monatsdaten'!$D$7:$D$8,10)&gt;0,SUMIFS('[Import Monatsdaten.xlsx]Import Monatsdaten'!$E$7:$E$8,'[Import Monatsdaten.xlsx]Import Monatsdaten'!$C$7:$C$8,'[Steuerung.xlsx]Steuerung'!$F$6,'[Import Monatsdaten.xlsx]Import Monatsdaten'!$D$7:$D$8,10),IF(COUNTIFS('[D Finanzen.xlsx]D Finanzen'!$A$45:$A$115,'[Steuerung.xlsx]Steuerung'!$F$6,'[D Finanzen.xlsx]D Finanzen'!$B$45:$B$115,O$5)=0,"",SUMIFS('[D Finanzen.xlsx]D Finanzen'!$E$45:$E$115,'[D Finanzen.xlsx]D Finanzen'!$A$45:$A$115,'[Steuerung.xlsx]Steuerung'!$F$6,'[D Finanzen.xlsx]D Finanzen'!$B$45:$B$115,O$5,'[D Finanzen.xlsx]D Finanzen'!$C$45:$C$115,10)))</f>
        <v/>
      </c>
      <c r="P7">
        <f>IF(COUNTIFS('[Import Monatsdaten.xlsx]Import Monatsdaten'!$C$7:$C$8,'[Steuerung.xlsx]Steuerung'!$F$6,'[Import Monatsdaten.xlsx]Import Monatsdaten'!$D$7:$D$8,11)&gt;0,SUMIFS('[Import Monatsdaten.xlsx]Import Monatsdaten'!$E$7:$E$8,'[Import Monatsdaten.xlsx]Import Monatsdaten'!$C$7:$C$8,'[Steuerung.xlsx]Steuerung'!$F$6,'[Import Monatsdaten.xlsx]Import Monatsdaten'!$D$7:$D$8,11),IF(COUNTIFS('[D Finanzen.xlsx]D Finanzen'!$A$45:$A$115,'[Steuerung.xlsx]Steuerung'!$F$6,'[D Finanzen.xlsx]D Finanzen'!$B$45:$B$115,P$5)=0,"",SUMIFS('[D Finanzen.xlsx]D Finanzen'!$E$45:$E$115,'[D Finanzen.xlsx]D Finanzen'!$A$45:$A$115,'[Steuerung.xlsx]Steuerung'!$F$6,'[D Finanzen.xlsx]D Finanzen'!$B$45:$B$115,P$5,'[D Finanzen.xlsx]D Finanzen'!$C$45:$C$115,10)))</f>
        <v/>
      </c>
      <c r="Q7">
        <f>IF(COUNTIFS('[Import Monatsdaten.xlsx]Import Monatsdaten'!$C$7:$C$8,'[Steuerung.xlsx]Steuerung'!$F$6,'[Import Monatsdaten.xlsx]Import Monatsdaten'!$D$7:$D$8,12)&gt;0,SUMIFS('[Import Monatsdaten.xlsx]Import Monatsdaten'!$E$7:$E$8,'[Import Monatsdaten.xlsx]Import Monatsdaten'!$C$7:$C$8,'[Steuerung.xlsx]Steuerung'!$F$6,'[Import Monatsdaten.xlsx]Import Monatsdaten'!$D$7:$D$8,12),IF(COUNTIFS('[D Finanzen.xlsx]D Finanzen'!$A$45:$A$115,'[Steuerung.xlsx]Steuerung'!$F$6,'[D Finanzen.xlsx]D Finanzen'!$B$45:$B$115,Q$5)=0,"",SUMIFS('[D Finanzen.xlsx]D Finanzen'!$E$45:$E$115,'[D Finanzen.xlsx]D Finanzen'!$A$45:$A$115,'[Steuerung.xlsx]Steuerung'!$F$6,'[D Finanzen.xlsx]D Finanzen'!$B$45:$B$115,Q$5,'[D Finanzen.xlsx]D Finanzen'!$C$45:$C$115,10)))</f>
        <v/>
      </c>
    </row>
    <row r="8">
      <c r="C8" t="inlineStr">
        <is>
          <t>Bestandsveränderungen</t>
        </is>
      </c>
      <c r="D8">
        <f>SUMIFS(F8:Q8,$F$5:$Q$5,"&lt;="&amp;'[Steuerung.xlsx]Steuerung'!$F$7)</f>
        <v/>
      </c>
      <c r="E8">
        <f>IF($D$9=0,"n.a.",D8/$D$9)</f>
        <v/>
      </c>
      <c r="F8">
        <f>IF(COUNTIFS('[Import Monatsdaten.xlsx]Import Monatsdaten'!$C$7:$C$8,'[Steuerung.xlsx]Steuerung'!$F$6,'[Import Monatsdaten.xlsx]Import Monatsdaten'!$D$7:$D$8,1)&gt;0,SUMIFS('[Import Monatsdaten.xlsx]Import Monatsdaten'!$F$7:$F$8,'[Import Monatsdaten.xlsx]Import Monatsdaten'!$C$7:$C$8,'[Steuerung.xlsx]Steuerung'!$F$6,'[Import Monatsdaten.xlsx]Import Monatsdaten'!$D$7:$D$8,1),IF(COUNTIFS('[D Finanzen.xlsx]D Finanzen'!$A$45:$A$115,'[Steuerung.xlsx]Steuerung'!$F$6,'[D Finanzen.xlsx]D Finanzen'!$B$45:$B$115,F$5)=0,"",SUMIFS('[D Finanzen.xlsx]D Finanzen'!$E$45:$E$115,'[D Finanzen.xlsx]D Finanzen'!$A$45:$A$115,'[Steuerung.xlsx]Steuerung'!$F$6,'[D Finanzen.xlsx]D Finanzen'!$B$45:$B$115,F$5,'[D Finanzen.xlsx]D Finanzen'!$C$45:$C$115,20)))</f>
        <v/>
      </c>
      <c r="G8">
        <f>IF(COUNTIFS('[Import Monatsdaten.xlsx]Import Monatsdaten'!$C$7:$C$8,'[Steuerung.xlsx]Steuerung'!$F$6,'[Import Monatsdaten.xlsx]Import Monatsdaten'!$D$7:$D$8,2)&gt;0,SUMIFS('[Import Monatsdaten.xlsx]Import Monatsdaten'!$F$7:$F$8,'[Import Monatsdaten.xlsx]Import Monatsdaten'!$C$7:$C$8,'[Steuerung.xlsx]Steuerung'!$F$6,'[Import Monatsdaten.xlsx]Import Monatsdaten'!$D$7:$D$8,2),IF(COUNTIFS('[D Finanzen.xlsx]D Finanzen'!$A$45:$A$115,'[Steuerung.xlsx]Steuerung'!$F$6,'[D Finanzen.xlsx]D Finanzen'!$B$45:$B$115,G$5)=0,"",SUMIFS('[D Finanzen.xlsx]D Finanzen'!$E$45:$E$115,'[D Finanzen.xlsx]D Finanzen'!$A$45:$A$115,'[Steuerung.xlsx]Steuerung'!$F$6,'[D Finanzen.xlsx]D Finanzen'!$B$45:$B$115,G$5,'[D Finanzen.xlsx]D Finanzen'!$C$45:$C$115,20)))</f>
        <v/>
      </c>
      <c r="H8">
        <f>IF(COUNTIFS('[Import Monatsdaten.xlsx]Import Monatsdaten'!$C$7:$C$8,'[Steuerung.xlsx]Steuerung'!$F$6,'[Import Monatsdaten.xlsx]Import Monatsdaten'!$D$7:$D$8,3)&gt;0,SUMIFS('[Import Monatsdaten.xlsx]Import Monatsdaten'!$F$7:$F$8,'[Import Monatsdaten.xlsx]Import Monatsdaten'!$C$7:$C$8,'[Steuerung.xlsx]Steuerung'!$F$6,'[Import Monatsdaten.xlsx]Import Monatsdaten'!$D$7:$D$8,3),IF(COUNTIFS('[D Finanzen.xlsx]D Finanzen'!$A$45:$A$115,'[Steuerung.xlsx]Steuerung'!$F$6,'[D Finanzen.xlsx]D Finanzen'!$B$45:$B$115,H$5)=0,"",SUMIFS('[D Finanzen.xlsx]D Finanzen'!$E$45:$E$115,'[D Finanzen.xlsx]D Finanzen'!$A$45:$A$115,'[Steuerung.xlsx]Steuerung'!$F$6,'[D Finanzen.xlsx]D Finanzen'!$B$45:$B$115,H$5,'[D Finanzen.xlsx]D Finanzen'!$C$45:$C$115,20)))</f>
        <v/>
      </c>
      <c r="I8">
        <f>IF(COUNTIFS('[Import Monatsdaten.xlsx]Import Monatsdaten'!$C$7:$C$8,'[Steuerung.xlsx]Steuerung'!$F$6,'[Import Monatsdaten.xlsx]Import Monatsdaten'!$D$7:$D$8,4)&gt;0,SUMIFS('[Import Monatsdaten.xlsx]Import Monatsdaten'!$F$7:$F$8,'[Import Monatsdaten.xlsx]Import Monatsdaten'!$C$7:$C$8,'[Steuerung.xlsx]Steuerung'!$F$6,'[Import Monatsdaten.xlsx]Import Monatsdaten'!$D$7:$D$8,4),IF(COUNTIFS('[D Finanzen.xlsx]D Finanzen'!$A$45:$A$115,'[Steuerung.xlsx]Steuerung'!$F$6,'[D Finanzen.xlsx]D Finanzen'!$B$45:$B$115,I$5)=0,"",SUMIFS('[D Finanzen.xlsx]D Finanzen'!$E$45:$E$115,'[D Finanzen.xlsx]D Finanzen'!$A$45:$A$115,'[Steuerung.xlsx]Steuerung'!$F$6,'[D Finanzen.xlsx]D Finanzen'!$B$45:$B$115,I$5,'[D Finanzen.xlsx]D Finanzen'!$C$45:$C$115,20)))</f>
        <v/>
      </c>
      <c r="J8">
        <f>IF(COUNTIFS('[Import Monatsdaten.xlsx]Import Monatsdaten'!$C$7:$C$8,'[Steuerung.xlsx]Steuerung'!$F$6,'[Import Monatsdaten.xlsx]Import Monatsdaten'!$D$7:$D$8,5)&gt;0,SUMIFS('[Import Monatsdaten.xlsx]Import Monatsdaten'!$F$7:$F$8,'[Import Monatsdaten.xlsx]Import Monatsdaten'!$C$7:$C$8,'[Steuerung.xlsx]Steuerung'!$F$6,'[Import Monatsdaten.xlsx]Import Monatsdaten'!$D$7:$D$8,5),IF(COUNTIFS('[D Finanzen.xlsx]D Finanzen'!$A$45:$A$115,'[Steuerung.xlsx]Steuerung'!$F$6,'[D Finanzen.xlsx]D Finanzen'!$B$45:$B$115,J$5)=0,"",SUMIFS('[D Finanzen.xlsx]D Finanzen'!$E$45:$E$115,'[D Finanzen.xlsx]D Finanzen'!$A$45:$A$115,'[Steuerung.xlsx]Steuerung'!$F$6,'[D Finanzen.xlsx]D Finanzen'!$B$45:$B$115,J$5,'[D Finanzen.xlsx]D Finanzen'!$C$45:$C$115,20)))</f>
        <v/>
      </c>
      <c r="K8">
        <f>IF(COUNTIFS('[Import Monatsdaten.xlsx]Import Monatsdaten'!$C$7:$C$8,'[Steuerung.xlsx]Steuerung'!$F$6,'[Import Monatsdaten.xlsx]Import Monatsdaten'!$D$7:$D$8,6)&gt;0,SUMIFS('[Import Monatsdaten.xlsx]Import Monatsdaten'!$F$7:$F$8,'[Import Monatsdaten.xlsx]Import Monatsdaten'!$C$7:$C$8,'[Steuerung.xlsx]Steuerung'!$F$6,'[Import Monatsdaten.xlsx]Import Monatsdaten'!$D$7:$D$8,6),IF(COUNTIFS('[D Finanzen.xlsx]D Finanzen'!$A$45:$A$115,'[Steuerung.xlsx]Steuerung'!$F$6,'[D Finanzen.xlsx]D Finanzen'!$B$45:$B$115,K$5)=0,"",SUMIFS('[D Finanzen.xlsx]D Finanzen'!$E$45:$E$115,'[D Finanzen.xlsx]D Finanzen'!$A$45:$A$115,'[Steuerung.xlsx]Steuerung'!$F$6,'[D Finanzen.xlsx]D Finanzen'!$B$45:$B$115,K$5,'[D Finanzen.xlsx]D Finanzen'!$C$45:$C$115,20)))</f>
        <v/>
      </c>
      <c r="L8">
        <f>IF(COUNTIFS('[Import Monatsdaten.xlsx]Import Monatsdaten'!$C$7:$C$8,'[Steuerung.xlsx]Steuerung'!$F$6,'[Import Monatsdaten.xlsx]Import Monatsdaten'!$D$7:$D$8,7)&gt;0,SUMIFS('[Import Monatsdaten.xlsx]Import Monatsdaten'!$F$7:$F$8,'[Import Monatsdaten.xlsx]Import Monatsdaten'!$C$7:$C$8,'[Steuerung.xlsx]Steuerung'!$F$6,'[Import Monatsdaten.xlsx]Import Monatsdaten'!$D$7:$D$8,7),IF(COUNTIFS('[D Finanzen.xlsx]D Finanzen'!$A$45:$A$115,'[Steuerung.xlsx]Steuerung'!$F$6,'[D Finanzen.xlsx]D Finanzen'!$B$45:$B$115,L$5)=0,"",SUMIFS('[D Finanzen.xlsx]D Finanzen'!$E$45:$E$115,'[D Finanzen.xlsx]D Finanzen'!$A$45:$A$115,'[Steuerung.xlsx]Steuerung'!$F$6,'[D Finanzen.xlsx]D Finanzen'!$B$45:$B$115,L$5,'[D Finanzen.xlsx]D Finanzen'!$C$45:$C$115,20)))</f>
        <v/>
      </c>
      <c r="M8">
        <f>IF(COUNTIFS('[Import Monatsdaten.xlsx]Import Monatsdaten'!$C$7:$C$8,'[Steuerung.xlsx]Steuerung'!$F$6,'[Import Monatsdaten.xlsx]Import Monatsdaten'!$D$7:$D$8,8)&gt;0,SUMIFS('[Import Monatsdaten.xlsx]Import Monatsdaten'!$F$7:$F$8,'[Import Monatsdaten.xlsx]Import Monatsdaten'!$C$7:$C$8,'[Steuerung.xlsx]Steuerung'!$F$6,'[Import Monatsdaten.xlsx]Import Monatsdaten'!$D$7:$D$8,8),IF(COUNTIFS('[D Finanzen.xlsx]D Finanzen'!$A$45:$A$115,'[Steuerung.xlsx]Steuerung'!$F$6,'[D Finanzen.xlsx]D Finanzen'!$B$45:$B$115,M$5)=0,"",SUMIFS('[D Finanzen.xlsx]D Finanzen'!$E$45:$E$115,'[D Finanzen.xlsx]D Finanzen'!$A$45:$A$115,'[Steuerung.xlsx]Steuerung'!$F$6,'[D Finanzen.xlsx]D Finanzen'!$B$45:$B$115,M$5,'[D Finanzen.xlsx]D Finanzen'!$C$45:$C$115,20)))</f>
        <v/>
      </c>
      <c r="N8">
        <f>IF(COUNTIFS('[Import Monatsdaten.xlsx]Import Monatsdaten'!$C$7:$C$8,'[Steuerung.xlsx]Steuerung'!$F$6,'[Import Monatsdaten.xlsx]Import Monatsdaten'!$D$7:$D$8,9)&gt;0,SUMIFS('[Import Monatsdaten.xlsx]Import Monatsdaten'!$F$7:$F$8,'[Import Monatsdaten.xlsx]Import Monatsdaten'!$C$7:$C$8,'[Steuerung.xlsx]Steuerung'!$F$6,'[Import Monatsdaten.xlsx]Import Monatsdaten'!$D$7:$D$8,9),IF(COUNTIFS('[D Finanzen.xlsx]D Finanzen'!$A$45:$A$115,'[Steuerung.xlsx]Steuerung'!$F$6,'[D Finanzen.xlsx]D Finanzen'!$B$45:$B$115,N$5)=0,"",SUMIFS('[D Finanzen.xlsx]D Finanzen'!$E$45:$E$115,'[D Finanzen.xlsx]D Finanzen'!$A$45:$A$115,'[Steuerung.xlsx]Steuerung'!$F$6,'[D Finanzen.xlsx]D Finanzen'!$B$45:$B$115,N$5,'[D Finanzen.xlsx]D Finanzen'!$C$45:$C$115,20)))</f>
        <v/>
      </c>
      <c r="O8">
        <f>IF(COUNTIFS('[Import Monatsdaten.xlsx]Import Monatsdaten'!$C$7:$C$8,'[Steuerung.xlsx]Steuerung'!$F$6,'[Import Monatsdaten.xlsx]Import Monatsdaten'!$D$7:$D$8,10)&gt;0,SUMIFS('[Import Monatsdaten.xlsx]Import Monatsdaten'!$F$7:$F$8,'[Import Monatsdaten.xlsx]Import Monatsdaten'!$C$7:$C$8,'[Steuerung.xlsx]Steuerung'!$F$6,'[Import Monatsdaten.xlsx]Import Monatsdaten'!$D$7:$D$8,10),IF(COUNTIFS('[D Finanzen.xlsx]D Finanzen'!$A$45:$A$115,'[Steuerung.xlsx]Steuerung'!$F$6,'[D Finanzen.xlsx]D Finanzen'!$B$45:$B$115,O$5)=0,"",SUMIFS('[D Finanzen.xlsx]D Finanzen'!$E$45:$E$115,'[D Finanzen.xlsx]D Finanzen'!$A$45:$A$115,'[Steuerung.xlsx]Steuerung'!$F$6,'[D Finanzen.xlsx]D Finanzen'!$B$45:$B$115,O$5,'[D Finanzen.xlsx]D Finanzen'!$C$45:$C$115,20)))</f>
        <v/>
      </c>
      <c r="P8">
        <f>IF(COUNTIFS('[Import Monatsdaten.xlsx]Import Monatsdaten'!$C$7:$C$8,'[Steuerung.xlsx]Steuerung'!$F$6,'[Import Monatsdaten.xlsx]Import Monatsdaten'!$D$7:$D$8,11)&gt;0,SUMIFS('[Import Monatsdaten.xlsx]Import Monatsdaten'!$F$7:$F$8,'[Import Monatsdaten.xlsx]Import Monatsdaten'!$C$7:$C$8,'[Steuerung.xlsx]Steuerung'!$F$6,'[Import Monatsdaten.xlsx]Import Monatsdaten'!$D$7:$D$8,11),IF(COUNTIFS('[D Finanzen.xlsx]D Finanzen'!$A$45:$A$115,'[Steuerung.xlsx]Steuerung'!$F$6,'[D Finanzen.xlsx]D Finanzen'!$B$45:$B$115,P$5)=0,"",SUMIFS('[D Finanzen.xlsx]D Finanzen'!$E$45:$E$115,'[D Finanzen.xlsx]D Finanzen'!$A$45:$A$115,'[Steuerung.xlsx]Steuerung'!$F$6,'[D Finanzen.xlsx]D Finanzen'!$B$45:$B$115,P$5,'[D Finanzen.xlsx]D Finanzen'!$C$45:$C$115,20)))</f>
        <v/>
      </c>
      <c r="Q8">
        <f>IF(COUNTIFS('[Import Monatsdaten.xlsx]Import Monatsdaten'!$C$7:$C$8,'[Steuerung.xlsx]Steuerung'!$F$6,'[Import Monatsdaten.xlsx]Import Monatsdaten'!$D$7:$D$8,12)&gt;0,SUMIFS('[Import Monatsdaten.xlsx]Import Monatsdaten'!$F$7:$F$8,'[Import Monatsdaten.xlsx]Import Monatsdaten'!$C$7:$C$8,'[Steuerung.xlsx]Steuerung'!$F$6,'[Import Monatsdaten.xlsx]Import Monatsdaten'!$D$7:$D$8,12),IF(COUNTIFS('[D Finanzen.xlsx]D Finanzen'!$A$45:$A$115,'[Steuerung.xlsx]Steuerung'!$F$6,'[D Finanzen.xlsx]D Finanzen'!$B$45:$B$115,Q$5)=0,"",SUMIFS('[D Finanzen.xlsx]D Finanzen'!$E$45:$E$115,'[D Finanzen.xlsx]D Finanzen'!$A$45:$A$115,'[Steuerung.xlsx]Steuerung'!$F$6,'[D Finanzen.xlsx]D Finanzen'!$B$45:$B$115,Q$5,'[D Finanzen.xlsx]D Finanzen'!$C$45:$C$115,20)))</f>
        <v/>
      </c>
    </row>
    <row r="9">
      <c r="C9" t="inlineStr">
        <is>
          <t>Gesamtleistung</t>
        </is>
      </c>
      <c r="D9">
        <f>SUMIFS(F9:Q9,$F$5:$Q$5,"&lt;="&amp;'[Steuerung.xlsx]Steuerung'!$F$7)</f>
        <v/>
      </c>
      <c r="E9">
        <f>IF($D$9=0,"n.a.",D9/$D$9)</f>
        <v/>
      </c>
      <c r="F9">
        <f>IF(F7="","",SUM(F7:F8))</f>
        <v/>
      </c>
      <c r="G9">
        <f>IF(G7="","",SUM(G7:G8))</f>
        <v/>
      </c>
      <c r="H9">
        <f>IF(H7="","",SUM(H7:H8))</f>
        <v/>
      </c>
      <c r="I9">
        <f>IF(I7="","",SUM(I7:I8))</f>
        <v/>
      </c>
      <c r="J9">
        <f>IF(J7="","",SUM(J7:J8))</f>
        <v/>
      </c>
      <c r="K9">
        <f>IF(K7="","",SUM(K7:K8))</f>
        <v/>
      </c>
      <c r="L9">
        <f>IF(L7="","",SUM(L7:L8))</f>
        <v/>
      </c>
      <c r="M9">
        <f>IF(M7="","",SUM(M7:M8))</f>
        <v/>
      </c>
      <c r="N9">
        <f>IF(N7="","",SUM(N7:N8))</f>
        <v/>
      </c>
      <c r="O9">
        <f>IF(O7="","",SUM(O7:O8))</f>
        <v/>
      </c>
      <c r="P9">
        <f>IF(P7="","",SUM(P7:P8))</f>
        <v/>
      </c>
      <c r="Q9">
        <f>IF(Q7="","",SUM(Q7:Q8))</f>
        <v/>
      </c>
    </row>
    <row r="10">
      <c r="C10" t="inlineStr">
        <is>
          <t>Sonstige betriebliche Erträge</t>
        </is>
      </c>
      <c r="D10">
        <f>SUMIFS(F10:Q10,$F$5:$Q$5,"&lt;="&amp;'[Steuerung.xlsx]Steuerung'!$F$7)</f>
        <v/>
      </c>
      <c r="E10">
        <f>IF($D$9=0,"n.a.",D10/$D$9)</f>
        <v/>
      </c>
      <c r="F10">
        <f>IF(COUNTIFS('[Import Monatsdaten.xlsx]Import Monatsdaten'!$C$7:$C$8,'[Steuerung.xlsx]Steuerung'!$F$6,'[Import Monatsdaten.xlsx]Import Monatsdaten'!$D$7:$D$8,1)&gt;0,SUMIFS('[Import Monatsdaten.xlsx]Import Monatsdaten'!$G$7:$G$8,'[Import Monatsdaten.xlsx]Import Monatsdaten'!$C$7:$C$8,'[Steuerung.xlsx]Steuerung'!$F$6,'[Import Monatsdaten.xlsx]Import Monatsdaten'!$D$7:$D$8,1),IF(COUNTIFS('[D Finanzen.xlsx]D Finanzen'!$A$45:$A$115,'[Steuerung.xlsx]Steuerung'!$F$6,'[D Finanzen.xlsx]D Finanzen'!$B$45:$B$115,F$5)=0,"",SUMIFS('[D Finanzen.xlsx]D Finanzen'!$E$45:$E$115,'[D Finanzen.xlsx]D Finanzen'!$A$45:$A$115,'[Steuerung.xlsx]Steuerung'!$F$6,'[D Finanzen.xlsx]D Finanzen'!$B$45:$B$115,F$5,'[D Finanzen.xlsx]D Finanzen'!$C$45:$C$115,30)))</f>
        <v/>
      </c>
      <c r="G10">
        <f>IF(COUNTIFS('[Import Monatsdaten.xlsx]Import Monatsdaten'!$C$7:$C$8,'[Steuerung.xlsx]Steuerung'!$F$6,'[Import Monatsdaten.xlsx]Import Monatsdaten'!$D$7:$D$8,2)&gt;0,SUMIFS('[Import Monatsdaten.xlsx]Import Monatsdaten'!$G$7:$G$8,'[Import Monatsdaten.xlsx]Import Monatsdaten'!$C$7:$C$8,'[Steuerung.xlsx]Steuerung'!$F$6,'[Import Monatsdaten.xlsx]Import Monatsdaten'!$D$7:$D$8,2),IF(COUNTIFS('[D Finanzen.xlsx]D Finanzen'!$A$45:$A$115,'[Steuerung.xlsx]Steuerung'!$F$6,'[D Finanzen.xlsx]D Finanzen'!$B$45:$B$115,G$5)=0,"",SUMIFS('[D Finanzen.xlsx]D Finanzen'!$E$45:$E$115,'[D Finanzen.xlsx]D Finanzen'!$A$45:$A$115,'[Steuerung.xlsx]Steuerung'!$F$6,'[D Finanzen.xlsx]D Finanzen'!$B$45:$B$115,G$5,'[D Finanzen.xlsx]D Finanzen'!$C$45:$C$115,30)))</f>
        <v/>
      </c>
      <c r="H10">
        <f>IF(COUNTIFS('[Import Monatsdaten.xlsx]Import Monatsdaten'!$C$7:$C$8,'[Steuerung.xlsx]Steuerung'!$F$6,'[Import Monatsdaten.xlsx]Import Monatsdaten'!$D$7:$D$8,3)&gt;0,SUMIFS('[Import Monatsdaten.xlsx]Import Monatsdaten'!$G$7:$G$8,'[Import Monatsdaten.xlsx]Import Monatsdaten'!$C$7:$C$8,'[Steuerung.xlsx]Steuerung'!$F$6,'[Import Monatsdaten.xlsx]Import Monatsdaten'!$D$7:$D$8,3),IF(COUNTIFS('[D Finanzen.xlsx]D Finanzen'!$A$45:$A$115,'[Steuerung.xlsx]Steuerung'!$F$6,'[D Finanzen.xlsx]D Finanzen'!$B$45:$B$115,H$5)=0,"",SUMIFS('[D Finanzen.xlsx]D Finanzen'!$E$45:$E$115,'[D Finanzen.xlsx]D Finanzen'!$A$45:$A$115,'[Steuerung.xlsx]Steuerung'!$F$6,'[D Finanzen.xlsx]D Finanzen'!$B$45:$B$115,H$5,'[D Finanzen.xlsx]D Finanzen'!$C$45:$C$115,30)))</f>
        <v/>
      </c>
      <c r="I10">
        <f>IF(COUNTIFS('[Import Monatsdaten.xlsx]Import Monatsdaten'!$C$7:$C$8,'[Steuerung.xlsx]Steuerung'!$F$6,'[Import Monatsdaten.xlsx]Import Monatsdaten'!$D$7:$D$8,4)&gt;0,SUMIFS('[Import Monatsdaten.xlsx]Import Monatsdaten'!$G$7:$G$8,'[Import Monatsdaten.xlsx]Import Monatsdaten'!$C$7:$C$8,'[Steuerung.xlsx]Steuerung'!$F$6,'[Import Monatsdaten.xlsx]Import Monatsdaten'!$D$7:$D$8,4),IF(COUNTIFS('[D Finanzen.xlsx]D Finanzen'!$A$45:$A$115,'[Steuerung.xlsx]Steuerung'!$F$6,'[D Finanzen.xlsx]D Finanzen'!$B$45:$B$115,I$5)=0,"",SUMIFS('[D Finanzen.xlsx]D Finanzen'!$E$45:$E$115,'[D Finanzen.xlsx]D Finanzen'!$A$45:$A$115,'[Steuerung.xlsx]Steuerung'!$F$6,'[D Finanzen.xlsx]D Finanzen'!$B$45:$B$115,I$5,'[D Finanzen.xlsx]D Finanzen'!$C$45:$C$115,30)))</f>
        <v/>
      </c>
      <c r="J10">
        <f>IF(COUNTIFS('[Import Monatsdaten.xlsx]Import Monatsdaten'!$C$7:$C$8,'[Steuerung.xlsx]Steuerung'!$F$6,'[Import Monatsdaten.xlsx]Import Monatsdaten'!$D$7:$D$8,5)&gt;0,SUMIFS('[Import Monatsdaten.xlsx]Import Monatsdaten'!$G$7:$G$8,'[Import Monatsdaten.xlsx]Import Monatsdaten'!$C$7:$C$8,'[Steuerung.xlsx]Steuerung'!$F$6,'[Import Monatsdaten.xlsx]Import Monatsdaten'!$D$7:$D$8,5),IF(COUNTIFS('[D Finanzen.xlsx]D Finanzen'!$A$45:$A$115,'[Steuerung.xlsx]Steuerung'!$F$6,'[D Finanzen.xlsx]D Finanzen'!$B$45:$B$115,J$5)=0,"",SUMIFS('[D Finanzen.xlsx]D Finanzen'!$E$45:$E$115,'[D Finanzen.xlsx]D Finanzen'!$A$45:$A$115,'[Steuerung.xlsx]Steuerung'!$F$6,'[D Finanzen.xlsx]D Finanzen'!$B$45:$B$115,J$5,'[D Finanzen.xlsx]D Finanzen'!$C$45:$C$115,30)))</f>
        <v/>
      </c>
      <c r="K10">
        <f>IF(COUNTIFS('[Import Monatsdaten.xlsx]Import Monatsdaten'!$C$7:$C$8,'[Steuerung.xlsx]Steuerung'!$F$6,'[Import Monatsdaten.xlsx]Import Monatsdaten'!$D$7:$D$8,6)&gt;0,SUMIFS('[Import Monatsdaten.xlsx]Import Monatsdaten'!$G$7:$G$8,'[Import Monatsdaten.xlsx]Import Monatsdaten'!$C$7:$C$8,'[Steuerung.xlsx]Steuerung'!$F$6,'[Import Monatsdaten.xlsx]Import Monatsdaten'!$D$7:$D$8,6),IF(COUNTIFS('[D Finanzen.xlsx]D Finanzen'!$A$45:$A$115,'[Steuerung.xlsx]Steuerung'!$F$6,'[D Finanzen.xlsx]D Finanzen'!$B$45:$B$115,K$5)=0,"",SUMIFS('[D Finanzen.xlsx]D Finanzen'!$E$45:$E$115,'[D Finanzen.xlsx]D Finanzen'!$A$45:$A$115,'[Steuerung.xlsx]Steuerung'!$F$6,'[D Finanzen.xlsx]D Finanzen'!$B$45:$B$115,K$5,'[D Finanzen.xlsx]D Finanzen'!$C$45:$C$115,30)))</f>
        <v/>
      </c>
      <c r="L10">
        <f>IF(COUNTIFS('[Import Monatsdaten.xlsx]Import Monatsdaten'!$C$7:$C$8,'[Steuerung.xlsx]Steuerung'!$F$6,'[Import Monatsdaten.xlsx]Import Monatsdaten'!$D$7:$D$8,7)&gt;0,SUMIFS('[Import Monatsdaten.xlsx]Import Monatsdaten'!$G$7:$G$8,'[Import Monatsdaten.xlsx]Import Monatsdaten'!$C$7:$C$8,'[Steuerung.xlsx]Steuerung'!$F$6,'[Import Monatsdaten.xlsx]Import Monatsdaten'!$D$7:$D$8,7),IF(COUNTIFS('[D Finanzen.xlsx]D Finanzen'!$A$45:$A$115,'[Steuerung.xlsx]Steuerung'!$F$6,'[D Finanzen.xlsx]D Finanzen'!$B$45:$B$115,L$5)=0,"",SUMIFS('[D Finanzen.xlsx]D Finanzen'!$E$45:$E$115,'[D Finanzen.xlsx]D Finanzen'!$A$45:$A$115,'[Steuerung.xlsx]Steuerung'!$F$6,'[D Finanzen.xlsx]D Finanzen'!$B$45:$B$115,L$5,'[D Finanzen.xlsx]D Finanzen'!$C$45:$C$115,30)))</f>
        <v/>
      </c>
      <c r="M10">
        <f>IF(COUNTIFS('[Import Monatsdaten.xlsx]Import Monatsdaten'!$C$7:$C$8,'[Steuerung.xlsx]Steuerung'!$F$6,'[Import Monatsdaten.xlsx]Import Monatsdaten'!$D$7:$D$8,8)&gt;0,SUMIFS('[Import Monatsdaten.xlsx]Import Monatsdaten'!$G$7:$G$8,'[Import Monatsdaten.xlsx]Import Monatsdaten'!$C$7:$C$8,'[Steuerung.xlsx]Steuerung'!$F$6,'[Import Monatsdaten.xlsx]Import Monatsdaten'!$D$7:$D$8,8),IF(COUNTIFS('[D Finanzen.xlsx]D Finanzen'!$A$45:$A$115,'[Steuerung.xlsx]Steuerung'!$F$6,'[D Finanzen.xlsx]D Finanzen'!$B$45:$B$115,M$5)=0,"",SUMIFS('[D Finanzen.xlsx]D Finanzen'!$E$45:$E$115,'[D Finanzen.xlsx]D Finanzen'!$A$45:$A$115,'[Steuerung.xlsx]Steuerung'!$F$6,'[D Finanzen.xlsx]D Finanzen'!$B$45:$B$115,M$5,'[D Finanzen.xlsx]D Finanzen'!$C$45:$C$115,30)))</f>
        <v/>
      </c>
      <c r="N10">
        <f>IF(COUNTIFS('[Import Monatsdaten.xlsx]Import Monatsdaten'!$C$7:$C$8,'[Steuerung.xlsx]Steuerung'!$F$6,'[Import Monatsdaten.xlsx]Import Monatsdaten'!$D$7:$D$8,9)&gt;0,SUMIFS('[Import Monatsdaten.xlsx]Import Monatsdaten'!$G$7:$G$8,'[Import Monatsdaten.xlsx]Import Monatsdaten'!$C$7:$C$8,'[Steuerung.xlsx]Steuerung'!$F$6,'[Import Monatsdaten.xlsx]Import Monatsdaten'!$D$7:$D$8,9),IF(COUNTIFS('[D Finanzen.xlsx]D Finanzen'!$A$45:$A$115,'[Steuerung.xlsx]Steuerung'!$F$6,'[D Finanzen.xlsx]D Finanzen'!$B$45:$B$115,N$5)=0,"",SUMIFS('[D Finanzen.xlsx]D Finanzen'!$E$45:$E$115,'[D Finanzen.xlsx]D Finanzen'!$A$45:$A$115,'[Steuerung.xlsx]Steuerung'!$F$6,'[D Finanzen.xlsx]D Finanzen'!$B$45:$B$115,N$5,'[D Finanzen.xlsx]D Finanzen'!$C$45:$C$115,30)))</f>
        <v/>
      </c>
      <c r="O10">
        <f>IF(COUNTIFS('[Import Monatsdaten.xlsx]Import Monatsdaten'!$C$7:$C$8,'[Steuerung.xlsx]Steuerung'!$F$6,'[Import Monatsdaten.xlsx]Import Monatsdaten'!$D$7:$D$8,10)&gt;0,SUMIFS('[Import Monatsdaten.xlsx]Import Monatsdaten'!$G$7:$G$8,'[Import Monatsdaten.xlsx]Import Monatsdaten'!$C$7:$C$8,'[Steuerung.xlsx]Steuerung'!$F$6,'[Import Monatsdaten.xlsx]Import Monatsdaten'!$D$7:$D$8,10),IF(COUNTIFS('[D Finanzen.xlsx]D Finanzen'!$A$45:$A$115,'[Steuerung.xlsx]Steuerung'!$F$6,'[D Finanzen.xlsx]D Finanzen'!$B$45:$B$115,O$5)=0,"",SUMIFS('[D Finanzen.xlsx]D Finanzen'!$E$45:$E$115,'[D Finanzen.xlsx]D Finanzen'!$A$45:$A$115,'[Steuerung.xlsx]Steuerung'!$F$6,'[D Finanzen.xlsx]D Finanzen'!$B$45:$B$115,O$5,'[D Finanzen.xlsx]D Finanzen'!$C$45:$C$115,30)))</f>
        <v/>
      </c>
      <c r="P10">
        <f>IF(COUNTIFS('[Import Monatsdaten.xlsx]Import Monatsdaten'!$C$7:$C$8,'[Steuerung.xlsx]Steuerung'!$F$6,'[Import Monatsdaten.xlsx]Import Monatsdaten'!$D$7:$D$8,11)&gt;0,SUMIFS('[Import Monatsdaten.xlsx]Import Monatsdaten'!$G$7:$G$8,'[Import Monatsdaten.xlsx]Import Monatsdaten'!$C$7:$C$8,'[Steuerung.xlsx]Steuerung'!$F$6,'[Import Monatsdaten.xlsx]Import Monatsdaten'!$D$7:$D$8,11),IF(COUNTIFS('[D Finanzen.xlsx]D Finanzen'!$A$45:$A$115,'[Steuerung.xlsx]Steuerung'!$F$6,'[D Finanzen.xlsx]D Finanzen'!$B$45:$B$115,P$5)=0,"",SUMIFS('[D Finanzen.xlsx]D Finanzen'!$E$45:$E$115,'[D Finanzen.xlsx]D Finanzen'!$A$45:$A$115,'[Steuerung.xlsx]Steuerung'!$F$6,'[D Finanzen.xlsx]D Finanzen'!$B$45:$B$115,P$5,'[D Finanzen.xlsx]D Finanzen'!$C$45:$C$115,30)))</f>
        <v/>
      </c>
      <c r="Q10">
        <f>IF(COUNTIFS('[Import Monatsdaten.xlsx]Import Monatsdaten'!$C$7:$C$8,'[Steuerung.xlsx]Steuerung'!$F$6,'[Import Monatsdaten.xlsx]Import Monatsdaten'!$D$7:$D$8,12)&gt;0,SUMIFS('[Import Monatsdaten.xlsx]Import Monatsdaten'!$G$7:$G$8,'[Import Monatsdaten.xlsx]Import Monatsdaten'!$C$7:$C$8,'[Steuerung.xlsx]Steuerung'!$F$6,'[Import Monatsdaten.xlsx]Import Monatsdaten'!$D$7:$D$8,12),IF(COUNTIFS('[D Finanzen.xlsx]D Finanzen'!$A$45:$A$115,'[Steuerung.xlsx]Steuerung'!$F$6,'[D Finanzen.xlsx]D Finanzen'!$B$45:$B$115,Q$5)=0,"",SUMIFS('[D Finanzen.xlsx]D Finanzen'!$E$45:$E$115,'[D Finanzen.xlsx]D Finanzen'!$A$45:$A$115,'[Steuerung.xlsx]Steuerung'!$F$6,'[D Finanzen.xlsx]D Finanzen'!$B$45:$B$115,Q$5,'[D Finanzen.xlsx]D Finanzen'!$C$45:$C$115,30)))</f>
        <v/>
      </c>
    </row>
    <row r="11">
      <c r="C11" t="inlineStr">
        <is>
          <t>Materialaufwand</t>
        </is>
      </c>
      <c r="D11">
        <f>SUMIFS(F11:Q11,$F$5:$Q$5,"&lt;="&amp;'[Steuerung.xlsx]Steuerung'!$F$7)</f>
        <v/>
      </c>
      <c r="E11">
        <f>IF($D$9=0,"n.a.",D11/$D$9)</f>
        <v/>
      </c>
      <c r="F11">
        <f>IF(COUNTIFS('[Import Monatsdaten.xlsx]Import Monatsdaten'!$C$7:$C$8,'[Steuerung.xlsx]Steuerung'!$F$6,'[Import Monatsdaten.xlsx]Import Monatsdaten'!$D$7:$D$8,1)&gt;0,SUMIFS('[Import Monatsdaten.xlsx]Import Monatsdaten'!$H$7:$H$8,'[Import Monatsdaten.xlsx]Import Monatsdaten'!$C$7:$C$8,'[Steuerung.xlsx]Steuerung'!$F$6,'[Import Monatsdaten.xlsx]Import Monatsdaten'!$D$7:$D$8,1),IF(COUNTIFS('[D Finanzen.xlsx]D Finanzen'!$A$45:$A$115,'[Steuerung.xlsx]Steuerung'!$F$6,'[D Finanzen.xlsx]D Finanzen'!$B$45:$B$115,F$5)=0,"",SUMIFS('[D Finanzen.xlsx]D Finanzen'!$E$45:$E$115,'[D Finanzen.xlsx]D Finanzen'!$A$45:$A$115,'[Steuerung.xlsx]Steuerung'!$F$6,'[D Finanzen.xlsx]D Finanzen'!$B$45:$B$115,F$5,'[D Finanzen.xlsx]D Finanzen'!$C$45:$C$115,40)))</f>
        <v/>
      </c>
      <c r="G11">
        <f>IF(COUNTIFS('[Import Monatsdaten.xlsx]Import Monatsdaten'!$C$7:$C$8,'[Steuerung.xlsx]Steuerung'!$F$6,'[Import Monatsdaten.xlsx]Import Monatsdaten'!$D$7:$D$8,2)&gt;0,SUMIFS('[Import Monatsdaten.xlsx]Import Monatsdaten'!$H$7:$H$8,'[Import Monatsdaten.xlsx]Import Monatsdaten'!$C$7:$C$8,'[Steuerung.xlsx]Steuerung'!$F$6,'[Import Monatsdaten.xlsx]Import Monatsdaten'!$D$7:$D$8,2),IF(COUNTIFS('[D Finanzen.xlsx]D Finanzen'!$A$45:$A$115,'[Steuerung.xlsx]Steuerung'!$F$6,'[D Finanzen.xlsx]D Finanzen'!$B$45:$B$115,G$5)=0,"",SUMIFS('[D Finanzen.xlsx]D Finanzen'!$E$45:$E$115,'[D Finanzen.xlsx]D Finanzen'!$A$45:$A$115,'[Steuerung.xlsx]Steuerung'!$F$6,'[D Finanzen.xlsx]D Finanzen'!$B$45:$B$115,G$5,'[D Finanzen.xlsx]D Finanzen'!$C$45:$C$115,40)))</f>
        <v/>
      </c>
      <c r="H11">
        <f>IF(COUNTIFS('[Import Monatsdaten.xlsx]Import Monatsdaten'!$C$7:$C$8,'[Steuerung.xlsx]Steuerung'!$F$6,'[Import Monatsdaten.xlsx]Import Monatsdaten'!$D$7:$D$8,3)&gt;0,SUMIFS('[Import Monatsdaten.xlsx]Import Monatsdaten'!$H$7:$H$8,'[Import Monatsdaten.xlsx]Import Monatsdaten'!$C$7:$C$8,'[Steuerung.xlsx]Steuerung'!$F$6,'[Import Monatsdaten.xlsx]Import Monatsdaten'!$D$7:$D$8,3),IF(COUNTIFS('[D Finanzen.xlsx]D Finanzen'!$A$45:$A$115,'[Steuerung.xlsx]Steuerung'!$F$6,'[D Finanzen.xlsx]D Finanzen'!$B$45:$B$115,H$5)=0,"",SUMIFS('[D Finanzen.xlsx]D Finanzen'!$E$45:$E$115,'[D Finanzen.xlsx]D Finanzen'!$A$45:$A$115,'[Steuerung.xlsx]Steuerung'!$F$6,'[D Finanzen.xlsx]D Finanzen'!$B$45:$B$115,H$5,'[D Finanzen.xlsx]D Finanzen'!$C$45:$C$115,40)))</f>
        <v/>
      </c>
      <c r="I11">
        <f>IF(COUNTIFS('[Import Monatsdaten.xlsx]Import Monatsdaten'!$C$7:$C$8,'[Steuerung.xlsx]Steuerung'!$F$6,'[Import Monatsdaten.xlsx]Import Monatsdaten'!$D$7:$D$8,4)&gt;0,SUMIFS('[Import Monatsdaten.xlsx]Import Monatsdaten'!$H$7:$H$8,'[Import Monatsdaten.xlsx]Import Monatsdaten'!$C$7:$C$8,'[Steuerung.xlsx]Steuerung'!$F$6,'[Import Monatsdaten.xlsx]Import Monatsdaten'!$D$7:$D$8,4),IF(COUNTIFS('[D Finanzen.xlsx]D Finanzen'!$A$45:$A$115,'[Steuerung.xlsx]Steuerung'!$F$6,'[D Finanzen.xlsx]D Finanzen'!$B$45:$B$115,I$5)=0,"",SUMIFS('[D Finanzen.xlsx]D Finanzen'!$E$45:$E$115,'[D Finanzen.xlsx]D Finanzen'!$A$45:$A$115,'[Steuerung.xlsx]Steuerung'!$F$6,'[D Finanzen.xlsx]D Finanzen'!$B$45:$B$115,I$5,'[D Finanzen.xlsx]D Finanzen'!$C$45:$C$115,40)))</f>
        <v/>
      </c>
      <c r="J11">
        <f>IF(COUNTIFS('[Import Monatsdaten.xlsx]Import Monatsdaten'!$C$7:$C$8,'[Steuerung.xlsx]Steuerung'!$F$6,'[Import Monatsdaten.xlsx]Import Monatsdaten'!$D$7:$D$8,5)&gt;0,SUMIFS('[Import Monatsdaten.xlsx]Import Monatsdaten'!$H$7:$H$8,'[Import Monatsdaten.xlsx]Import Monatsdaten'!$C$7:$C$8,'[Steuerung.xlsx]Steuerung'!$F$6,'[Import Monatsdaten.xlsx]Import Monatsdaten'!$D$7:$D$8,5),IF(COUNTIFS('[D Finanzen.xlsx]D Finanzen'!$A$45:$A$115,'[Steuerung.xlsx]Steuerung'!$F$6,'[D Finanzen.xlsx]D Finanzen'!$B$45:$B$115,J$5)=0,"",SUMIFS('[D Finanzen.xlsx]D Finanzen'!$E$45:$E$115,'[D Finanzen.xlsx]D Finanzen'!$A$45:$A$115,'[Steuerung.xlsx]Steuerung'!$F$6,'[D Finanzen.xlsx]D Finanzen'!$B$45:$B$115,J$5,'[D Finanzen.xlsx]D Finanzen'!$C$45:$C$115,40)))</f>
        <v/>
      </c>
      <c r="K11">
        <f>IF(COUNTIFS('[Import Monatsdaten.xlsx]Import Monatsdaten'!$C$7:$C$8,'[Steuerung.xlsx]Steuerung'!$F$6,'[Import Monatsdaten.xlsx]Import Monatsdaten'!$D$7:$D$8,6)&gt;0,SUMIFS('[Import Monatsdaten.xlsx]Import Monatsdaten'!$H$7:$H$8,'[Import Monatsdaten.xlsx]Import Monatsdaten'!$C$7:$C$8,'[Steuerung.xlsx]Steuerung'!$F$6,'[Import Monatsdaten.xlsx]Import Monatsdaten'!$D$7:$D$8,6),IF(COUNTIFS('[D Finanzen.xlsx]D Finanzen'!$A$45:$A$115,'[Steuerung.xlsx]Steuerung'!$F$6,'[D Finanzen.xlsx]D Finanzen'!$B$45:$B$115,K$5)=0,"",SUMIFS('[D Finanzen.xlsx]D Finanzen'!$E$45:$E$115,'[D Finanzen.xlsx]D Finanzen'!$A$45:$A$115,'[Steuerung.xlsx]Steuerung'!$F$6,'[D Finanzen.xlsx]D Finanzen'!$B$45:$B$115,K$5,'[D Finanzen.xlsx]D Finanzen'!$C$45:$C$115,40)))</f>
        <v/>
      </c>
      <c r="L11">
        <f>IF(COUNTIFS('[Import Monatsdaten.xlsx]Import Monatsdaten'!$C$7:$C$8,'[Steuerung.xlsx]Steuerung'!$F$6,'[Import Monatsdaten.xlsx]Import Monatsdaten'!$D$7:$D$8,7)&gt;0,SUMIFS('[Import Monatsdaten.xlsx]Import Monatsdaten'!$H$7:$H$8,'[Import Monatsdaten.xlsx]Import Monatsdaten'!$C$7:$C$8,'[Steuerung.xlsx]Steuerung'!$F$6,'[Import Monatsdaten.xlsx]Import Monatsdaten'!$D$7:$D$8,7),IF(COUNTIFS('[D Finanzen.xlsx]D Finanzen'!$A$45:$A$115,'[Steuerung.xlsx]Steuerung'!$F$6,'[D Finanzen.xlsx]D Finanzen'!$B$45:$B$115,L$5)=0,"",SUMIFS('[D Finanzen.xlsx]D Finanzen'!$E$45:$E$115,'[D Finanzen.xlsx]D Finanzen'!$A$45:$A$115,'[Steuerung.xlsx]Steuerung'!$F$6,'[D Finanzen.xlsx]D Finanzen'!$B$45:$B$115,L$5,'[D Finanzen.xlsx]D Finanzen'!$C$45:$C$115,40)))</f>
        <v/>
      </c>
      <c r="M11">
        <f>IF(COUNTIFS('[Import Monatsdaten.xlsx]Import Monatsdaten'!$C$7:$C$8,'[Steuerung.xlsx]Steuerung'!$F$6,'[Import Monatsdaten.xlsx]Import Monatsdaten'!$D$7:$D$8,8)&gt;0,SUMIFS('[Import Monatsdaten.xlsx]Import Monatsdaten'!$H$7:$H$8,'[Import Monatsdaten.xlsx]Import Monatsdaten'!$C$7:$C$8,'[Steuerung.xlsx]Steuerung'!$F$6,'[Import Monatsdaten.xlsx]Import Monatsdaten'!$D$7:$D$8,8),IF(COUNTIFS('[D Finanzen.xlsx]D Finanzen'!$A$45:$A$115,'[Steuerung.xlsx]Steuerung'!$F$6,'[D Finanzen.xlsx]D Finanzen'!$B$45:$B$115,M$5)=0,"",SUMIFS('[D Finanzen.xlsx]D Finanzen'!$E$45:$E$115,'[D Finanzen.xlsx]D Finanzen'!$A$45:$A$115,'[Steuerung.xlsx]Steuerung'!$F$6,'[D Finanzen.xlsx]D Finanzen'!$B$45:$B$115,M$5,'[D Finanzen.xlsx]D Finanzen'!$C$45:$C$115,40)))</f>
        <v/>
      </c>
      <c r="N11">
        <f>IF(COUNTIFS('[Import Monatsdaten.xlsx]Import Monatsdaten'!$C$7:$C$8,'[Steuerung.xlsx]Steuerung'!$F$6,'[Import Monatsdaten.xlsx]Import Monatsdaten'!$D$7:$D$8,9)&gt;0,SUMIFS('[Import Monatsdaten.xlsx]Import Monatsdaten'!$H$7:$H$8,'[Import Monatsdaten.xlsx]Import Monatsdaten'!$C$7:$C$8,'[Steuerung.xlsx]Steuerung'!$F$6,'[Import Monatsdaten.xlsx]Import Monatsdaten'!$D$7:$D$8,9),IF(COUNTIFS('[D Finanzen.xlsx]D Finanzen'!$A$45:$A$115,'[Steuerung.xlsx]Steuerung'!$F$6,'[D Finanzen.xlsx]D Finanzen'!$B$45:$B$115,N$5)=0,"",SUMIFS('[D Finanzen.xlsx]D Finanzen'!$E$45:$E$115,'[D Finanzen.xlsx]D Finanzen'!$A$45:$A$115,'[Steuerung.xlsx]Steuerung'!$F$6,'[D Finanzen.xlsx]D Finanzen'!$B$45:$B$115,N$5,'[D Finanzen.xlsx]D Finanzen'!$C$45:$C$115,40)))</f>
        <v/>
      </c>
      <c r="O11">
        <f>IF(COUNTIFS('[Import Monatsdaten.xlsx]Import Monatsdaten'!$C$7:$C$8,'[Steuerung.xlsx]Steuerung'!$F$6,'[Import Monatsdaten.xlsx]Import Monatsdaten'!$D$7:$D$8,10)&gt;0,SUMIFS('[Import Monatsdaten.xlsx]Import Monatsdaten'!$H$7:$H$8,'[Import Monatsdaten.xlsx]Import Monatsdaten'!$C$7:$C$8,'[Steuerung.xlsx]Steuerung'!$F$6,'[Import Monatsdaten.xlsx]Import Monatsdaten'!$D$7:$D$8,10),IF(COUNTIFS('[D Finanzen.xlsx]D Finanzen'!$A$45:$A$115,'[Steuerung.xlsx]Steuerung'!$F$6,'[D Finanzen.xlsx]D Finanzen'!$B$45:$B$115,O$5)=0,"",SUMIFS('[D Finanzen.xlsx]D Finanzen'!$E$45:$E$115,'[D Finanzen.xlsx]D Finanzen'!$A$45:$A$115,'[Steuerung.xlsx]Steuerung'!$F$6,'[D Finanzen.xlsx]D Finanzen'!$B$45:$B$115,O$5,'[D Finanzen.xlsx]D Finanzen'!$C$45:$C$115,40)))</f>
        <v/>
      </c>
      <c r="P11">
        <f>IF(COUNTIFS('[Import Monatsdaten.xlsx]Import Monatsdaten'!$C$7:$C$8,'[Steuerung.xlsx]Steuerung'!$F$6,'[Import Monatsdaten.xlsx]Import Monatsdaten'!$D$7:$D$8,11)&gt;0,SUMIFS('[Import Monatsdaten.xlsx]Import Monatsdaten'!$H$7:$H$8,'[Import Monatsdaten.xlsx]Import Monatsdaten'!$C$7:$C$8,'[Steuerung.xlsx]Steuerung'!$F$6,'[Import Monatsdaten.xlsx]Import Monatsdaten'!$D$7:$D$8,11),IF(COUNTIFS('[D Finanzen.xlsx]D Finanzen'!$A$45:$A$115,'[Steuerung.xlsx]Steuerung'!$F$6,'[D Finanzen.xlsx]D Finanzen'!$B$45:$B$115,P$5)=0,"",SUMIFS('[D Finanzen.xlsx]D Finanzen'!$E$45:$E$115,'[D Finanzen.xlsx]D Finanzen'!$A$45:$A$115,'[Steuerung.xlsx]Steuerung'!$F$6,'[D Finanzen.xlsx]D Finanzen'!$B$45:$B$115,P$5,'[D Finanzen.xlsx]D Finanzen'!$C$45:$C$115,40)))</f>
        <v/>
      </c>
      <c r="Q11">
        <f>IF(COUNTIFS('[Import Monatsdaten.xlsx]Import Monatsdaten'!$C$7:$C$8,'[Steuerung.xlsx]Steuerung'!$F$6,'[Import Monatsdaten.xlsx]Import Monatsdaten'!$D$7:$D$8,12)&gt;0,SUMIFS('[Import Monatsdaten.xlsx]Import Monatsdaten'!$H$7:$H$8,'[Import Monatsdaten.xlsx]Import Monatsdaten'!$C$7:$C$8,'[Steuerung.xlsx]Steuerung'!$F$6,'[Import Monatsdaten.xlsx]Import Monatsdaten'!$D$7:$D$8,12),IF(COUNTIFS('[D Finanzen.xlsx]D Finanzen'!$A$45:$A$115,'[Steuerung.xlsx]Steuerung'!$F$6,'[D Finanzen.xlsx]D Finanzen'!$B$45:$B$115,Q$5)=0,"",SUMIFS('[D Finanzen.xlsx]D Finanzen'!$E$45:$E$115,'[D Finanzen.xlsx]D Finanzen'!$A$45:$A$115,'[Steuerung.xlsx]Steuerung'!$F$6,'[D Finanzen.xlsx]D Finanzen'!$B$45:$B$115,Q$5,'[D Finanzen.xlsx]D Finanzen'!$C$45:$C$115,40)))</f>
        <v/>
      </c>
    </row>
    <row r="12">
      <c r="C12" t="inlineStr">
        <is>
          <t>Personalaufwand</t>
        </is>
      </c>
      <c r="D12">
        <f>SUMIFS(F12:Q12,$F$5:$Q$5,"&lt;="&amp;'[Steuerung.xlsx]Steuerung'!$F$7)</f>
        <v/>
      </c>
      <c r="E12">
        <f>IF($D$9=0,"n.a.",D12/$D$9)</f>
        <v/>
      </c>
      <c r="F12">
        <f>IF(COUNTIFS('[Import Monatsdaten.xlsx]Import Monatsdaten'!$C$7:$C$8,'[Steuerung.xlsx]Steuerung'!$F$6,'[Import Monatsdaten.xlsx]Import Monatsdaten'!$D$7:$D$8,1)&gt;0,SUMIFS('[Import Monatsdaten.xlsx]Import Monatsdaten'!$I$7:$I$8,'[Import Monatsdaten.xlsx]Import Monatsdaten'!$C$7:$C$8,'[Steuerung.xlsx]Steuerung'!$F$6,'[Import Monatsdaten.xlsx]Import Monatsdaten'!$D$7:$D$8,1),IF(COUNTIFS('[D Finanzen.xlsx]D Finanzen'!$A$45:$A$115,'[Steuerung.xlsx]Steuerung'!$F$6,'[D Finanzen.xlsx]D Finanzen'!$B$45:$B$115,F$5)=0,"",SUMIFS('[D Finanzen.xlsx]D Finanzen'!$E$45:$E$115,'[D Finanzen.xlsx]D Finanzen'!$A$45:$A$115,'[Steuerung.xlsx]Steuerung'!$F$6,'[D Finanzen.xlsx]D Finanzen'!$B$45:$B$115,F$5,'[D Finanzen.xlsx]D Finanzen'!$C$45:$C$115,50)))</f>
        <v/>
      </c>
      <c r="G12">
        <f>IF(COUNTIFS('[Import Monatsdaten.xlsx]Import Monatsdaten'!$C$7:$C$8,'[Steuerung.xlsx]Steuerung'!$F$6,'[Import Monatsdaten.xlsx]Import Monatsdaten'!$D$7:$D$8,2)&gt;0,SUMIFS('[Import Monatsdaten.xlsx]Import Monatsdaten'!$I$7:$I$8,'[Import Monatsdaten.xlsx]Import Monatsdaten'!$C$7:$C$8,'[Steuerung.xlsx]Steuerung'!$F$6,'[Import Monatsdaten.xlsx]Import Monatsdaten'!$D$7:$D$8,2),IF(COUNTIFS('[D Finanzen.xlsx]D Finanzen'!$A$45:$A$115,'[Steuerung.xlsx]Steuerung'!$F$6,'[D Finanzen.xlsx]D Finanzen'!$B$45:$B$115,G$5)=0,"",SUMIFS('[D Finanzen.xlsx]D Finanzen'!$E$45:$E$115,'[D Finanzen.xlsx]D Finanzen'!$A$45:$A$115,'[Steuerung.xlsx]Steuerung'!$F$6,'[D Finanzen.xlsx]D Finanzen'!$B$45:$B$115,G$5,'[D Finanzen.xlsx]D Finanzen'!$C$45:$C$115,50)))</f>
        <v/>
      </c>
      <c r="H12">
        <f>IF(COUNTIFS('[Import Monatsdaten.xlsx]Import Monatsdaten'!$C$7:$C$8,'[Steuerung.xlsx]Steuerung'!$F$6,'[Import Monatsdaten.xlsx]Import Monatsdaten'!$D$7:$D$8,3)&gt;0,SUMIFS('[Import Monatsdaten.xlsx]Import Monatsdaten'!$I$7:$I$8,'[Import Monatsdaten.xlsx]Import Monatsdaten'!$C$7:$C$8,'[Steuerung.xlsx]Steuerung'!$F$6,'[Import Monatsdaten.xlsx]Import Monatsdaten'!$D$7:$D$8,3),IF(COUNTIFS('[D Finanzen.xlsx]D Finanzen'!$A$45:$A$115,'[Steuerung.xlsx]Steuerung'!$F$6,'[D Finanzen.xlsx]D Finanzen'!$B$45:$B$115,H$5)=0,"",SUMIFS('[D Finanzen.xlsx]D Finanzen'!$E$45:$E$115,'[D Finanzen.xlsx]D Finanzen'!$A$45:$A$115,'[Steuerung.xlsx]Steuerung'!$F$6,'[D Finanzen.xlsx]D Finanzen'!$B$45:$B$115,H$5,'[D Finanzen.xlsx]D Finanzen'!$C$45:$C$115,50)))</f>
        <v/>
      </c>
      <c r="I12">
        <f>IF(COUNTIFS('[Import Monatsdaten.xlsx]Import Monatsdaten'!$C$7:$C$8,'[Steuerung.xlsx]Steuerung'!$F$6,'[Import Monatsdaten.xlsx]Import Monatsdaten'!$D$7:$D$8,4)&gt;0,SUMIFS('[Import Monatsdaten.xlsx]Import Monatsdaten'!$I$7:$I$8,'[Import Monatsdaten.xlsx]Import Monatsdaten'!$C$7:$C$8,'[Steuerung.xlsx]Steuerung'!$F$6,'[Import Monatsdaten.xlsx]Import Monatsdaten'!$D$7:$D$8,4),IF(COUNTIFS('[D Finanzen.xlsx]D Finanzen'!$A$45:$A$115,'[Steuerung.xlsx]Steuerung'!$F$6,'[D Finanzen.xlsx]D Finanzen'!$B$45:$B$115,I$5)=0,"",SUMIFS('[D Finanzen.xlsx]D Finanzen'!$E$45:$E$115,'[D Finanzen.xlsx]D Finanzen'!$A$45:$A$115,'[Steuerung.xlsx]Steuerung'!$F$6,'[D Finanzen.xlsx]D Finanzen'!$B$45:$B$115,I$5,'[D Finanzen.xlsx]D Finanzen'!$C$45:$C$115,50)))</f>
        <v/>
      </c>
      <c r="J12">
        <f>IF(COUNTIFS('[Import Monatsdaten.xlsx]Import Monatsdaten'!$C$7:$C$8,'[Steuerung.xlsx]Steuerung'!$F$6,'[Import Monatsdaten.xlsx]Import Monatsdaten'!$D$7:$D$8,5)&gt;0,SUMIFS('[Import Monatsdaten.xlsx]Import Monatsdaten'!$I$7:$I$8,'[Import Monatsdaten.xlsx]Import Monatsdaten'!$C$7:$C$8,'[Steuerung.xlsx]Steuerung'!$F$6,'[Import Monatsdaten.xlsx]Import Monatsdaten'!$D$7:$D$8,5),IF(COUNTIFS('[D Finanzen.xlsx]D Finanzen'!$A$45:$A$115,'[Steuerung.xlsx]Steuerung'!$F$6,'[D Finanzen.xlsx]D Finanzen'!$B$45:$B$115,J$5)=0,"",SUMIFS('[D Finanzen.xlsx]D Finanzen'!$E$45:$E$115,'[D Finanzen.xlsx]D Finanzen'!$A$45:$A$115,'[Steuerung.xlsx]Steuerung'!$F$6,'[D Finanzen.xlsx]D Finanzen'!$B$45:$B$115,J$5,'[D Finanzen.xlsx]D Finanzen'!$C$45:$C$115,50)))</f>
        <v/>
      </c>
      <c r="K12">
        <f>IF(COUNTIFS('[Import Monatsdaten.xlsx]Import Monatsdaten'!$C$7:$C$8,'[Steuerung.xlsx]Steuerung'!$F$6,'[Import Monatsdaten.xlsx]Import Monatsdaten'!$D$7:$D$8,6)&gt;0,SUMIFS('[Import Monatsdaten.xlsx]Import Monatsdaten'!$I$7:$I$8,'[Import Monatsdaten.xlsx]Import Monatsdaten'!$C$7:$C$8,'[Steuerung.xlsx]Steuerung'!$F$6,'[Import Monatsdaten.xlsx]Import Monatsdaten'!$D$7:$D$8,6),IF(COUNTIFS('[D Finanzen.xlsx]D Finanzen'!$A$45:$A$115,'[Steuerung.xlsx]Steuerung'!$F$6,'[D Finanzen.xlsx]D Finanzen'!$B$45:$B$115,K$5)=0,"",SUMIFS('[D Finanzen.xlsx]D Finanzen'!$E$45:$E$115,'[D Finanzen.xlsx]D Finanzen'!$A$45:$A$115,'[Steuerung.xlsx]Steuerung'!$F$6,'[D Finanzen.xlsx]D Finanzen'!$B$45:$B$115,K$5,'[D Finanzen.xlsx]D Finanzen'!$C$45:$C$115,50)))</f>
        <v/>
      </c>
      <c r="L12">
        <f>IF(COUNTIFS('[Import Monatsdaten.xlsx]Import Monatsdaten'!$C$7:$C$8,'[Steuerung.xlsx]Steuerung'!$F$6,'[Import Monatsdaten.xlsx]Import Monatsdaten'!$D$7:$D$8,7)&gt;0,SUMIFS('[Import Monatsdaten.xlsx]Import Monatsdaten'!$I$7:$I$8,'[Import Monatsdaten.xlsx]Import Monatsdaten'!$C$7:$C$8,'[Steuerung.xlsx]Steuerung'!$F$6,'[Import Monatsdaten.xlsx]Import Monatsdaten'!$D$7:$D$8,7),IF(COUNTIFS('[D Finanzen.xlsx]D Finanzen'!$A$45:$A$115,'[Steuerung.xlsx]Steuerung'!$F$6,'[D Finanzen.xlsx]D Finanzen'!$B$45:$B$115,L$5)=0,"",SUMIFS('[D Finanzen.xlsx]D Finanzen'!$E$45:$E$115,'[D Finanzen.xlsx]D Finanzen'!$A$45:$A$115,'[Steuerung.xlsx]Steuerung'!$F$6,'[D Finanzen.xlsx]D Finanzen'!$B$45:$B$115,L$5,'[D Finanzen.xlsx]D Finanzen'!$C$45:$C$115,50)))</f>
        <v/>
      </c>
      <c r="M12">
        <f>IF(COUNTIFS('[Import Monatsdaten.xlsx]Import Monatsdaten'!$C$7:$C$8,'[Steuerung.xlsx]Steuerung'!$F$6,'[Import Monatsdaten.xlsx]Import Monatsdaten'!$D$7:$D$8,8)&gt;0,SUMIFS('[Import Monatsdaten.xlsx]Import Monatsdaten'!$I$7:$I$8,'[Import Monatsdaten.xlsx]Import Monatsdaten'!$C$7:$C$8,'[Steuerung.xlsx]Steuerung'!$F$6,'[Import Monatsdaten.xlsx]Import Monatsdaten'!$D$7:$D$8,8),IF(COUNTIFS('[D Finanzen.xlsx]D Finanzen'!$A$45:$A$115,'[Steuerung.xlsx]Steuerung'!$F$6,'[D Finanzen.xlsx]D Finanzen'!$B$45:$B$115,M$5)=0,"",SUMIFS('[D Finanzen.xlsx]D Finanzen'!$E$45:$E$115,'[D Finanzen.xlsx]D Finanzen'!$A$45:$A$115,'[Steuerung.xlsx]Steuerung'!$F$6,'[D Finanzen.xlsx]D Finanzen'!$B$45:$B$115,M$5,'[D Finanzen.xlsx]D Finanzen'!$C$45:$C$115,50)))</f>
        <v/>
      </c>
      <c r="N12">
        <f>IF(COUNTIFS('[Import Monatsdaten.xlsx]Import Monatsdaten'!$C$7:$C$8,'[Steuerung.xlsx]Steuerung'!$F$6,'[Import Monatsdaten.xlsx]Import Monatsdaten'!$D$7:$D$8,9)&gt;0,SUMIFS('[Import Monatsdaten.xlsx]Import Monatsdaten'!$I$7:$I$8,'[Import Monatsdaten.xlsx]Import Monatsdaten'!$C$7:$C$8,'[Steuerung.xlsx]Steuerung'!$F$6,'[Import Monatsdaten.xlsx]Import Monatsdaten'!$D$7:$D$8,9),IF(COUNTIFS('[D Finanzen.xlsx]D Finanzen'!$A$45:$A$115,'[Steuerung.xlsx]Steuerung'!$F$6,'[D Finanzen.xlsx]D Finanzen'!$B$45:$B$115,N$5)=0,"",SUMIFS('[D Finanzen.xlsx]D Finanzen'!$E$45:$E$115,'[D Finanzen.xlsx]D Finanzen'!$A$45:$A$115,'[Steuerung.xlsx]Steuerung'!$F$6,'[D Finanzen.xlsx]D Finanzen'!$B$45:$B$115,N$5,'[D Finanzen.xlsx]D Finanzen'!$C$45:$C$115,50)))</f>
        <v/>
      </c>
      <c r="O12">
        <f>IF(COUNTIFS('[Import Monatsdaten.xlsx]Import Monatsdaten'!$C$7:$C$8,'[Steuerung.xlsx]Steuerung'!$F$6,'[Import Monatsdaten.xlsx]Import Monatsdaten'!$D$7:$D$8,10)&gt;0,SUMIFS('[Import Monatsdaten.xlsx]Import Monatsdaten'!$I$7:$I$8,'[Import Monatsdaten.xlsx]Import Monatsdaten'!$C$7:$C$8,'[Steuerung.xlsx]Steuerung'!$F$6,'[Import Monatsdaten.xlsx]Import Monatsdaten'!$D$7:$D$8,10),IF(COUNTIFS('[D Finanzen.xlsx]D Finanzen'!$A$45:$A$115,'[Steuerung.xlsx]Steuerung'!$F$6,'[D Finanzen.xlsx]D Finanzen'!$B$45:$B$115,O$5)=0,"",SUMIFS('[D Finanzen.xlsx]D Finanzen'!$E$45:$E$115,'[D Finanzen.xlsx]D Finanzen'!$A$45:$A$115,'[Steuerung.xlsx]Steuerung'!$F$6,'[D Finanzen.xlsx]D Finanzen'!$B$45:$B$115,O$5,'[D Finanzen.xlsx]D Finanzen'!$C$45:$C$115,50)))</f>
        <v/>
      </c>
      <c r="P12">
        <f>IF(COUNTIFS('[Import Monatsdaten.xlsx]Import Monatsdaten'!$C$7:$C$8,'[Steuerung.xlsx]Steuerung'!$F$6,'[Import Monatsdaten.xlsx]Import Monatsdaten'!$D$7:$D$8,11)&gt;0,SUMIFS('[Import Monatsdaten.xlsx]Import Monatsdaten'!$I$7:$I$8,'[Import Monatsdaten.xlsx]Import Monatsdaten'!$C$7:$C$8,'[Steuerung.xlsx]Steuerung'!$F$6,'[Import Monatsdaten.xlsx]Import Monatsdaten'!$D$7:$D$8,11),IF(COUNTIFS('[D Finanzen.xlsx]D Finanzen'!$A$45:$A$115,'[Steuerung.xlsx]Steuerung'!$F$6,'[D Finanzen.xlsx]D Finanzen'!$B$45:$B$115,P$5)=0,"",SUMIFS('[D Finanzen.xlsx]D Finanzen'!$E$45:$E$115,'[D Finanzen.xlsx]D Finanzen'!$A$45:$A$115,'[Steuerung.xlsx]Steuerung'!$F$6,'[D Finanzen.xlsx]D Finanzen'!$B$45:$B$115,P$5,'[D Finanzen.xlsx]D Finanzen'!$C$45:$C$115,50)))</f>
        <v/>
      </c>
      <c r="Q12">
        <f>IF(COUNTIFS('[Import Monatsdaten.xlsx]Import Monatsdaten'!$C$7:$C$8,'[Steuerung.xlsx]Steuerung'!$F$6,'[Import Monatsdaten.xlsx]Import Monatsdaten'!$D$7:$D$8,12)&gt;0,SUMIFS('[Import Monatsdaten.xlsx]Import Monatsdaten'!$I$7:$I$8,'[Import Monatsdaten.xlsx]Import Monatsdaten'!$C$7:$C$8,'[Steuerung.xlsx]Steuerung'!$F$6,'[Import Monatsdaten.xlsx]Import Monatsdaten'!$D$7:$D$8,12),IF(COUNTIFS('[D Finanzen.xlsx]D Finanzen'!$A$45:$A$115,'[Steuerung.xlsx]Steuerung'!$F$6,'[D Finanzen.xlsx]D Finanzen'!$B$45:$B$115,Q$5)=0,"",SUMIFS('[D Finanzen.xlsx]D Finanzen'!$E$45:$E$115,'[D Finanzen.xlsx]D Finanzen'!$A$45:$A$115,'[Steuerung.xlsx]Steuerung'!$F$6,'[D Finanzen.xlsx]D Finanzen'!$B$45:$B$115,Q$5,'[D Finanzen.xlsx]D Finanzen'!$C$45:$C$115,50)))</f>
        <v/>
      </c>
    </row>
    <row r="13">
      <c r="C13" t="inlineStr">
        <is>
          <t>Sonstige betriebliche Aufwendungen</t>
        </is>
      </c>
      <c r="D13">
        <f>SUMIFS(F13:Q13,$F$5:$Q$5,"&lt;="&amp;'[Steuerung.xlsx]Steuerung'!$F$7)</f>
        <v/>
      </c>
      <c r="E13">
        <f>IF($D$9=0,"n.a.",D13/$D$9)</f>
        <v/>
      </c>
      <c r="F13">
        <f>IF(COUNTIFS('[Import Monatsdaten.xlsx]Import Monatsdaten'!$C$7:$C$8,'[Steuerung.xlsx]Steuerung'!$F$6,'[Import Monatsdaten.xlsx]Import Monatsdaten'!$D$7:$D$8,1)&gt;0,SUMIFS('[Import Monatsdaten.xlsx]Import Monatsdaten'!$J$7:$J$8,'[Import Monatsdaten.xlsx]Import Monatsdaten'!$C$7:$C$8,'[Steuerung.xlsx]Steuerung'!$F$6,'[Import Monatsdaten.xlsx]Import Monatsdaten'!$D$7:$D$8,1),IF(COUNTIFS('[D Finanzen.xlsx]D Finanzen'!$A$45:$A$115,'[Steuerung.xlsx]Steuerung'!$F$6,'[D Finanzen.xlsx]D Finanzen'!$B$45:$B$115,F$5)=0,"",SUMIFS('[D Finanzen.xlsx]D Finanzen'!$E$45:$E$115,'[D Finanzen.xlsx]D Finanzen'!$A$45:$A$115,'[Steuerung.xlsx]Steuerung'!$F$6,'[D Finanzen.xlsx]D Finanzen'!$B$45:$B$115,F$5,'[D Finanzen.xlsx]D Finanzen'!$C$45:$C$115,70)))</f>
        <v/>
      </c>
      <c r="G13">
        <f>IF(COUNTIFS('[Import Monatsdaten.xlsx]Import Monatsdaten'!$C$7:$C$8,'[Steuerung.xlsx]Steuerung'!$F$6,'[Import Monatsdaten.xlsx]Import Monatsdaten'!$D$7:$D$8,2)&gt;0,SUMIFS('[Import Monatsdaten.xlsx]Import Monatsdaten'!$J$7:$J$8,'[Import Monatsdaten.xlsx]Import Monatsdaten'!$C$7:$C$8,'[Steuerung.xlsx]Steuerung'!$F$6,'[Import Monatsdaten.xlsx]Import Monatsdaten'!$D$7:$D$8,2),IF(COUNTIFS('[D Finanzen.xlsx]D Finanzen'!$A$45:$A$115,'[Steuerung.xlsx]Steuerung'!$F$6,'[D Finanzen.xlsx]D Finanzen'!$B$45:$B$115,G$5)=0,"",SUMIFS('[D Finanzen.xlsx]D Finanzen'!$E$45:$E$115,'[D Finanzen.xlsx]D Finanzen'!$A$45:$A$115,'[Steuerung.xlsx]Steuerung'!$F$6,'[D Finanzen.xlsx]D Finanzen'!$B$45:$B$115,G$5,'[D Finanzen.xlsx]D Finanzen'!$C$45:$C$115,70)))</f>
        <v/>
      </c>
      <c r="H13">
        <f>IF(COUNTIFS('[Import Monatsdaten.xlsx]Import Monatsdaten'!$C$7:$C$8,'[Steuerung.xlsx]Steuerung'!$F$6,'[Import Monatsdaten.xlsx]Import Monatsdaten'!$D$7:$D$8,3)&gt;0,SUMIFS('[Import Monatsdaten.xlsx]Import Monatsdaten'!$J$7:$J$8,'[Import Monatsdaten.xlsx]Import Monatsdaten'!$C$7:$C$8,'[Steuerung.xlsx]Steuerung'!$F$6,'[Import Monatsdaten.xlsx]Import Monatsdaten'!$D$7:$D$8,3),IF(COUNTIFS('[D Finanzen.xlsx]D Finanzen'!$A$45:$A$115,'[Steuerung.xlsx]Steuerung'!$F$6,'[D Finanzen.xlsx]D Finanzen'!$B$45:$B$115,H$5)=0,"",SUMIFS('[D Finanzen.xlsx]D Finanzen'!$E$45:$E$115,'[D Finanzen.xlsx]D Finanzen'!$A$45:$A$115,'[Steuerung.xlsx]Steuerung'!$F$6,'[D Finanzen.xlsx]D Finanzen'!$B$45:$B$115,H$5,'[D Finanzen.xlsx]D Finanzen'!$C$45:$C$115,70)))</f>
        <v/>
      </c>
      <c r="I13">
        <f>IF(COUNTIFS('[Import Monatsdaten.xlsx]Import Monatsdaten'!$C$7:$C$8,'[Steuerung.xlsx]Steuerung'!$F$6,'[Import Monatsdaten.xlsx]Import Monatsdaten'!$D$7:$D$8,4)&gt;0,SUMIFS('[Import Monatsdaten.xlsx]Import Monatsdaten'!$J$7:$J$8,'[Import Monatsdaten.xlsx]Import Monatsdaten'!$C$7:$C$8,'[Steuerung.xlsx]Steuerung'!$F$6,'[Import Monatsdaten.xlsx]Import Monatsdaten'!$D$7:$D$8,4),IF(COUNTIFS('[D Finanzen.xlsx]D Finanzen'!$A$45:$A$115,'[Steuerung.xlsx]Steuerung'!$F$6,'[D Finanzen.xlsx]D Finanzen'!$B$45:$B$115,I$5)=0,"",SUMIFS('[D Finanzen.xlsx]D Finanzen'!$E$45:$E$115,'[D Finanzen.xlsx]D Finanzen'!$A$45:$A$115,'[Steuerung.xlsx]Steuerung'!$F$6,'[D Finanzen.xlsx]D Finanzen'!$B$45:$B$115,I$5,'[D Finanzen.xlsx]D Finanzen'!$C$45:$C$115,70)))</f>
        <v/>
      </c>
      <c r="J13">
        <f>IF(COUNTIFS('[Import Monatsdaten.xlsx]Import Monatsdaten'!$C$7:$C$8,'[Steuerung.xlsx]Steuerung'!$F$6,'[Import Monatsdaten.xlsx]Import Monatsdaten'!$D$7:$D$8,5)&gt;0,SUMIFS('[Import Monatsdaten.xlsx]Import Monatsdaten'!$J$7:$J$8,'[Import Monatsdaten.xlsx]Import Monatsdaten'!$C$7:$C$8,'[Steuerung.xlsx]Steuerung'!$F$6,'[Import Monatsdaten.xlsx]Import Monatsdaten'!$D$7:$D$8,5),IF(COUNTIFS('[D Finanzen.xlsx]D Finanzen'!$A$45:$A$115,'[Steuerung.xlsx]Steuerung'!$F$6,'[D Finanzen.xlsx]D Finanzen'!$B$45:$B$115,J$5)=0,"",SUMIFS('[D Finanzen.xlsx]D Finanzen'!$E$45:$E$115,'[D Finanzen.xlsx]D Finanzen'!$A$45:$A$115,'[Steuerung.xlsx]Steuerung'!$F$6,'[D Finanzen.xlsx]D Finanzen'!$B$45:$B$115,J$5,'[D Finanzen.xlsx]D Finanzen'!$C$45:$C$115,70)))</f>
        <v/>
      </c>
      <c r="K13">
        <f>IF(COUNTIFS('[Import Monatsdaten.xlsx]Import Monatsdaten'!$C$7:$C$8,'[Steuerung.xlsx]Steuerung'!$F$6,'[Import Monatsdaten.xlsx]Import Monatsdaten'!$D$7:$D$8,6)&gt;0,SUMIFS('[Import Monatsdaten.xlsx]Import Monatsdaten'!$J$7:$J$8,'[Import Monatsdaten.xlsx]Import Monatsdaten'!$C$7:$C$8,'[Steuerung.xlsx]Steuerung'!$F$6,'[Import Monatsdaten.xlsx]Import Monatsdaten'!$D$7:$D$8,6),IF(COUNTIFS('[D Finanzen.xlsx]D Finanzen'!$A$45:$A$115,'[Steuerung.xlsx]Steuerung'!$F$6,'[D Finanzen.xlsx]D Finanzen'!$B$45:$B$115,K$5)=0,"",SUMIFS('[D Finanzen.xlsx]D Finanzen'!$E$45:$E$115,'[D Finanzen.xlsx]D Finanzen'!$A$45:$A$115,'[Steuerung.xlsx]Steuerung'!$F$6,'[D Finanzen.xlsx]D Finanzen'!$B$45:$B$115,K$5,'[D Finanzen.xlsx]D Finanzen'!$C$45:$C$115,70)))</f>
        <v/>
      </c>
      <c r="L13">
        <f>IF(COUNTIFS('[Import Monatsdaten.xlsx]Import Monatsdaten'!$C$7:$C$8,'[Steuerung.xlsx]Steuerung'!$F$6,'[Import Monatsdaten.xlsx]Import Monatsdaten'!$D$7:$D$8,7)&gt;0,SUMIFS('[Import Monatsdaten.xlsx]Import Monatsdaten'!$J$7:$J$8,'[Import Monatsdaten.xlsx]Import Monatsdaten'!$C$7:$C$8,'[Steuerung.xlsx]Steuerung'!$F$6,'[Import Monatsdaten.xlsx]Import Monatsdaten'!$D$7:$D$8,7),IF(COUNTIFS('[D Finanzen.xlsx]D Finanzen'!$A$45:$A$115,'[Steuerung.xlsx]Steuerung'!$F$6,'[D Finanzen.xlsx]D Finanzen'!$B$45:$B$115,L$5)=0,"",SUMIFS('[D Finanzen.xlsx]D Finanzen'!$E$45:$E$115,'[D Finanzen.xlsx]D Finanzen'!$A$45:$A$115,'[Steuerung.xlsx]Steuerung'!$F$6,'[D Finanzen.xlsx]D Finanzen'!$B$45:$B$115,L$5,'[D Finanzen.xlsx]D Finanzen'!$C$45:$C$115,70)))</f>
        <v/>
      </c>
      <c r="M13">
        <f>IF(COUNTIFS('[Import Monatsdaten.xlsx]Import Monatsdaten'!$C$7:$C$8,'[Steuerung.xlsx]Steuerung'!$F$6,'[Import Monatsdaten.xlsx]Import Monatsdaten'!$D$7:$D$8,8)&gt;0,SUMIFS('[Import Monatsdaten.xlsx]Import Monatsdaten'!$J$7:$J$8,'[Import Monatsdaten.xlsx]Import Monatsdaten'!$C$7:$C$8,'[Steuerung.xlsx]Steuerung'!$F$6,'[Import Monatsdaten.xlsx]Import Monatsdaten'!$D$7:$D$8,8),IF(COUNTIFS('[D Finanzen.xlsx]D Finanzen'!$A$45:$A$115,'[Steuerung.xlsx]Steuerung'!$F$6,'[D Finanzen.xlsx]D Finanzen'!$B$45:$B$115,M$5)=0,"",SUMIFS('[D Finanzen.xlsx]D Finanzen'!$E$45:$E$115,'[D Finanzen.xlsx]D Finanzen'!$A$45:$A$115,'[Steuerung.xlsx]Steuerung'!$F$6,'[D Finanzen.xlsx]D Finanzen'!$B$45:$B$115,M$5,'[D Finanzen.xlsx]D Finanzen'!$C$45:$C$115,70)))</f>
        <v/>
      </c>
      <c r="N13">
        <f>IF(COUNTIFS('[Import Monatsdaten.xlsx]Import Monatsdaten'!$C$7:$C$8,'[Steuerung.xlsx]Steuerung'!$F$6,'[Import Monatsdaten.xlsx]Import Monatsdaten'!$D$7:$D$8,9)&gt;0,SUMIFS('[Import Monatsdaten.xlsx]Import Monatsdaten'!$J$7:$J$8,'[Import Monatsdaten.xlsx]Import Monatsdaten'!$C$7:$C$8,'[Steuerung.xlsx]Steuerung'!$F$6,'[Import Monatsdaten.xlsx]Import Monatsdaten'!$D$7:$D$8,9),IF(COUNTIFS('[D Finanzen.xlsx]D Finanzen'!$A$45:$A$115,'[Steuerung.xlsx]Steuerung'!$F$6,'[D Finanzen.xlsx]D Finanzen'!$B$45:$B$115,N$5)=0,"",SUMIFS('[D Finanzen.xlsx]D Finanzen'!$E$45:$E$115,'[D Finanzen.xlsx]D Finanzen'!$A$45:$A$115,'[Steuerung.xlsx]Steuerung'!$F$6,'[D Finanzen.xlsx]D Finanzen'!$B$45:$B$115,N$5,'[D Finanzen.xlsx]D Finanzen'!$C$45:$C$115,70)))</f>
        <v/>
      </c>
      <c r="O13">
        <f>IF(COUNTIFS('[Import Monatsdaten.xlsx]Import Monatsdaten'!$C$7:$C$8,'[Steuerung.xlsx]Steuerung'!$F$6,'[Import Monatsdaten.xlsx]Import Monatsdaten'!$D$7:$D$8,10)&gt;0,SUMIFS('[Import Monatsdaten.xlsx]Import Monatsdaten'!$J$7:$J$8,'[Import Monatsdaten.xlsx]Import Monatsdaten'!$C$7:$C$8,'[Steuerung.xlsx]Steuerung'!$F$6,'[Import Monatsdaten.xlsx]Import Monatsdaten'!$D$7:$D$8,10),IF(COUNTIFS('[D Finanzen.xlsx]D Finanzen'!$A$45:$A$115,'[Steuerung.xlsx]Steuerung'!$F$6,'[D Finanzen.xlsx]D Finanzen'!$B$45:$B$115,O$5)=0,"",SUMIFS('[D Finanzen.xlsx]D Finanzen'!$E$45:$E$115,'[D Finanzen.xlsx]D Finanzen'!$A$45:$A$115,'[Steuerung.xlsx]Steuerung'!$F$6,'[D Finanzen.xlsx]D Finanzen'!$B$45:$B$115,O$5,'[D Finanzen.xlsx]D Finanzen'!$C$45:$C$115,70)))</f>
        <v/>
      </c>
      <c r="P13">
        <f>IF(COUNTIFS('[Import Monatsdaten.xlsx]Import Monatsdaten'!$C$7:$C$8,'[Steuerung.xlsx]Steuerung'!$F$6,'[Import Monatsdaten.xlsx]Import Monatsdaten'!$D$7:$D$8,11)&gt;0,SUMIFS('[Import Monatsdaten.xlsx]Import Monatsdaten'!$J$7:$J$8,'[Import Monatsdaten.xlsx]Import Monatsdaten'!$C$7:$C$8,'[Steuerung.xlsx]Steuerung'!$F$6,'[Import Monatsdaten.xlsx]Import Monatsdaten'!$D$7:$D$8,11),IF(COUNTIFS('[D Finanzen.xlsx]D Finanzen'!$A$45:$A$115,'[Steuerung.xlsx]Steuerung'!$F$6,'[D Finanzen.xlsx]D Finanzen'!$B$45:$B$115,P$5)=0,"",SUMIFS('[D Finanzen.xlsx]D Finanzen'!$E$45:$E$115,'[D Finanzen.xlsx]D Finanzen'!$A$45:$A$115,'[Steuerung.xlsx]Steuerung'!$F$6,'[D Finanzen.xlsx]D Finanzen'!$B$45:$B$115,P$5,'[D Finanzen.xlsx]D Finanzen'!$C$45:$C$115,70)))</f>
        <v/>
      </c>
      <c r="Q13">
        <f>IF(COUNTIFS('[Import Monatsdaten.xlsx]Import Monatsdaten'!$C$7:$C$8,'[Steuerung.xlsx]Steuerung'!$F$6,'[Import Monatsdaten.xlsx]Import Monatsdaten'!$D$7:$D$8,12)&gt;0,SUMIFS('[Import Monatsdaten.xlsx]Import Monatsdaten'!$J$7:$J$8,'[Import Monatsdaten.xlsx]Import Monatsdaten'!$C$7:$C$8,'[Steuerung.xlsx]Steuerung'!$F$6,'[Import Monatsdaten.xlsx]Import Monatsdaten'!$D$7:$D$8,12),IF(COUNTIFS('[D Finanzen.xlsx]D Finanzen'!$A$45:$A$115,'[Steuerung.xlsx]Steuerung'!$F$6,'[D Finanzen.xlsx]D Finanzen'!$B$45:$B$115,Q$5)=0,"",SUMIFS('[D Finanzen.xlsx]D Finanzen'!$E$45:$E$115,'[D Finanzen.xlsx]D Finanzen'!$A$45:$A$115,'[Steuerung.xlsx]Steuerung'!$F$6,'[D Finanzen.xlsx]D Finanzen'!$B$45:$B$115,Q$5,'[D Finanzen.xlsx]D Finanzen'!$C$45:$C$115,70)))</f>
        <v/>
      </c>
    </row>
    <row r="14">
      <c r="C14" t="inlineStr">
        <is>
          <t>EBITDA aus Staffel</t>
        </is>
      </c>
      <c r="D14">
        <f>SUMIFS(F14:Q14,$F$5:$Q$5,"&lt;="&amp;'[Steuerung.xlsx]Steuerung'!$F$7)</f>
        <v/>
      </c>
      <c r="E14">
        <f>IF($D$9=0,"n.a.",D14/$D$9)</f>
        <v/>
      </c>
      <c r="F14">
        <f>IF(F7="","",SUM(F9:F13))</f>
        <v/>
      </c>
      <c r="G14">
        <f>IF(G7="","",SUM(G9:G13))</f>
        <v/>
      </c>
      <c r="H14">
        <f>IF(H7="","",SUM(H9:H13))</f>
        <v/>
      </c>
      <c r="I14">
        <f>IF(I7="","",SUM(I9:I13))</f>
        <v/>
      </c>
      <c r="J14">
        <f>IF(J7="","",SUM(J9:J13))</f>
        <v/>
      </c>
      <c r="K14">
        <f>IF(K7="","",SUM(K9:K13))</f>
        <v/>
      </c>
      <c r="L14">
        <f>IF(L7="","",SUM(L9:L13))</f>
        <v/>
      </c>
      <c r="M14">
        <f>IF(M7="","",SUM(M9:M13))</f>
        <v/>
      </c>
      <c r="N14">
        <f>IF(N7="","",SUM(N9:N13))</f>
        <v/>
      </c>
      <c r="O14">
        <f>IF(O7="","",SUM(O9:O13))</f>
        <v/>
      </c>
      <c r="P14">
        <f>IF(P7="","",SUM(P9:P13))</f>
        <v/>
      </c>
      <c r="Q14">
        <f>IF(Q7="","",SUM(Q9:Q13))</f>
        <v/>
      </c>
    </row>
    <row r="15">
      <c r="C15" t="inlineStr">
        <is>
          <t>Abschreibungen</t>
        </is>
      </c>
      <c r="D15">
        <f>SUMIFS(F15:Q15,$F$5:$Q$5,"&lt;="&amp;'[Steuerung.xlsx]Steuerung'!$F$7)</f>
        <v/>
      </c>
      <c r="E15">
        <f>IF($D$9=0,"n.a.",D15/$D$9)</f>
        <v/>
      </c>
      <c r="F15">
        <f>IF(COUNTIFS('[Import Monatsdaten.xlsx]Import Monatsdaten'!$C$7:$C$8,'[Steuerung.xlsx]Steuerung'!$F$6,'[Import Monatsdaten.xlsx]Import Monatsdaten'!$D$7:$D$8,1)&gt;0,SUMIFS('[Import Monatsdaten.xlsx]Import Monatsdaten'!$K$7:$K$8,'[Import Monatsdaten.xlsx]Import Monatsdaten'!$C$7:$C$8,'[Steuerung.xlsx]Steuerung'!$F$6,'[Import Monatsdaten.xlsx]Import Monatsdaten'!$D$7:$D$8,1),IF(COUNTIFS('[D Finanzen.xlsx]D Finanzen'!$A$45:$A$115,'[Steuerung.xlsx]Steuerung'!$F$6,'[D Finanzen.xlsx]D Finanzen'!$B$45:$B$115,F$5)=0,"",SUMIFS('[D Finanzen.xlsx]D Finanzen'!$E$45:$E$115,'[D Finanzen.xlsx]D Finanzen'!$A$45:$A$115,'[Steuerung.xlsx]Steuerung'!$F$6,'[D Finanzen.xlsx]D Finanzen'!$B$45:$B$115,F$5,'[D Finanzen.xlsx]D Finanzen'!$C$45:$C$115,60)))</f>
        <v/>
      </c>
      <c r="G15">
        <f>IF(COUNTIFS('[Import Monatsdaten.xlsx]Import Monatsdaten'!$C$7:$C$8,'[Steuerung.xlsx]Steuerung'!$F$6,'[Import Monatsdaten.xlsx]Import Monatsdaten'!$D$7:$D$8,2)&gt;0,SUMIFS('[Import Monatsdaten.xlsx]Import Monatsdaten'!$K$7:$K$8,'[Import Monatsdaten.xlsx]Import Monatsdaten'!$C$7:$C$8,'[Steuerung.xlsx]Steuerung'!$F$6,'[Import Monatsdaten.xlsx]Import Monatsdaten'!$D$7:$D$8,2),IF(COUNTIFS('[D Finanzen.xlsx]D Finanzen'!$A$45:$A$115,'[Steuerung.xlsx]Steuerung'!$F$6,'[D Finanzen.xlsx]D Finanzen'!$B$45:$B$115,G$5)=0,"",SUMIFS('[D Finanzen.xlsx]D Finanzen'!$E$45:$E$115,'[D Finanzen.xlsx]D Finanzen'!$A$45:$A$115,'[Steuerung.xlsx]Steuerung'!$F$6,'[D Finanzen.xlsx]D Finanzen'!$B$45:$B$115,G$5,'[D Finanzen.xlsx]D Finanzen'!$C$45:$C$115,60)))</f>
        <v/>
      </c>
      <c r="H15">
        <f>IF(COUNTIFS('[Import Monatsdaten.xlsx]Import Monatsdaten'!$C$7:$C$8,'[Steuerung.xlsx]Steuerung'!$F$6,'[Import Monatsdaten.xlsx]Import Monatsdaten'!$D$7:$D$8,3)&gt;0,SUMIFS('[Import Monatsdaten.xlsx]Import Monatsdaten'!$K$7:$K$8,'[Import Monatsdaten.xlsx]Import Monatsdaten'!$C$7:$C$8,'[Steuerung.xlsx]Steuerung'!$F$6,'[Import Monatsdaten.xlsx]Import Monatsdaten'!$D$7:$D$8,3),IF(COUNTIFS('[D Finanzen.xlsx]D Finanzen'!$A$45:$A$115,'[Steuerung.xlsx]Steuerung'!$F$6,'[D Finanzen.xlsx]D Finanzen'!$B$45:$B$115,H$5)=0,"",SUMIFS('[D Finanzen.xlsx]D Finanzen'!$E$45:$E$115,'[D Finanzen.xlsx]D Finanzen'!$A$45:$A$115,'[Steuerung.xlsx]Steuerung'!$F$6,'[D Finanzen.xlsx]D Finanzen'!$B$45:$B$115,H$5,'[D Finanzen.xlsx]D Finanzen'!$C$45:$C$115,60)))</f>
        <v/>
      </c>
      <c r="I15">
        <f>IF(COUNTIFS('[Import Monatsdaten.xlsx]Import Monatsdaten'!$C$7:$C$8,'[Steuerung.xlsx]Steuerung'!$F$6,'[Import Monatsdaten.xlsx]Import Monatsdaten'!$D$7:$D$8,4)&gt;0,SUMIFS('[Import Monatsdaten.xlsx]Import Monatsdaten'!$K$7:$K$8,'[Import Monatsdaten.xlsx]Import Monatsdaten'!$C$7:$C$8,'[Steuerung.xlsx]Steuerung'!$F$6,'[Import Monatsdaten.xlsx]Import Monatsdaten'!$D$7:$D$8,4),IF(COUNTIFS('[D Finanzen.xlsx]D Finanzen'!$A$45:$A$115,'[Steuerung.xlsx]Steuerung'!$F$6,'[D Finanzen.xlsx]D Finanzen'!$B$45:$B$115,I$5)=0,"",SUMIFS('[D Finanzen.xlsx]D Finanzen'!$E$45:$E$115,'[D Finanzen.xlsx]D Finanzen'!$A$45:$A$115,'[Steuerung.xlsx]Steuerung'!$F$6,'[D Finanzen.xlsx]D Finanzen'!$B$45:$B$115,I$5,'[D Finanzen.xlsx]D Finanzen'!$C$45:$C$115,60)))</f>
        <v/>
      </c>
      <c r="J15">
        <f>IF(COUNTIFS('[Import Monatsdaten.xlsx]Import Monatsdaten'!$C$7:$C$8,'[Steuerung.xlsx]Steuerung'!$F$6,'[Import Monatsdaten.xlsx]Import Monatsdaten'!$D$7:$D$8,5)&gt;0,SUMIFS('[Import Monatsdaten.xlsx]Import Monatsdaten'!$K$7:$K$8,'[Import Monatsdaten.xlsx]Import Monatsdaten'!$C$7:$C$8,'[Steuerung.xlsx]Steuerung'!$F$6,'[Import Monatsdaten.xlsx]Import Monatsdaten'!$D$7:$D$8,5),IF(COUNTIFS('[D Finanzen.xlsx]D Finanzen'!$A$45:$A$115,'[Steuerung.xlsx]Steuerung'!$F$6,'[D Finanzen.xlsx]D Finanzen'!$B$45:$B$115,J$5)=0,"",SUMIFS('[D Finanzen.xlsx]D Finanzen'!$E$45:$E$115,'[D Finanzen.xlsx]D Finanzen'!$A$45:$A$115,'[Steuerung.xlsx]Steuerung'!$F$6,'[D Finanzen.xlsx]D Finanzen'!$B$45:$B$115,J$5,'[D Finanzen.xlsx]D Finanzen'!$C$45:$C$115,60)))</f>
        <v/>
      </c>
      <c r="K15">
        <f>IF(COUNTIFS('[Import Monatsdaten.xlsx]Import Monatsdaten'!$C$7:$C$8,'[Steuerung.xlsx]Steuerung'!$F$6,'[Import Monatsdaten.xlsx]Import Monatsdaten'!$D$7:$D$8,6)&gt;0,SUMIFS('[Import Monatsdaten.xlsx]Import Monatsdaten'!$K$7:$K$8,'[Import Monatsdaten.xlsx]Import Monatsdaten'!$C$7:$C$8,'[Steuerung.xlsx]Steuerung'!$F$6,'[Import Monatsdaten.xlsx]Import Monatsdaten'!$D$7:$D$8,6),IF(COUNTIFS('[D Finanzen.xlsx]D Finanzen'!$A$45:$A$115,'[Steuerung.xlsx]Steuerung'!$F$6,'[D Finanzen.xlsx]D Finanzen'!$B$45:$B$115,K$5)=0,"",SUMIFS('[D Finanzen.xlsx]D Finanzen'!$E$45:$E$115,'[D Finanzen.xlsx]D Finanzen'!$A$45:$A$115,'[Steuerung.xlsx]Steuerung'!$F$6,'[D Finanzen.xlsx]D Finanzen'!$B$45:$B$115,K$5,'[D Finanzen.xlsx]D Finanzen'!$C$45:$C$115,60)))</f>
        <v/>
      </c>
      <c r="L15">
        <f>IF(COUNTIFS('[Import Monatsdaten.xlsx]Import Monatsdaten'!$C$7:$C$8,'[Steuerung.xlsx]Steuerung'!$F$6,'[Import Monatsdaten.xlsx]Import Monatsdaten'!$D$7:$D$8,7)&gt;0,SUMIFS('[Import Monatsdaten.xlsx]Import Monatsdaten'!$K$7:$K$8,'[Import Monatsdaten.xlsx]Import Monatsdaten'!$C$7:$C$8,'[Steuerung.xlsx]Steuerung'!$F$6,'[Import Monatsdaten.xlsx]Import Monatsdaten'!$D$7:$D$8,7),IF(COUNTIFS('[D Finanzen.xlsx]D Finanzen'!$A$45:$A$115,'[Steuerung.xlsx]Steuerung'!$F$6,'[D Finanzen.xlsx]D Finanzen'!$B$45:$B$115,L$5)=0,"",SUMIFS('[D Finanzen.xlsx]D Finanzen'!$E$45:$E$115,'[D Finanzen.xlsx]D Finanzen'!$A$45:$A$115,'[Steuerung.xlsx]Steuerung'!$F$6,'[D Finanzen.xlsx]D Finanzen'!$B$45:$B$115,L$5,'[D Finanzen.xlsx]D Finanzen'!$C$45:$C$115,60)))</f>
        <v/>
      </c>
      <c r="M15">
        <f>IF(COUNTIFS('[Import Monatsdaten.xlsx]Import Monatsdaten'!$C$7:$C$8,'[Steuerung.xlsx]Steuerung'!$F$6,'[Import Monatsdaten.xlsx]Import Monatsdaten'!$D$7:$D$8,8)&gt;0,SUMIFS('[Import Monatsdaten.xlsx]Import Monatsdaten'!$K$7:$K$8,'[Import Monatsdaten.xlsx]Import Monatsdaten'!$C$7:$C$8,'[Steuerung.xlsx]Steuerung'!$F$6,'[Import Monatsdaten.xlsx]Import Monatsdaten'!$D$7:$D$8,8),IF(COUNTIFS('[D Finanzen.xlsx]D Finanzen'!$A$45:$A$115,'[Steuerung.xlsx]Steuerung'!$F$6,'[D Finanzen.xlsx]D Finanzen'!$B$45:$B$115,M$5)=0,"",SUMIFS('[D Finanzen.xlsx]D Finanzen'!$E$45:$E$115,'[D Finanzen.xlsx]D Finanzen'!$A$45:$A$115,'[Steuerung.xlsx]Steuerung'!$F$6,'[D Finanzen.xlsx]D Finanzen'!$B$45:$B$115,M$5,'[D Finanzen.xlsx]D Finanzen'!$C$45:$C$115,60)))</f>
        <v/>
      </c>
      <c r="N15">
        <f>IF(COUNTIFS('[Import Monatsdaten.xlsx]Import Monatsdaten'!$C$7:$C$8,'[Steuerung.xlsx]Steuerung'!$F$6,'[Import Monatsdaten.xlsx]Import Monatsdaten'!$D$7:$D$8,9)&gt;0,SUMIFS('[Import Monatsdaten.xlsx]Import Monatsdaten'!$K$7:$K$8,'[Import Monatsdaten.xlsx]Import Monatsdaten'!$C$7:$C$8,'[Steuerung.xlsx]Steuerung'!$F$6,'[Import Monatsdaten.xlsx]Import Monatsdaten'!$D$7:$D$8,9),IF(COUNTIFS('[D Finanzen.xlsx]D Finanzen'!$A$45:$A$115,'[Steuerung.xlsx]Steuerung'!$F$6,'[D Finanzen.xlsx]D Finanzen'!$B$45:$B$115,N$5)=0,"",SUMIFS('[D Finanzen.xlsx]D Finanzen'!$E$45:$E$115,'[D Finanzen.xlsx]D Finanzen'!$A$45:$A$115,'[Steuerung.xlsx]Steuerung'!$F$6,'[D Finanzen.xlsx]D Finanzen'!$B$45:$B$115,N$5,'[D Finanzen.xlsx]D Finanzen'!$C$45:$C$115,60)))</f>
        <v/>
      </c>
      <c r="O15">
        <f>IF(COUNTIFS('[Import Monatsdaten.xlsx]Import Monatsdaten'!$C$7:$C$8,'[Steuerung.xlsx]Steuerung'!$F$6,'[Import Monatsdaten.xlsx]Import Monatsdaten'!$D$7:$D$8,10)&gt;0,SUMIFS('[Import Monatsdaten.xlsx]Import Monatsdaten'!$K$7:$K$8,'[Import Monatsdaten.xlsx]Import Monatsdaten'!$C$7:$C$8,'[Steuerung.xlsx]Steuerung'!$F$6,'[Import Monatsdaten.xlsx]Import Monatsdaten'!$D$7:$D$8,10),IF(COUNTIFS('[D Finanzen.xlsx]D Finanzen'!$A$45:$A$115,'[Steuerung.xlsx]Steuerung'!$F$6,'[D Finanzen.xlsx]D Finanzen'!$B$45:$B$115,O$5)=0,"",SUMIFS('[D Finanzen.xlsx]D Finanzen'!$E$45:$E$115,'[D Finanzen.xlsx]D Finanzen'!$A$45:$A$115,'[Steuerung.xlsx]Steuerung'!$F$6,'[D Finanzen.xlsx]D Finanzen'!$B$45:$B$115,O$5,'[D Finanzen.xlsx]D Finanzen'!$C$45:$C$115,60)))</f>
        <v/>
      </c>
      <c r="P15">
        <f>IF(COUNTIFS('[Import Monatsdaten.xlsx]Import Monatsdaten'!$C$7:$C$8,'[Steuerung.xlsx]Steuerung'!$F$6,'[Import Monatsdaten.xlsx]Import Monatsdaten'!$D$7:$D$8,11)&gt;0,SUMIFS('[Import Monatsdaten.xlsx]Import Monatsdaten'!$K$7:$K$8,'[Import Monatsdaten.xlsx]Import Monatsdaten'!$C$7:$C$8,'[Steuerung.xlsx]Steuerung'!$F$6,'[Import Monatsdaten.xlsx]Import Monatsdaten'!$D$7:$D$8,11),IF(COUNTIFS('[D Finanzen.xlsx]D Finanzen'!$A$45:$A$115,'[Steuerung.xlsx]Steuerung'!$F$6,'[D Finanzen.xlsx]D Finanzen'!$B$45:$B$115,P$5)=0,"",SUMIFS('[D Finanzen.xlsx]D Finanzen'!$E$45:$E$115,'[D Finanzen.xlsx]D Finanzen'!$A$45:$A$115,'[Steuerung.xlsx]Steuerung'!$F$6,'[D Finanzen.xlsx]D Finanzen'!$B$45:$B$115,P$5,'[D Finanzen.xlsx]D Finanzen'!$C$45:$C$115,60)))</f>
        <v/>
      </c>
      <c r="Q15">
        <f>IF(COUNTIFS('[Import Monatsdaten.xlsx]Import Monatsdaten'!$C$7:$C$8,'[Steuerung.xlsx]Steuerung'!$F$6,'[Import Monatsdaten.xlsx]Import Monatsdaten'!$D$7:$D$8,12)&gt;0,SUMIFS('[Import Monatsdaten.xlsx]Import Monatsdaten'!$K$7:$K$8,'[Import Monatsdaten.xlsx]Import Monatsdaten'!$C$7:$C$8,'[Steuerung.xlsx]Steuerung'!$F$6,'[Import Monatsdaten.xlsx]Import Monatsdaten'!$D$7:$D$8,12),IF(COUNTIFS('[D Finanzen.xlsx]D Finanzen'!$A$45:$A$115,'[Steuerung.xlsx]Steuerung'!$F$6,'[D Finanzen.xlsx]D Finanzen'!$B$45:$B$115,Q$5)=0,"",SUMIFS('[D Finanzen.xlsx]D Finanzen'!$E$45:$E$115,'[D Finanzen.xlsx]D Finanzen'!$A$45:$A$115,'[Steuerung.xlsx]Steuerung'!$F$6,'[D Finanzen.xlsx]D Finanzen'!$B$45:$B$115,Q$5,'[D Finanzen.xlsx]D Finanzen'!$C$45:$C$115,60)))</f>
        <v/>
      </c>
    </row>
    <row r="16">
      <c r="C16" t="inlineStr">
        <is>
          <t>EBIT</t>
        </is>
      </c>
      <c r="D16">
        <f>SUMIFS(F16:Q16,$F$5:$Q$5,"&lt;="&amp;'[Steuerung.xlsx]Steuerung'!$F$7)</f>
        <v/>
      </c>
      <c r="E16">
        <f>IF($D$9=0,"n.a.",D16/$D$9)</f>
        <v/>
      </c>
      <c r="F16">
        <f>IF(F7="","",SUM(F14:F15))</f>
        <v/>
      </c>
      <c r="G16">
        <f>IF(G7="","",SUM(G14:G15))</f>
        <v/>
      </c>
      <c r="H16">
        <f>IF(H7="","",SUM(H14:H15))</f>
        <v/>
      </c>
      <c r="I16">
        <f>IF(I7="","",SUM(I14:I15))</f>
        <v/>
      </c>
      <c r="J16">
        <f>IF(J7="","",SUM(J14:J15))</f>
        <v/>
      </c>
      <c r="K16">
        <f>IF(K7="","",SUM(K14:K15))</f>
        <v/>
      </c>
      <c r="L16">
        <f>IF(L7="","",SUM(L14:L15))</f>
        <v/>
      </c>
      <c r="M16">
        <f>IF(M7="","",SUM(M14:M15))</f>
        <v/>
      </c>
      <c r="N16">
        <f>IF(N7="","",SUM(N14:N15))</f>
        <v/>
      </c>
      <c r="O16">
        <f>IF(O7="","",SUM(O14:O15))</f>
        <v/>
      </c>
      <c r="P16">
        <f>IF(P7="","",SUM(P14:P15))</f>
        <v/>
      </c>
      <c r="Q16">
        <f>IF(Q7="","",SUM(Q14:Q15))</f>
        <v/>
      </c>
    </row>
    <row r="17">
      <c r="C17" t="inlineStr">
        <is>
          <t>Finanzergebnis</t>
        </is>
      </c>
      <c r="D17">
        <f>SUMIFS(F17:Q17,$F$5:$Q$5,"&lt;="&amp;'[Steuerung.xlsx]Steuerung'!$F$7)</f>
        <v/>
      </c>
      <c r="E17">
        <f>IF($D$9=0,"n.a.",D17/$D$9)</f>
        <v/>
      </c>
      <c r="F17">
        <f>IF(COUNTIFS('[Import Monatsdaten.xlsx]Import Monatsdaten'!$C$7:$C$8,'[Steuerung.xlsx]Steuerung'!$F$6,'[Import Monatsdaten.xlsx]Import Monatsdaten'!$D$7:$D$8,1)&gt;0,SUMIFS('[Import Monatsdaten.xlsx]Import Monatsdaten'!$L$7:$L$8,'[Import Monatsdaten.xlsx]Import Monatsdaten'!$C$7:$C$8,'[Steuerung.xlsx]Steuerung'!$F$6,'[Import Monatsdaten.xlsx]Import Monatsdaten'!$D$7:$D$8,1),IF(COUNTIFS('[D Finanzen.xlsx]D Finanzen'!$A$45:$A$115,'[Steuerung.xlsx]Steuerung'!$F$6,'[D Finanzen.xlsx]D Finanzen'!$B$45:$B$115,F$5)=0,"",SUMIFS('[D Finanzen.xlsx]D Finanzen'!$E$45:$E$115,'[D Finanzen.xlsx]D Finanzen'!$A$45:$A$115,'[Steuerung.xlsx]Steuerung'!$F$6,'[D Finanzen.xlsx]D Finanzen'!$B$45:$B$115,F$5,'[D Finanzen.xlsx]D Finanzen'!$C$45:$C$115,80)))</f>
        <v/>
      </c>
      <c r="G17">
        <f>IF(COUNTIFS('[Import Monatsdaten.xlsx]Import Monatsdaten'!$C$7:$C$8,'[Steuerung.xlsx]Steuerung'!$F$6,'[Import Monatsdaten.xlsx]Import Monatsdaten'!$D$7:$D$8,2)&gt;0,SUMIFS('[Import Monatsdaten.xlsx]Import Monatsdaten'!$L$7:$L$8,'[Import Monatsdaten.xlsx]Import Monatsdaten'!$C$7:$C$8,'[Steuerung.xlsx]Steuerung'!$F$6,'[Import Monatsdaten.xlsx]Import Monatsdaten'!$D$7:$D$8,2),IF(COUNTIFS('[D Finanzen.xlsx]D Finanzen'!$A$45:$A$115,'[Steuerung.xlsx]Steuerung'!$F$6,'[D Finanzen.xlsx]D Finanzen'!$B$45:$B$115,G$5)=0,"",SUMIFS('[D Finanzen.xlsx]D Finanzen'!$E$45:$E$115,'[D Finanzen.xlsx]D Finanzen'!$A$45:$A$115,'[Steuerung.xlsx]Steuerung'!$F$6,'[D Finanzen.xlsx]D Finanzen'!$B$45:$B$115,G$5,'[D Finanzen.xlsx]D Finanzen'!$C$45:$C$115,80)))</f>
        <v/>
      </c>
      <c r="H17">
        <f>IF(COUNTIFS('[Import Monatsdaten.xlsx]Import Monatsdaten'!$C$7:$C$8,'[Steuerung.xlsx]Steuerung'!$F$6,'[Import Monatsdaten.xlsx]Import Monatsdaten'!$D$7:$D$8,3)&gt;0,SUMIFS('[Import Monatsdaten.xlsx]Import Monatsdaten'!$L$7:$L$8,'[Import Monatsdaten.xlsx]Import Monatsdaten'!$C$7:$C$8,'[Steuerung.xlsx]Steuerung'!$F$6,'[Import Monatsdaten.xlsx]Import Monatsdaten'!$D$7:$D$8,3),IF(COUNTIFS('[D Finanzen.xlsx]D Finanzen'!$A$45:$A$115,'[Steuerung.xlsx]Steuerung'!$F$6,'[D Finanzen.xlsx]D Finanzen'!$B$45:$B$115,H$5)=0,"",SUMIFS('[D Finanzen.xlsx]D Finanzen'!$E$45:$E$115,'[D Finanzen.xlsx]D Finanzen'!$A$45:$A$115,'[Steuerung.xlsx]Steuerung'!$F$6,'[D Finanzen.xlsx]D Finanzen'!$B$45:$B$115,H$5,'[D Finanzen.xlsx]D Finanzen'!$C$45:$C$115,80)))</f>
        <v/>
      </c>
      <c r="I17">
        <f>IF(COUNTIFS('[Import Monatsdaten.xlsx]Import Monatsdaten'!$C$7:$C$8,'[Steuerung.xlsx]Steuerung'!$F$6,'[Import Monatsdaten.xlsx]Import Monatsdaten'!$D$7:$D$8,4)&gt;0,SUMIFS('[Import Monatsdaten.xlsx]Import Monatsdaten'!$L$7:$L$8,'[Import Monatsdaten.xlsx]Import Monatsdaten'!$C$7:$C$8,'[Steuerung.xlsx]Steuerung'!$F$6,'[Import Monatsdaten.xlsx]Import Monatsdaten'!$D$7:$D$8,4),IF(COUNTIFS('[D Finanzen.xlsx]D Finanzen'!$A$45:$A$115,'[Steuerung.xlsx]Steuerung'!$F$6,'[D Finanzen.xlsx]D Finanzen'!$B$45:$B$115,I$5)=0,"",SUMIFS('[D Finanzen.xlsx]D Finanzen'!$E$45:$E$115,'[D Finanzen.xlsx]D Finanzen'!$A$45:$A$115,'[Steuerung.xlsx]Steuerung'!$F$6,'[D Finanzen.xlsx]D Finanzen'!$B$45:$B$115,I$5,'[D Finanzen.xlsx]D Finanzen'!$C$45:$C$115,80)))</f>
        <v/>
      </c>
      <c r="J17">
        <f>IF(COUNTIFS('[Import Monatsdaten.xlsx]Import Monatsdaten'!$C$7:$C$8,'[Steuerung.xlsx]Steuerung'!$F$6,'[Import Monatsdaten.xlsx]Import Monatsdaten'!$D$7:$D$8,5)&gt;0,SUMIFS('[Import Monatsdaten.xlsx]Import Monatsdaten'!$L$7:$L$8,'[Import Monatsdaten.xlsx]Import Monatsdaten'!$C$7:$C$8,'[Steuerung.xlsx]Steuerung'!$F$6,'[Import Monatsdaten.xlsx]Import Monatsdaten'!$D$7:$D$8,5),IF(COUNTIFS('[D Finanzen.xlsx]D Finanzen'!$A$45:$A$115,'[Steuerung.xlsx]Steuerung'!$F$6,'[D Finanzen.xlsx]D Finanzen'!$B$45:$B$115,J$5)=0,"",SUMIFS('[D Finanzen.xlsx]D Finanzen'!$E$45:$E$115,'[D Finanzen.xlsx]D Finanzen'!$A$45:$A$115,'[Steuerung.xlsx]Steuerung'!$F$6,'[D Finanzen.xlsx]D Finanzen'!$B$45:$B$115,J$5,'[D Finanzen.xlsx]D Finanzen'!$C$45:$C$115,80)))</f>
        <v/>
      </c>
      <c r="K17">
        <f>IF(COUNTIFS('[Import Monatsdaten.xlsx]Import Monatsdaten'!$C$7:$C$8,'[Steuerung.xlsx]Steuerung'!$F$6,'[Import Monatsdaten.xlsx]Import Monatsdaten'!$D$7:$D$8,6)&gt;0,SUMIFS('[Import Monatsdaten.xlsx]Import Monatsdaten'!$L$7:$L$8,'[Import Monatsdaten.xlsx]Import Monatsdaten'!$C$7:$C$8,'[Steuerung.xlsx]Steuerung'!$F$6,'[Import Monatsdaten.xlsx]Import Monatsdaten'!$D$7:$D$8,6),IF(COUNTIFS('[D Finanzen.xlsx]D Finanzen'!$A$45:$A$115,'[Steuerung.xlsx]Steuerung'!$F$6,'[D Finanzen.xlsx]D Finanzen'!$B$45:$B$115,K$5)=0,"",SUMIFS('[D Finanzen.xlsx]D Finanzen'!$E$45:$E$115,'[D Finanzen.xlsx]D Finanzen'!$A$45:$A$115,'[Steuerung.xlsx]Steuerung'!$F$6,'[D Finanzen.xlsx]D Finanzen'!$B$45:$B$115,K$5,'[D Finanzen.xlsx]D Finanzen'!$C$45:$C$115,80)))</f>
        <v/>
      </c>
      <c r="L17">
        <f>IF(COUNTIFS('[Import Monatsdaten.xlsx]Import Monatsdaten'!$C$7:$C$8,'[Steuerung.xlsx]Steuerung'!$F$6,'[Import Monatsdaten.xlsx]Import Monatsdaten'!$D$7:$D$8,7)&gt;0,SUMIFS('[Import Monatsdaten.xlsx]Import Monatsdaten'!$L$7:$L$8,'[Import Monatsdaten.xlsx]Import Monatsdaten'!$C$7:$C$8,'[Steuerung.xlsx]Steuerung'!$F$6,'[Import Monatsdaten.xlsx]Import Monatsdaten'!$D$7:$D$8,7),IF(COUNTIFS('[D Finanzen.xlsx]D Finanzen'!$A$45:$A$115,'[Steuerung.xlsx]Steuerung'!$F$6,'[D Finanzen.xlsx]D Finanzen'!$B$45:$B$115,L$5)=0,"",SUMIFS('[D Finanzen.xlsx]D Finanzen'!$E$45:$E$115,'[D Finanzen.xlsx]D Finanzen'!$A$45:$A$115,'[Steuerung.xlsx]Steuerung'!$F$6,'[D Finanzen.xlsx]D Finanzen'!$B$45:$B$115,L$5,'[D Finanzen.xlsx]D Finanzen'!$C$45:$C$115,80)))</f>
        <v/>
      </c>
      <c r="M17">
        <f>IF(COUNTIFS('[Import Monatsdaten.xlsx]Import Monatsdaten'!$C$7:$C$8,'[Steuerung.xlsx]Steuerung'!$F$6,'[Import Monatsdaten.xlsx]Import Monatsdaten'!$D$7:$D$8,8)&gt;0,SUMIFS('[Import Monatsdaten.xlsx]Import Monatsdaten'!$L$7:$L$8,'[Import Monatsdaten.xlsx]Import Monatsdaten'!$C$7:$C$8,'[Steuerung.xlsx]Steuerung'!$F$6,'[Import Monatsdaten.xlsx]Import Monatsdaten'!$D$7:$D$8,8),IF(COUNTIFS('[D Finanzen.xlsx]D Finanzen'!$A$45:$A$115,'[Steuerung.xlsx]Steuerung'!$F$6,'[D Finanzen.xlsx]D Finanzen'!$B$45:$B$115,M$5)=0,"",SUMIFS('[D Finanzen.xlsx]D Finanzen'!$E$45:$E$115,'[D Finanzen.xlsx]D Finanzen'!$A$45:$A$115,'[Steuerung.xlsx]Steuerung'!$F$6,'[D Finanzen.xlsx]D Finanzen'!$B$45:$B$115,M$5,'[D Finanzen.xlsx]D Finanzen'!$C$45:$C$115,80)))</f>
        <v/>
      </c>
      <c r="N17">
        <f>IF(COUNTIFS('[Import Monatsdaten.xlsx]Import Monatsdaten'!$C$7:$C$8,'[Steuerung.xlsx]Steuerung'!$F$6,'[Import Monatsdaten.xlsx]Import Monatsdaten'!$D$7:$D$8,9)&gt;0,SUMIFS('[Import Monatsdaten.xlsx]Import Monatsdaten'!$L$7:$L$8,'[Import Monatsdaten.xlsx]Import Monatsdaten'!$C$7:$C$8,'[Steuerung.xlsx]Steuerung'!$F$6,'[Import Monatsdaten.xlsx]Import Monatsdaten'!$D$7:$D$8,9),IF(COUNTIFS('[D Finanzen.xlsx]D Finanzen'!$A$45:$A$115,'[Steuerung.xlsx]Steuerung'!$F$6,'[D Finanzen.xlsx]D Finanzen'!$B$45:$B$115,N$5)=0,"",SUMIFS('[D Finanzen.xlsx]D Finanzen'!$E$45:$E$115,'[D Finanzen.xlsx]D Finanzen'!$A$45:$A$115,'[Steuerung.xlsx]Steuerung'!$F$6,'[D Finanzen.xlsx]D Finanzen'!$B$45:$B$115,N$5,'[D Finanzen.xlsx]D Finanzen'!$C$45:$C$115,80)))</f>
        <v/>
      </c>
      <c r="O17">
        <f>IF(COUNTIFS('[Import Monatsdaten.xlsx]Import Monatsdaten'!$C$7:$C$8,'[Steuerung.xlsx]Steuerung'!$F$6,'[Import Monatsdaten.xlsx]Import Monatsdaten'!$D$7:$D$8,10)&gt;0,SUMIFS('[Import Monatsdaten.xlsx]Import Monatsdaten'!$L$7:$L$8,'[Import Monatsdaten.xlsx]Import Monatsdaten'!$C$7:$C$8,'[Steuerung.xlsx]Steuerung'!$F$6,'[Import Monatsdaten.xlsx]Import Monatsdaten'!$D$7:$D$8,10),IF(COUNTIFS('[D Finanzen.xlsx]D Finanzen'!$A$45:$A$115,'[Steuerung.xlsx]Steuerung'!$F$6,'[D Finanzen.xlsx]D Finanzen'!$B$45:$B$115,O$5)=0,"",SUMIFS('[D Finanzen.xlsx]D Finanzen'!$E$45:$E$115,'[D Finanzen.xlsx]D Finanzen'!$A$45:$A$115,'[Steuerung.xlsx]Steuerung'!$F$6,'[D Finanzen.xlsx]D Finanzen'!$B$45:$B$115,O$5,'[D Finanzen.xlsx]D Finanzen'!$C$45:$C$115,80)))</f>
        <v/>
      </c>
      <c r="P17">
        <f>IF(COUNTIFS('[Import Monatsdaten.xlsx]Import Monatsdaten'!$C$7:$C$8,'[Steuerung.xlsx]Steuerung'!$F$6,'[Import Monatsdaten.xlsx]Import Monatsdaten'!$D$7:$D$8,11)&gt;0,SUMIFS('[Import Monatsdaten.xlsx]Import Monatsdaten'!$L$7:$L$8,'[Import Monatsdaten.xlsx]Import Monatsdaten'!$C$7:$C$8,'[Steuerung.xlsx]Steuerung'!$F$6,'[Import Monatsdaten.xlsx]Import Monatsdaten'!$D$7:$D$8,11),IF(COUNTIFS('[D Finanzen.xlsx]D Finanzen'!$A$45:$A$115,'[Steuerung.xlsx]Steuerung'!$F$6,'[D Finanzen.xlsx]D Finanzen'!$B$45:$B$115,P$5)=0,"",SUMIFS('[D Finanzen.xlsx]D Finanzen'!$E$45:$E$115,'[D Finanzen.xlsx]D Finanzen'!$A$45:$A$115,'[Steuerung.xlsx]Steuerung'!$F$6,'[D Finanzen.xlsx]D Finanzen'!$B$45:$B$115,P$5,'[D Finanzen.xlsx]D Finanzen'!$C$45:$C$115,80)))</f>
        <v/>
      </c>
      <c r="Q17">
        <f>IF(COUNTIFS('[Import Monatsdaten.xlsx]Import Monatsdaten'!$C$7:$C$8,'[Steuerung.xlsx]Steuerung'!$F$6,'[Import Monatsdaten.xlsx]Import Monatsdaten'!$D$7:$D$8,12)&gt;0,SUMIFS('[Import Monatsdaten.xlsx]Import Monatsdaten'!$L$7:$L$8,'[Import Monatsdaten.xlsx]Import Monatsdaten'!$C$7:$C$8,'[Steuerung.xlsx]Steuerung'!$F$6,'[Import Monatsdaten.xlsx]Import Monatsdaten'!$D$7:$D$8,12),IF(COUNTIFS('[D Finanzen.xlsx]D Finanzen'!$A$45:$A$115,'[Steuerung.xlsx]Steuerung'!$F$6,'[D Finanzen.xlsx]D Finanzen'!$B$45:$B$115,Q$5)=0,"",SUMIFS('[D Finanzen.xlsx]D Finanzen'!$E$45:$E$115,'[D Finanzen.xlsx]D Finanzen'!$A$45:$A$115,'[Steuerung.xlsx]Steuerung'!$F$6,'[D Finanzen.xlsx]D Finanzen'!$B$45:$B$115,Q$5,'[D Finanzen.xlsx]D Finanzen'!$C$45:$C$115,80)))</f>
        <v/>
      </c>
    </row>
    <row r="18">
      <c r="C18" t="inlineStr">
        <is>
          <t>Ergebnis aus Staffel</t>
        </is>
      </c>
      <c r="D18">
        <f>SUMIFS(F18:Q18,$F$5:$Q$5,"&lt;="&amp;'[Steuerung.xlsx]Steuerung'!$F$7)</f>
        <v/>
      </c>
      <c r="E18">
        <f>IF($D$9=0,"n.a.",D18/$D$9)</f>
        <v/>
      </c>
      <c r="F18">
        <f>IF(F7="","",SUM(F16:F17))</f>
        <v/>
      </c>
      <c r="G18">
        <f>IF(G7="","",SUM(G16:G17))</f>
        <v/>
      </c>
      <c r="H18">
        <f>IF(H7="","",SUM(H16:H17))</f>
        <v/>
      </c>
      <c r="I18">
        <f>IF(I7="","",SUM(I16:I17))</f>
        <v/>
      </c>
      <c r="J18">
        <f>IF(J7="","",SUM(J16:J17))</f>
        <v/>
      </c>
      <c r="K18">
        <f>IF(K7="","",SUM(K16:K17))</f>
        <v/>
      </c>
      <c r="L18">
        <f>IF(L7="","",SUM(L16:L17))</f>
        <v/>
      </c>
      <c r="M18">
        <f>IF(M7="","",SUM(M16:M17))</f>
        <v/>
      </c>
      <c r="N18">
        <f>IF(N7="","",SUM(N16:N17))</f>
        <v/>
      </c>
      <c r="O18">
        <f>IF(O7="","",SUM(O16:O17))</f>
        <v/>
      </c>
      <c r="P18">
        <f>IF(P7="","",SUM(P16:P17))</f>
        <v/>
      </c>
      <c r="Q18">
        <f>IF(Q7="","",SUM(Q16:Q17))</f>
        <v/>
      </c>
    </row>
    <row r="20">
      <c r="C20" t="inlineStr">
        <is>
          <t>EBITDA Cockpit-Definition</t>
        </is>
      </c>
      <c r="D20">
        <f>SUMIFS(F20:Q20,$F$5:$Q$5,"&lt;="&amp;'[Steuerung.xlsx]Steuerung'!$F$7)</f>
        <v/>
      </c>
      <c r="E20">
        <f>IF($D$9=0,"n.a.",D20/$D$9)</f>
        <v/>
      </c>
      <c r="F20">
        <f>IF(COUNTIFS('[Import Monatsdaten.xlsx]Import Monatsdaten'!$C$7:$C$8,'[Steuerung.xlsx]Steuerung'!$F$6,'[Import Monatsdaten.xlsx]Import Monatsdaten'!$D$7:$D$8,1)&gt;0,F14,IF(COUNTIFS('[D Finanzen.xlsx]D Finanzen'!$A$8:$A$16,'[Steuerung.xlsx]Steuerung'!$F$6,'[D Finanzen.xlsx]D Finanzen'!$B$8:$B$16,F$5)=0,"",SUMIFS('[D Finanzen.xlsx]D Finanzen'!$F$8:$F$16,'[D Finanzen.xlsx]D Finanzen'!$A$8:$A$16,'[Steuerung.xlsx]Steuerung'!$F$6,'[D Finanzen.xlsx]D Finanzen'!$B$8:$B$16,F$5)))</f>
        <v/>
      </c>
      <c r="G20">
        <f>IF(COUNTIFS('[Import Monatsdaten.xlsx]Import Monatsdaten'!$C$7:$C$8,'[Steuerung.xlsx]Steuerung'!$F$6,'[Import Monatsdaten.xlsx]Import Monatsdaten'!$D$7:$D$8,2)&gt;0,G14,IF(COUNTIFS('[D Finanzen.xlsx]D Finanzen'!$A$8:$A$16,'[Steuerung.xlsx]Steuerung'!$F$6,'[D Finanzen.xlsx]D Finanzen'!$B$8:$B$16,G$5)=0,"",SUMIFS('[D Finanzen.xlsx]D Finanzen'!$F$8:$F$16,'[D Finanzen.xlsx]D Finanzen'!$A$8:$A$16,'[Steuerung.xlsx]Steuerung'!$F$6,'[D Finanzen.xlsx]D Finanzen'!$B$8:$B$16,G$5)))</f>
        <v/>
      </c>
      <c r="H20">
        <f>IF(COUNTIFS('[Import Monatsdaten.xlsx]Import Monatsdaten'!$C$7:$C$8,'[Steuerung.xlsx]Steuerung'!$F$6,'[Import Monatsdaten.xlsx]Import Monatsdaten'!$D$7:$D$8,3)&gt;0,H14,IF(COUNTIFS('[D Finanzen.xlsx]D Finanzen'!$A$8:$A$16,'[Steuerung.xlsx]Steuerung'!$F$6,'[D Finanzen.xlsx]D Finanzen'!$B$8:$B$16,H$5)=0,"",SUMIFS('[D Finanzen.xlsx]D Finanzen'!$F$8:$F$16,'[D Finanzen.xlsx]D Finanzen'!$A$8:$A$16,'[Steuerung.xlsx]Steuerung'!$F$6,'[D Finanzen.xlsx]D Finanzen'!$B$8:$B$16,H$5)))</f>
        <v/>
      </c>
      <c r="I20">
        <f>IF(COUNTIFS('[Import Monatsdaten.xlsx]Import Monatsdaten'!$C$7:$C$8,'[Steuerung.xlsx]Steuerung'!$F$6,'[Import Monatsdaten.xlsx]Import Monatsdaten'!$D$7:$D$8,4)&gt;0,I14,IF(COUNTIFS('[D Finanzen.xlsx]D Finanzen'!$A$8:$A$16,'[Steuerung.xlsx]Steuerung'!$F$6,'[D Finanzen.xlsx]D Finanzen'!$B$8:$B$16,I$5)=0,"",SUMIFS('[D Finanzen.xlsx]D Finanzen'!$F$8:$F$16,'[D Finanzen.xlsx]D Finanzen'!$A$8:$A$16,'[Steuerung.xlsx]Steuerung'!$F$6,'[D Finanzen.xlsx]D Finanzen'!$B$8:$B$16,I$5)))</f>
        <v/>
      </c>
      <c r="J20">
        <f>IF(COUNTIFS('[Import Monatsdaten.xlsx]Import Monatsdaten'!$C$7:$C$8,'[Steuerung.xlsx]Steuerung'!$F$6,'[Import Monatsdaten.xlsx]Import Monatsdaten'!$D$7:$D$8,5)&gt;0,J14,IF(COUNTIFS('[D Finanzen.xlsx]D Finanzen'!$A$8:$A$16,'[Steuerung.xlsx]Steuerung'!$F$6,'[D Finanzen.xlsx]D Finanzen'!$B$8:$B$16,J$5)=0,"",SUMIFS('[D Finanzen.xlsx]D Finanzen'!$F$8:$F$16,'[D Finanzen.xlsx]D Finanzen'!$A$8:$A$16,'[Steuerung.xlsx]Steuerung'!$F$6,'[D Finanzen.xlsx]D Finanzen'!$B$8:$B$16,J$5)))</f>
        <v/>
      </c>
      <c r="K20">
        <f>IF(COUNTIFS('[Import Monatsdaten.xlsx]Import Monatsdaten'!$C$7:$C$8,'[Steuerung.xlsx]Steuerung'!$F$6,'[Import Monatsdaten.xlsx]Import Monatsdaten'!$D$7:$D$8,6)&gt;0,K14,IF(COUNTIFS('[D Finanzen.xlsx]D Finanzen'!$A$8:$A$16,'[Steuerung.xlsx]Steuerung'!$F$6,'[D Finanzen.xlsx]D Finanzen'!$B$8:$B$16,K$5)=0,"",SUMIFS('[D Finanzen.xlsx]D Finanzen'!$F$8:$F$16,'[D Finanzen.xlsx]D Finanzen'!$A$8:$A$16,'[Steuerung.xlsx]Steuerung'!$F$6,'[D Finanzen.xlsx]D Finanzen'!$B$8:$B$16,K$5)))</f>
        <v/>
      </c>
      <c r="L20">
        <f>IF(COUNTIFS('[Import Monatsdaten.xlsx]Import Monatsdaten'!$C$7:$C$8,'[Steuerung.xlsx]Steuerung'!$F$6,'[Import Monatsdaten.xlsx]Import Monatsdaten'!$D$7:$D$8,7)&gt;0,L14,IF(COUNTIFS('[D Finanzen.xlsx]D Finanzen'!$A$8:$A$16,'[Steuerung.xlsx]Steuerung'!$F$6,'[D Finanzen.xlsx]D Finanzen'!$B$8:$B$16,L$5)=0,"",SUMIFS('[D Finanzen.xlsx]D Finanzen'!$F$8:$F$16,'[D Finanzen.xlsx]D Finanzen'!$A$8:$A$16,'[Steuerung.xlsx]Steuerung'!$F$6,'[D Finanzen.xlsx]D Finanzen'!$B$8:$B$16,L$5)))</f>
        <v/>
      </c>
      <c r="M20">
        <f>IF(COUNTIFS('[Import Monatsdaten.xlsx]Import Monatsdaten'!$C$7:$C$8,'[Steuerung.xlsx]Steuerung'!$F$6,'[Import Monatsdaten.xlsx]Import Monatsdaten'!$D$7:$D$8,8)&gt;0,M14,IF(COUNTIFS('[D Finanzen.xlsx]D Finanzen'!$A$8:$A$16,'[Steuerung.xlsx]Steuerung'!$F$6,'[D Finanzen.xlsx]D Finanzen'!$B$8:$B$16,M$5)=0,"",SUMIFS('[D Finanzen.xlsx]D Finanzen'!$F$8:$F$16,'[D Finanzen.xlsx]D Finanzen'!$A$8:$A$16,'[Steuerung.xlsx]Steuerung'!$F$6,'[D Finanzen.xlsx]D Finanzen'!$B$8:$B$16,M$5)))</f>
        <v/>
      </c>
      <c r="N20">
        <f>IF(COUNTIFS('[Import Monatsdaten.xlsx]Import Monatsdaten'!$C$7:$C$8,'[Steuerung.xlsx]Steuerung'!$F$6,'[Import Monatsdaten.xlsx]Import Monatsdaten'!$D$7:$D$8,9)&gt;0,N14,IF(COUNTIFS('[D Finanzen.xlsx]D Finanzen'!$A$8:$A$16,'[Steuerung.xlsx]Steuerung'!$F$6,'[D Finanzen.xlsx]D Finanzen'!$B$8:$B$16,N$5)=0,"",SUMIFS('[D Finanzen.xlsx]D Finanzen'!$F$8:$F$16,'[D Finanzen.xlsx]D Finanzen'!$A$8:$A$16,'[Steuerung.xlsx]Steuerung'!$F$6,'[D Finanzen.xlsx]D Finanzen'!$B$8:$B$16,N$5)))</f>
        <v/>
      </c>
      <c r="O20">
        <f>IF(COUNTIFS('[Import Monatsdaten.xlsx]Import Monatsdaten'!$C$7:$C$8,'[Steuerung.xlsx]Steuerung'!$F$6,'[Import Monatsdaten.xlsx]Import Monatsdaten'!$D$7:$D$8,10)&gt;0,O14,IF(COUNTIFS('[D Finanzen.xlsx]D Finanzen'!$A$8:$A$16,'[Steuerung.xlsx]Steuerung'!$F$6,'[D Finanzen.xlsx]D Finanzen'!$B$8:$B$16,O$5)=0,"",SUMIFS('[D Finanzen.xlsx]D Finanzen'!$F$8:$F$16,'[D Finanzen.xlsx]D Finanzen'!$A$8:$A$16,'[Steuerung.xlsx]Steuerung'!$F$6,'[D Finanzen.xlsx]D Finanzen'!$B$8:$B$16,O$5)))</f>
        <v/>
      </c>
      <c r="P20">
        <f>IF(COUNTIFS('[Import Monatsdaten.xlsx]Import Monatsdaten'!$C$7:$C$8,'[Steuerung.xlsx]Steuerung'!$F$6,'[Import Monatsdaten.xlsx]Import Monatsdaten'!$D$7:$D$8,11)&gt;0,P14,IF(COUNTIFS('[D Finanzen.xlsx]D Finanzen'!$A$8:$A$16,'[Steuerung.xlsx]Steuerung'!$F$6,'[D Finanzen.xlsx]D Finanzen'!$B$8:$B$16,P$5)=0,"",SUMIFS('[D Finanzen.xlsx]D Finanzen'!$F$8:$F$16,'[D Finanzen.xlsx]D Finanzen'!$A$8:$A$16,'[Steuerung.xlsx]Steuerung'!$F$6,'[D Finanzen.xlsx]D Finanzen'!$B$8:$B$16,P$5)))</f>
        <v/>
      </c>
      <c r="Q20">
        <f>IF(COUNTIFS('[Import Monatsdaten.xlsx]Import Monatsdaten'!$C$7:$C$8,'[Steuerung.xlsx]Steuerung'!$F$6,'[Import Monatsdaten.xlsx]Import Monatsdaten'!$D$7:$D$8,12)&gt;0,Q14,IF(COUNTIFS('[D Finanzen.xlsx]D Finanzen'!$A$8:$A$16,'[Steuerung.xlsx]Steuerung'!$F$6,'[D Finanzen.xlsx]D Finanzen'!$B$8:$B$16,Q$5)=0,"",SUMIFS('[D Finanzen.xlsx]D Finanzen'!$F$8:$F$16,'[D Finanzen.xlsx]D Finanzen'!$A$8:$A$16,'[Steuerung.xlsx]Steuerung'!$F$6,'[D Finanzen.xlsx]D Finanzen'!$B$8:$B$16,Q$5)))</f>
        <v/>
      </c>
    </row>
    <row r="21">
      <c r="C21" t="inlineStr">
        <is>
          <t>Differenz EBITDA-Definition</t>
        </is>
      </c>
      <c r="D21">
        <f>SUMIFS(F21:Q21,$F$5:$Q$5,"&lt;="&amp;'[Steuerung.xlsx]Steuerung'!$F$7)</f>
        <v/>
      </c>
      <c r="E21">
        <f>IF($D$9=0,"n.a.",D21/$D$9)</f>
        <v/>
      </c>
      <c r="F21">
        <f>IF(F7="","",ROUND(F14-F20,2))</f>
        <v/>
      </c>
      <c r="G21">
        <f>IF(G7="","",ROUND(G14-G20,2))</f>
        <v/>
      </c>
      <c r="H21">
        <f>IF(H7="","",ROUND(H14-H20,2))</f>
        <v/>
      </c>
      <c r="I21">
        <f>IF(I7="","",ROUND(I14-I20,2))</f>
        <v/>
      </c>
      <c r="J21">
        <f>IF(J7="","",ROUND(J14-J20,2))</f>
        <v/>
      </c>
      <c r="K21">
        <f>IF(K7="","",ROUND(K14-K20,2))</f>
        <v/>
      </c>
      <c r="L21">
        <f>IF(L7="","",ROUND(L14-L20,2))</f>
        <v/>
      </c>
      <c r="M21">
        <f>IF(M7="","",ROUND(M14-M20,2))</f>
        <v/>
      </c>
      <c r="N21">
        <f>IF(N7="","",ROUND(N14-N20,2))</f>
        <v/>
      </c>
      <c r="O21">
        <f>IF(O7="","",ROUND(O14-O20,2))</f>
        <v/>
      </c>
      <c r="P21">
        <f>IF(P7="","",ROUND(P14-P20,2))</f>
        <v/>
      </c>
      <c r="Q21">
        <f>IF(Q7="","",ROUND(Q14-Q20,2))</f>
        <v/>
      </c>
    </row>
    <row r="23">
      <c r="C23" t="inlineStr">
        <is>
          <t>Quelle je Monat</t>
        </is>
      </c>
      <c r="F23">
        <f>IF(COUNTIFS('[Import Monatsdaten.xlsx]Import Monatsdaten'!$C$7:$C$8,'[Steuerung.xlsx]Steuerung'!$F$6,'[Import Monatsdaten.xlsx]Import Monatsdaten'!$D$7:$D$8,1)&gt;0,"CSV-Import","Originalexport")</f>
        <v/>
      </c>
      <c r="G23">
        <f>IF(COUNTIFS('[Import Monatsdaten.xlsx]Import Monatsdaten'!$C$7:$C$8,'[Steuerung.xlsx]Steuerung'!$F$6,'[Import Monatsdaten.xlsx]Import Monatsdaten'!$D$7:$D$8,2)&gt;0,"CSV-Import","Originalexport")</f>
        <v/>
      </c>
      <c r="H23">
        <f>IF(COUNTIFS('[Import Monatsdaten.xlsx]Import Monatsdaten'!$C$7:$C$8,'[Steuerung.xlsx]Steuerung'!$F$6,'[Import Monatsdaten.xlsx]Import Monatsdaten'!$D$7:$D$8,3)&gt;0,"CSV-Import","Originalexport")</f>
        <v/>
      </c>
      <c r="I23">
        <f>IF(COUNTIFS('[Import Monatsdaten.xlsx]Import Monatsdaten'!$C$7:$C$8,'[Steuerung.xlsx]Steuerung'!$F$6,'[Import Monatsdaten.xlsx]Import Monatsdaten'!$D$7:$D$8,4)&gt;0,"CSV-Import","Originalexport")</f>
        <v/>
      </c>
      <c r="J23">
        <f>IF(COUNTIFS('[Import Monatsdaten.xlsx]Import Monatsdaten'!$C$7:$C$8,'[Steuerung.xlsx]Steuerung'!$F$6,'[Import Monatsdaten.xlsx]Import Monatsdaten'!$D$7:$D$8,5)&gt;0,"CSV-Import","Originalexport")</f>
        <v/>
      </c>
      <c r="K23">
        <f>IF(COUNTIFS('[Import Monatsdaten.xlsx]Import Monatsdaten'!$C$7:$C$8,'[Steuerung.xlsx]Steuerung'!$F$6,'[Import Monatsdaten.xlsx]Import Monatsdaten'!$D$7:$D$8,6)&gt;0,"CSV-Import","Originalexport")</f>
        <v/>
      </c>
      <c r="L23">
        <f>IF(COUNTIFS('[Import Monatsdaten.xlsx]Import Monatsdaten'!$C$7:$C$8,'[Steuerung.xlsx]Steuerung'!$F$6,'[Import Monatsdaten.xlsx]Import Monatsdaten'!$D$7:$D$8,7)&gt;0,"CSV-Import","Originalexport")</f>
        <v/>
      </c>
      <c r="M23">
        <f>IF(COUNTIFS('[Import Monatsdaten.xlsx]Import Monatsdaten'!$C$7:$C$8,'[Steuerung.xlsx]Steuerung'!$F$6,'[Import Monatsdaten.xlsx]Import Monatsdaten'!$D$7:$D$8,8)&gt;0,"CSV-Import","Originalexport")</f>
        <v/>
      </c>
      <c r="N23">
        <f>IF(COUNTIFS('[Import Monatsdaten.xlsx]Import Monatsdaten'!$C$7:$C$8,'[Steuerung.xlsx]Steuerung'!$F$6,'[Import Monatsdaten.xlsx]Import Monatsdaten'!$D$7:$D$8,9)&gt;0,"CSV-Import","Originalexport")</f>
        <v/>
      </c>
      <c r="O23">
        <f>IF(COUNTIFS('[Import Monatsdaten.xlsx]Import Monatsdaten'!$C$7:$C$8,'[Steuerung.xlsx]Steuerung'!$F$6,'[Import Monatsdaten.xlsx]Import Monatsdaten'!$D$7:$D$8,10)&gt;0,"CSV-Import","Originalexport")</f>
        <v/>
      </c>
      <c r="P23">
        <f>IF(COUNTIFS('[Import Monatsdaten.xlsx]Import Monatsdaten'!$C$7:$C$8,'[Steuerung.xlsx]Steuerung'!$F$6,'[Import Monatsdaten.xlsx]Import Monatsdaten'!$D$7:$D$8,11)&gt;0,"CSV-Import","Originalexport")</f>
        <v/>
      </c>
      <c r="Q23">
        <f>IF(COUNTIFS('[Import Monatsdaten.xlsx]Import Monatsdaten'!$C$7:$C$8,'[Steuerung.xlsx]Steuerung'!$F$6,'[Import Monatsdaten.xlsx]Import Monatsdaten'!$D$7:$D$8,12)&gt;0,"CSV-Import","Originalexport")</f>
        <v/>
      </c>
    </row>
    <row r="24">
      <c r="C24" t="inlineStr">
        <is>
          <t>Neutrales Ergebnis</t>
        </is>
      </c>
      <c r="D24">
        <f>SUMIFS(F24:Q24,$F$5:$Q$5,"&lt;="&amp;'[Steuerung.xlsx]Steuerung'!$F$7)</f>
        <v/>
      </c>
      <c r="F24">
        <f>IF(COUNTIFS('[Import Monatsdaten.xlsx]Import Monatsdaten'!$C$7:$C$8,'[Steuerung.xlsx]Steuerung'!$F$6,'[Import Monatsdaten.xlsx]Import Monatsdaten'!$D$7:$D$8,1)&gt;0,SUMIFS('[Import Monatsdaten.xlsx]Import Monatsdaten'!$M$7:$M$8,'[Import Monatsdaten.xlsx]Import Monatsdaten'!$C$7:$C$8,'[Steuerung.xlsx]Steuerung'!$F$6,'[Import Monatsdaten.xlsx]Import Monatsdaten'!$D$7:$D$8,1),SUMIFS('[D Finanzen.xlsx]D Finanzen'!$G$8:$G$16,'[D Finanzen.xlsx]D Finanzen'!$A$8:$A$16,'[Steuerung.xlsx]Steuerung'!$F$6,'[D Finanzen.xlsx]D Finanzen'!$B$8:$B$16,1))</f>
        <v/>
      </c>
      <c r="G24">
        <f>IF(COUNTIFS('[Import Monatsdaten.xlsx]Import Monatsdaten'!$C$7:$C$8,'[Steuerung.xlsx]Steuerung'!$F$6,'[Import Monatsdaten.xlsx]Import Monatsdaten'!$D$7:$D$8,2)&gt;0,SUMIFS('[Import Monatsdaten.xlsx]Import Monatsdaten'!$M$7:$M$8,'[Import Monatsdaten.xlsx]Import Monatsdaten'!$C$7:$C$8,'[Steuerung.xlsx]Steuerung'!$F$6,'[Import Monatsdaten.xlsx]Import Monatsdaten'!$D$7:$D$8,2),SUMIFS('[D Finanzen.xlsx]D Finanzen'!$G$8:$G$16,'[D Finanzen.xlsx]D Finanzen'!$A$8:$A$16,'[Steuerung.xlsx]Steuerung'!$F$6,'[D Finanzen.xlsx]D Finanzen'!$B$8:$B$16,2))</f>
        <v/>
      </c>
      <c r="H24">
        <f>IF(COUNTIFS('[Import Monatsdaten.xlsx]Import Monatsdaten'!$C$7:$C$8,'[Steuerung.xlsx]Steuerung'!$F$6,'[Import Monatsdaten.xlsx]Import Monatsdaten'!$D$7:$D$8,3)&gt;0,SUMIFS('[Import Monatsdaten.xlsx]Import Monatsdaten'!$M$7:$M$8,'[Import Monatsdaten.xlsx]Import Monatsdaten'!$C$7:$C$8,'[Steuerung.xlsx]Steuerung'!$F$6,'[Import Monatsdaten.xlsx]Import Monatsdaten'!$D$7:$D$8,3),SUMIFS('[D Finanzen.xlsx]D Finanzen'!$G$8:$G$16,'[D Finanzen.xlsx]D Finanzen'!$A$8:$A$16,'[Steuerung.xlsx]Steuerung'!$F$6,'[D Finanzen.xlsx]D Finanzen'!$B$8:$B$16,3))</f>
        <v/>
      </c>
      <c r="I24">
        <f>IF(COUNTIFS('[Import Monatsdaten.xlsx]Import Monatsdaten'!$C$7:$C$8,'[Steuerung.xlsx]Steuerung'!$F$6,'[Import Monatsdaten.xlsx]Import Monatsdaten'!$D$7:$D$8,4)&gt;0,SUMIFS('[Import Monatsdaten.xlsx]Import Monatsdaten'!$M$7:$M$8,'[Import Monatsdaten.xlsx]Import Monatsdaten'!$C$7:$C$8,'[Steuerung.xlsx]Steuerung'!$F$6,'[Import Monatsdaten.xlsx]Import Monatsdaten'!$D$7:$D$8,4),SUMIFS('[D Finanzen.xlsx]D Finanzen'!$G$8:$G$16,'[D Finanzen.xlsx]D Finanzen'!$A$8:$A$16,'[Steuerung.xlsx]Steuerung'!$F$6,'[D Finanzen.xlsx]D Finanzen'!$B$8:$B$16,4))</f>
        <v/>
      </c>
      <c r="J24">
        <f>IF(COUNTIFS('[Import Monatsdaten.xlsx]Import Monatsdaten'!$C$7:$C$8,'[Steuerung.xlsx]Steuerung'!$F$6,'[Import Monatsdaten.xlsx]Import Monatsdaten'!$D$7:$D$8,5)&gt;0,SUMIFS('[Import Monatsdaten.xlsx]Import Monatsdaten'!$M$7:$M$8,'[Import Monatsdaten.xlsx]Import Monatsdaten'!$C$7:$C$8,'[Steuerung.xlsx]Steuerung'!$F$6,'[Import Monatsdaten.xlsx]Import Monatsdaten'!$D$7:$D$8,5),SUMIFS('[D Finanzen.xlsx]D Finanzen'!$G$8:$G$16,'[D Finanzen.xlsx]D Finanzen'!$A$8:$A$16,'[Steuerung.xlsx]Steuerung'!$F$6,'[D Finanzen.xlsx]D Finanzen'!$B$8:$B$16,5))</f>
        <v/>
      </c>
      <c r="K24">
        <f>IF(COUNTIFS('[Import Monatsdaten.xlsx]Import Monatsdaten'!$C$7:$C$8,'[Steuerung.xlsx]Steuerung'!$F$6,'[Import Monatsdaten.xlsx]Import Monatsdaten'!$D$7:$D$8,6)&gt;0,SUMIFS('[Import Monatsdaten.xlsx]Import Monatsdaten'!$M$7:$M$8,'[Import Monatsdaten.xlsx]Import Monatsdaten'!$C$7:$C$8,'[Steuerung.xlsx]Steuerung'!$F$6,'[Import Monatsdaten.xlsx]Import Monatsdaten'!$D$7:$D$8,6),SUMIFS('[D Finanzen.xlsx]D Finanzen'!$G$8:$G$16,'[D Finanzen.xlsx]D Finanzen'!$A$8:$A$16,'[Steuerung.xlsx]Steuerung'!$F$6,'[D Finanzen.xlsx]D Finanzen'!$B$8:$B$16,6))</f>
        <v/>
      </c>
      <c r="L24">
        <f>IF(COUNTIFS('[Import Monatsdaten.xlsx]Import Monatsdaten'!$C$7:$C$8,'[Steuerung.xlsx]Steuerung'!$F$6,'[Import Monatsdaten.xlsx]Import Monatsdaten'!$D$7:$D$8,7)&gt;0,SUMIFS('[Import Monatsdaten.xlsx]Import Monatsdaten'!$M$7:$M$8,'[Import Monatsdaten.xlsx]Import Monatsdaten'!$C$7:$C$8,'[Steuerung.xlsx]Steuerung'!$F$6,'[Import Monatsdaten.xlsx]Import Monatsdaten'!$D$7:$D$8,7),SUMIFS('[D Finanzen.xlsx]D Finanzen'!$G$8:$G$16,'[D Finanzen.xlsx]D Finanzen'!$A$8:$A$16,'[Steuerung.xlsx]Steuerung'!$F$6,'[D Finanzen.xlsx]D Finanzen'!$B$8:$B$16,7))</f>
        <v/>
      </c>
      <c r="M24">
        <f>IF(COUNTIFS('[Import Monatsdaten.xlsx]Import Monatsdaten'!$C$7:$C$8,'[Steuerung.xlsx]Steuerung'!$F$6,'[Import Monatsdaten.xlsx]Import Monatsdaten'!$D$7:$D$8,8)&gt;0,SUMIFS('[Import Monatsdaten.xlsx]Import Monatsdaten'!$M$7:$M$8,'[Import Monatsdaten.xlsx]Import Monatsdaten'!$C$7:$C$8,'[Steuerung.xlsx]Steuerung'!$F$6,'[Import Monatsdaten.xlsx]Import Monatsdaten'!$D$7:$D$8,8),SUMIFS('[D Finanzen.xlsx]D Finanzen'!$G$8:$G$16,'[D Finanzen.xlsx]D Finanzen'!$A$8:$A$16,'[Steuerung.xlsx]Steuerung'!$F$6,'[D Finanzen.xlsx]D Finanzen'!$B$8:$B$16,8))</f>
        <v/>
      </c>
      <c r="N24">
        <f>IF(COUNTIFS('[Import Monatsdaten.xlsx]Import Monatsdaten'!$C$7:$C$8,'[Steuerung.xlsx]Steuerung'!$F$6,'[Import Monatsdaten.xlsx]Import Monatsdaten'!$D$7:$D$8,9)&gt;0,SUMIFS('[Import Monatsdaten.xlsx]Import Monatsdaten'!$M$7:$M$8,'[Import Monatsdaten.xlsx]Import Monatsdaten'!$C$7:$C$8,'[Steuerung.xlsx]Steuerung'!$F$6,'[Import Monatsdaten.xlsx]Import Monatsdaten'!$D$7:$D$8,9),SUMIFS('[D Finanzen.xlsx]D Finanzen'!$G$8:$G$16,'[D Finanzen.xlsx]D Finanzen'!$A$8:$A$16,'[Steuerung.xlsx]Steuerung'!$F$6,'[D Finanzen.xlsx]D Finanzen'!$B$8:$B$16,9))</f>
        <v/>
      </c>
      <c r="O24">
        <f>IF(COUNTIFS('[Import Monatsdaten.xlsx]Import Monatsdaten'!$C$7:$C$8,'[Steuerung.xlsx]Steuerung'!$F$6,'[Import Monatsdaten.xlsx]Import Monatsdaten'!$D$7:$D$8,10)&gt;0,SUMIFS('[Import Monatsdaten.xlsx]Import Monatsdaten'!$M$7:$M$8,'[Import Monatsdaten.xlsx]Import Monatsdaten'!$C$7:$C$8,'[Steuerung.xlsx]Steuerung'!$F$6,'[Import Monatsdaten.xlsx]Import Monatsdaten'!$D$7:$D$8,10),SUMIFS('[D Finanzen.xlsx]D Finanzen'!$G$8:$G$16,'[D Finanzen.xlsx]D Finanzen'!$A$8:$A$16,'[Steuerung.xlsx]Steuerung'!$F$6,'[D Finanzen.xlsx]D Finanzen'!$B$8:$B$16,10))</f>
        <v/>
      </c>
      <c r="P24">
        <f>IF(COUNTIFS('[Import Monatsdaten.xlsx]Import Monatsdaten'!$C$7:$C$8,'[Steuerung.xlsx]Steuerung'!$F$6,'[Import Monatsdaten.xlsx]Import Monatsdaten'!$D$7:$D$8,11)&gt;0,SUMIFS('[Import Monatsdaten.xlsx]Import Monatsdaten'!$M$7:$M$8,'[Import Monatsdaten.xlsx]Import Monatsdaten'!$C$7:$C$8,'[Steuerung.xlsx]Steuerung'!$F$6,'[Import Monatsdaten.xlsx]Import Monatsdaten'!$D$7:$D$8,11),SUMIFS('[D Finanzen.xlsx]D Finanzen'!$G$8:$G$16,'[D Finanzen.xlsx]D Finanzen'!$A$8:$A$16,'[Steuerung.xlsx]Steuerung'!$F$6,'[D Finanzen.xlsx]D Finanzen'!$B$8:$B$16,11))</f>
        <v/>
      </c>
      <c r="Q24">
        <f>IF(COUNTIFS('[Import Monatsdaten.xlsx]Import Monatsdaten'!$C$7:$C$8,'[Steuerung.xlsx]Steuerung'!$F$6,'[Import Monatsdaten.xlsx]Import Monatsdaten'!$D$7:$D$8,12)&gt;0,SUMIFS('[Import Monatsdaten.xlsx]Import Monatsdaten'!$M$7:$M$8,'[Import Monatsdaten.xlsx]Import Monatsdaten'!$C$7:$C$8,'[Steuerung.xlsx]Steuerung'!$F$6,'[Import Monatsdaten.xlsx]Import Monatsdaten'!$D$7:$D$8,12),SUMIFS('[D Finanzen.xlsx]D Finanzen'!$G$8:$G$16,'[D Finanzen.xlsx]D Finanzen'!$A$8:$A$16,'[Steuerung.xlsx]Steuerung'!$F$6,'[D Finanzen.xlsx]D Finanzen'!$B$8:$B$16,12))</f>
        <v/>
      </c>
    </row>
    <row r="63">
      <c r="C63" t="inlineStr">
        <is>
          <t>SharePoint-Verknüpfungen (Dateien im selben Ordner)</t>
        </is>
      </c>
    </row>
    <row r="64">
      <c r="C64" t="inlineStr">
        <is>
          <t>Diese Datei</t>
        </is>
      </c>
      <c r="D64" t="inlineStr">
        <is>
          <t>GuV.xlsx</t>
        </is>
      </c>
    </row>
    <row r="65">
      <c r="C65" t="inlineStr">
        <is>
          <t>Liest aus</t>
        </is>
      </c>
      <c r="D65" t="inlineStr">
        <is>
          <t>D Finanzen.xlsx</t>
        </is>
      </c>
      <c r="E65" t="inlineStr">
        <is>
          <t>D Finanzen</t>
        </is>
      </c>
    </row>
    <row r="66">
      <c r="C66" t="inlineStr">
        <is>
          <t>Liest aus</t>
        </is>
      </c>
      <c r="D66" t="inlineStr">
        <is>
          <t>Import Monatsdaten.xlsx</t>
        </is>
      </c>
      <c r="E66" t="inlineStr">
        <is>
          <t>Import Monatsdaten</t>
        </is>
      </c>
    </row>
    <row r="67">
      <c r="C67" t="inlineStr">
        <is>
          <t>Liest aus</t>
        </is>
      </c>
      <c r="D67" t="inlineStr">
        <is>
          <t>Steuerung.xlsx</t>
        </is>
      </c>
      <c r="E67" t="inlineStr">
        <is>
          <t>Steuerung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C2:L511"/>
  <sheetViews>
    <sheetView workbookViewId="0">
      <selection activeCell="A1" sqref="A1"/>
    </sheetView>
  </sheetViews>
  <sheetFormatPr baseColWidth="8" defaultRowHeight="15"/>
  <sheetData>
    <row r="2">
      <c r="C2" t="inlineStr">
        <is>
          <t>Forecast-Eingabe</t>
        </is>
      </c>
    </row>
    <row r="3">
      <c r="C3" t="inlineStr">
        <is>
          <t>Änderungen gegenüber dem exportierten Forecast. Positive Kosten erhöhen den Aufwand. Ist-Monate werden als gesperrt gekennzeichnet.</t>
        </is>
      </c>
    </row>
    <row r="6">
      <c r="C6" t="inlineStr">
        <is>
          <t>Jahr</t>
        </is>
      </c>
      <c r="D6" t="inlineStr">
        <is>
          <t>Monat</t>
        </is>
      </c>
      <c r="E6" t="inlineStr">
        <is>
          <t>Region</t>
        </is>
      </c>
      <c r="F6" t="inlineStr">
        <is>
          <t>Auftrag / Projekt</t>
        </is>
      </c>
      <c r="G6" t="inlineStr">
        <is>
          <t>Δ Umsatz EUR</t>
        </is>
      </c>
      <c r="H6" t="inlineStr">
        <is>
          <t>Δ Bestand EUR</t>
        </is>
      </c>
      <c r="I6" t="inlineStr">
        <is>
          <t>Δ Kosten EUR</t>
        </is>
      </c>
      <c r="J6" t="inlineStr">
        <is>
          <t>Kommentar</t>
        </is>
      </c>
      <c r="K6" t="inlineStr">
        <is>
          <t>Status</t>
        </is>
      </c>
      <c r="L6" t="inlineStr">
        <is>
          <t>Δ EBITDA EUR</t>
        </is>
      </c>
    </row>
    <row r="7">
      <c r="K7">
        <f>IF(COUNTA(C7:J7)=0,"",IF(OR(C7&lt;&gt;'[Steuerung.xlsx]Steuerung'!$F$6,D7&lt;1,D7&gt;12),"Periode prüfen",IF(D7&lt;='[Steuerung.xlsx]Steuerung'!$F$8,"IST gesperrt",IF(OR(E7="",F7="",COUNT(G7:I7)&lt;&gt;3),"Angaben fehlen","Wirksam"))))</f>
        <v/>
      </c>
      <c r="L7">
        <f>IF(K7="Wirksam",SUM(G7:H7)-I7,IF(K7="","","n.a."))</f>
        <v/>
      </c>
    </row>
    <row r="8">
      <c r="K8">
        <f>IF(COUNTA(C8:J8)=0,"",IF(OR(C8&lt;&gt;'[Steuerung.xlsx]Steuerung'!$F$6,D8&lt;1,D8&gt;12),"Periode prüfen",IF(D8&lt;='[Steuerung.xlsx]Steuerung'!$F$8,"IST gesperrt",IF(OR(E8="",F8="",COUNT(G8:I8)&lt;&gt;3),"Angaben fehlen","Wirksam"))))</f>
        <v/>
      </c>
      <c r="L8">
        <f>IF(K8="Wirksam",SUM(G8:H8)-I8,IF(K8="","","n.a."))</f>
        <v/>
      </c>
    </row>
    <row r="9">
      <c r="K9">
        <f>IF(COUNTA(C9:J9)=0,"",IF(OR(C9&lt;&gt;'[Steuerung.xlsx]Steuerung'!$F$6,D9&lt;1,D9&gt;12),"Periode prüfen",IF(D9&lt;='[Steuerung.xlsx]Steuerung'!$F$8,"IST gesperrt",IF(OR(E9="",F9="",COUNT(G9:I9)&lt;&gt;3),"Angaben fehlen","Wirksam"))))</f>
        <v/>
      </c>
      <c r="L9">
        <f>IF(K9="Wirksam",SUM(G9:H9)-I9,IF(K9="","","n.a."))</f>
        <v/>
      </c>
    </row>
    <row r="10">
      <c r="K10">
        <f>IF(COUNTA(C10:J10)=0,"",IF(OR(C10&lt;&gt;'[Steuerung.xlsx]Steuerung'!$F$6,D10&lt;1,D10&gt;12),"Periode prüfen",IF(D10&lt;='[Steuerung.xlsx]Steuerung'!$F$8,"IST gesperrt",IF(OR(E10="",F10="",COUNT(G10:I10)&lt;&gt;3),"Angaben fehlen","Wirksam"))))</f>
        <v/>
      </c>
      <c r="L10">
        <f>IF(K10="Wirksam",SUM(G10:H10)-I10,IF(K10="","","n.a."))</f>
        <v/>
      </c>
    </row>
    <row r="11">
      <c r="K11">
        <f>IF(COUNTA(C11:J11)=0,"",IF(OR(C11&lt;&gt;'[Steuerung.xlsx]Steuerung'!$F$6,D11&lt;1,D11&gt;12),"Periode prüfen",IF(D11&lt;='[Steuerung.xlsx]Steuerung'!$F$8,"IST gesperrt",IF(OR(E11="",F11="",COUNT(G11:I11)&lt;&gt;3),"Angaben fehlen","Wirksam"))))</f>
        <v/>
      </c>
      <c r="L11">
        <f>IF(K11="Wirksam",SUM(G11:H11)-I11,IF(K11="","","n.a."))</f>
        <v/>
      </c>
    </row>
    <row r="12">
      <c r="K12">
        <f>IF(COUNTA(C12:J12)=0,"",IF(OR(C12&lt;&gt;'[Steuerung.xlsx]Steuerung'!$F$6,D12&lt;1,D12&gt;12),"Periode prüfen",IF(D12&lt;='[Steuerung.xlsx]Steuerung'!$F$8,"IST gesperrt",IF(OR(E12="",F12="",COUNT(G12:I12)&lt;&gt;3),"Angaben fehlen","Wirksam"))))</f>
        <v/>
      </c>
      <c r="L12">
        <f>IF(K12="Wirksam",SUM(G12:H12)-I12,IF(K12="","","n.a."))</f>
        <v/>
      </c>
    </row>
    <row r="13">
      <c r="K13">
        <f>IF(COUNTA(C13:J13)=0,"",IF(OR(C13&lt;&gt;'[Steuerung.xlsx]Steuerung'!$F$6,D13&lt;1,D13&gt;12),"Periode prüfen",IF(D13&lt;='[Steuerung.xlsx]Steuerung'!$F$8,"IST gesperrt",IF(OR(E13="",F13="",COUNT(G13:I13)&lt;&gt;3),"Angaben fehlen","Wirksam"))))</f>
        <v/>
      </c>
      <c r="L13">
        <f>IF(K13="Wirksam",SUM(G13:H13)-I13,IF(K13="","","n.a."))</f>
        <v/>
      </c>
    </row>
    <row r="14">
      <c r="K14">
        <f>IF(COUNTA(C14:J14)=0,"",IF(OR(C14&lt;&gt;'[Steuerung.xlsx]Steuerung'!$F$6,D14&lt;1,D14&gt;12),"Periode prüfen",IF(D14&lt;='[Steuerung.xlsx]Steuerung'!$F$8,"IST gesperrt",IF(OR(E14="",F14="",COUNT(G14:I14)&lt;&gt;3),"Angaben fehlen","Wirksam"))))</f>
        <v/>
      </c>
      <c r="L14">
        <f>IF(K14="Wirksam",SUM(G14:H14)-I14,IF(K14="","","n.a."))</f>
        <v/>
      </c>
    </row>
    <row r="15">
      <c r="K15">
        <f>IF(COUNTA(C15:J15)=0,"",IF(OR(C15&lt;&gt;'[Steuerung.xlsx]Steuerung'!$F$6,D15&lt;1,D15&gt;12),"Periode prüfen",IF(D15&lt;='[Steuerung.xlsx]Steuerung'!$F$8,"IST gesperrt",IF(OR(E15="",F15="",COUNT(G15:I15)&lt;&gt;3),"Angaben fehlen","Wirksam"))))</f>
        <v/>
      </c>
      <c r="L15">
        <f>IF(K15="Wirksam",SUM(G15:H15)-I15,IF(K15="","","n.a."))</f>
        <v/>
      </c>
    </row>
    <row r="16">
      <c r="K16">
        <f>IF(COUNTA(C16:J16)=0,"",IF(OR(C16&lt;&gt;'[Steuerung.xlsx]Steuerung'!$F$6,D16&lt;1,D16&gt;12),"Periode prüfen",IF(D16&lt;='[Steuerung.xlsx]Steuerung'!$F$8,"IST gesperrt",IF(OR(E16="",F16="",COUNT(G16:I16)&lt;&gt;3),"Angaben fehlen","Wirksam"))))</f>
        <v/>
      </c>
      <c r="L16">
        <f>IF(K16="Wirksam",SUM(G16:H16)-I16,IF(K16="","","n.a."))</f>
        <v/>
      </c>
    </row>
    <row r="17">
      <c r="K17">
        <f>IF(COUNTA(C17:J17)=0,"",IF(OR(C17&lt;&gt;'[Steuerung.xlsx]Steuerung'!$F$6,D17&lt;1,D17&gt;12),"Periode prüfen",IF(D17&lt;='[Steuerung.xlsx]Steuerung'!$F$8,"IST gesperrt",IF(OR(E17="",F17="",COUNT(G17:I17)&lt;&gt;3),"Angaben fehlen","Wirksam"))))</f>
        <v/>
      </c>
      <c r="L17">
        <f>IF(K17="Wirksam",SUM(G17:H17)-I17,IF(K17="","","n.a."))</f>
        <v/>
      </c>
    </row>
    <row r="18">
      <c r="K18">
        <f>IF(COUNTA(C18:J18)=0,"",IF(OR(C18&lt;&gt;'[Steuerung.xlsx]Steuerung'!$F$6,D18&lt;1,D18&gt;12),"Periode prüfen",IF(D18&lt;='[Steuerung.xlsx]Steuerung'!$F$8,"IST gesperrt",IF(OR(E18="",F18="",COUNT(G18:I18)&lt;&gt;3),"Angaben fehlen","Wirksam"))))</f>
        <v/>
      </c>
      <c r="L18">
        <f>IF(K18="Wirksam",SUM(G18:H18)-I18,IF(K18="","","n.a."))</f>
        <v/>
      </c>
    </row>
    <row r="19">
      <c r="K19">
        <f>IF(COUNTA(C19:J19)=0,"",IF(OR(C19&lt;&gt;'[Steuerung.xlsx]Steuerung'!$F$6,D19&lt;1,D19&gt;12),"Periode prüfen",IF(D19&lt;='[Steuerung.xlsx]Steuerung'!$F$8,"IST gesperrt",IF(OR(E19="",F19="",COUNT(G19:I19)&lt;&gt;3),"Angaben fehlen","Wirksam"))))</f>
        <v/>
      </c>
      <c r="L19">
        <f>IF(K19="Wirksam",SUM(G19:H19)-I19,IF(K19="","","n.a."))</f>
        <v/>
      </c>
    </row>
    <row r="20">
      <c r="K20">
        <f>IF(COUNTA(C20:J20)=0,"",IF(OR(C20&lt;&gt;'[Steuerung.xlsx]Steuerung'!$F$6,D20&lt;1,D20&gt;12),"Periode prüfen",IF(D20&lt;='[Steuerung.xlsx]Steuerung'!$F$8,"IST gesperrt",IF(OR(E20="",F20="",COUNT(G20:I20)&lt;&gt;3),"Angaben fehlen","Wirksam"))))</f>
        <v/>
      </c>
      <c r="L20">
        <f>IF(K20="Wirksam",SUM(G20:H20)-I20,IF(K20="","","n.a."))</f>
        <v/>
      </c>
    </row>
    <row r="21">
      <c r="K21">
        <f>IF(COUNTA(C21:J21)=0,"",IF(OR(C21&lt;&gt;'[Steuerung.xlsx]Steuerung'!$F$6,D21&lt;1,D21&gt;12),"Periode prüfen",IF(D21&lt;='[Steuerung.xlsx]Steuerung'!$F$8,"IST gesperrt",IF(OR(E21="",F21="",COUNT(G21:I21)&lt;&gt;3),"Angaben fehlen","Wirksam"))))</f>
        <v/>
      </c>
      <c r="L21">
        <f>IF(K21="Wirksam",SUM(G21:H21)-I21,IF(K21="","","n.a."))</f>
        <v/>
      </c>
    </row>
    <row r="22">
      <c r="K22">
        <f>IF(COUNTA(C22:J22)=0,"",IF(OR(C22&lt;&gt;'[Steuerung.xlsx]Steuerung'!$F$6,D22&lt;1,D22&gt;12),"Periode prüfen",IF(D22&lt;='[Steuerung.xlsx]Steuerung'!$F$8,"IST gesperrt",IF(OR(E22="",F22="",COUNT(G22:I22)&lt;&gt;3),"Angaben fehlen","Wirksam"))))</f>
        <v/>
      </c>
      <c r="L22">
        <f>IF(K22="Wirksam",SUM(G22:H22)-I22,IF(K22="","","n.a."))</f>
        <v/>
      </c>
    </row>
    <row r="23">
      <c r="K23">
        <f>IF(COUNTA(C23:J23)=0,"",IF(OR(C23&lt;&gt;'[Steuerung.xlsx]Steuerung'!$F$6,D23&lt;1,D23&gt;12),"Periode prüfen",IF(D23&lt;='[Steuerung.xlsx]Steuerung'!$F$8,"IST gesperrt",IF(OR(E23="",F23="",COUNT(G23:I23)&lt;&gt;3),"Angaben fehlen","Wirksam"))))</f>
        <v/>
      </c>
      <c r="L23">
        <f>IF(K23="Wirksam",SUM(G23:H23)-I23,IF(K23="","","n.a."))</f>
        <v/>
      </c>
    </row>
    <row r="24">
      <c r="K24">
        <f>IF(COUNTA(C24:J24)=0,"",IF(OR(C24&lt;&gt;'[Steuerung.xlsx]Steuerung'!$F$6,D24&lt;1,D24&gt;12),"Periode prüfen",IF(D24&lt;='[Steuerung.xlsx]Steuerung'!$F$8,"IST gesperrt",IF(OR(E24="",F24="",COUNT(G24:I24)&lt;&gt;3),"Angaben fehlen","Wirksam"))))</f>
        <v/>
      </c>
      <c r="L24">
        <f>IF(K24="Wirksam",SUM(G24:H24)-I24,IF(K24="","","n.a."))</f>
        <v/>
      </c>
    </row>
    <row r="25">
      <c r="K25">
        <f>IF(COUNTA(C25:J25)=0,"",IF(OR(C25&lt;&gt;'[Steuerung.xlsx]Steuerung'!$F$6,D25&lt;1,D25&gt;12),"Periode prüfen",IF(D25&lt;='[Steuerung.xlsx]Steuerung'!$F$8,"IST gesperrt",IF(OR(E25="",F25="",COUNT(G25:I25)&lt;&gt;3),"Angaben fehlen","Wirksam"))))</f>
        <v/>
      </c>
      <c r="L25">
        <f>IF(K25="Wirksam",SUM(G25:H25)-I25,IF(K25="","","n.a."))</f>
        <v/>
      </c>
    </row>
    <row r="26">
      <c r="K26">
        <f>IF(COUNTA(C26:J26)=0,"",IF(OR(C26&lt;&gt;'[Steuerung.xlsx]Steuerung'!$F$6,D26&lt;1,D26&gt;12),"Periode prüfen",IF(D26&lt;='[Steuerung.xlsx]Steuerung'!$F$8,"IST gesperrt",IF(OR(E26="",F26="",COUNT(G26:I26)&lt;&gt;3),"Angaben fehlen","Wirksam"))))</f>
        <v/>
      </c>
      <c r="L26">
        <f>IF(K26="Wirksam",SUM(G26:H26)-I26,IF(K26="","","n.a."))</f>
        <v/>
      </c>
    </row>
    <row r="27">
      <c r="K27">
        <f>IF(COUNTA(C27:J27)=0,"",IF(OR(C27&lt;&gt;'[Steuerung.xlsx]Steuerung'!$F$6,D27&lt;1,D27&gt;12),"Periode prüfen",IF(D27&lt;='[Steuerung.xlsx]Steuerung'!$F$8,"IST gesperrt",IF(OR(E27="",F27="",COUNT(G27:I27)&lt;&gt;3),"Angaben fehlen","Wirksam"))))</f>
        <v/>
      </c>
      <c r="L27">
        <f>IF(K27="Wirksam",SUM(G27:H27)-I27,IF(K27="","","n.a."))</f>
        <v/>
      </c>
    </row>
    <row r="28">
      <c r="K28">
        <f>IF(COUNTA(C28:J28)=0,"",IF(OR(C28&lt;&gt;'[Steuerung.xlsx]Steuerung'!$F$6,D28&lt;1,D28&gt;12),"Periode prüfen",IF(D28&lt;='[Steuerung.xlsx]Steuerung'!$F$8,"IST gesperrt",IF(OR(E28="",F28="",COUNT(G28:I28)&lt;&gt;3),"Angaben fehlen","Wirksam"))))</f>
        <v/>
      </c>
      <c r="L28">
        <f>IF(K28="Wirksam",SUM(G28:H28)-I28,IF(K28="","","n.a."))</f>
        <v/>
      </c>
    </row>
    <row r="29">
      <c r="K29">
        <f>IF(COUNTA(C29:J29)=0,"",IF(OR(C29&lt;&gt;'[Steuerung.xlsx]Steuerung'!$F$6,D29&lt;1,D29&gt;12),"Periode prüfen",IF(D29&lt;='[Steuerung.xlsx]Steuerung'!$F$8,"IST gesperrt",IF(OR(E29="",F29="",COUNT(G29:I29)&lt;&gt;3),"Angaben fehlen","Wirksam"))))</f>
        <v/>
      </c>
      <c r="L29">
        <f>IF(K29="Wirksam",SUM(G29:H29)-I29,IF(K29="","","n.a."))</f>
        <v/>
      </c>
    </row>
    <row r="30">
      <c r="K30">
        <f>IF(COUNTA(C30:J30)=0,"",IF(OR(C30&lt;&gt;'[Steuerung.xlsx]Steuerung'!$F$6,D30&lt;1,D30&gt;12),"Periode prüfen",IF(D30&lt;='[Steuerung.xlsx]Steuerung'!$F$8,"IST gesperrt",IF(OR(E30="",F30="",COUNT(G30:I30)&lt;&gt;3),"Angaben fehlen","Wirksam"))))</f>
        <v/>
      </c>
      <c r="L30">
        <f>IF(K30="Wirksam",SUM(G30:H30)-I30,IF(K30="","","n.a."))</f>
        <v/>
      </c>
    </row>
    <row r="31">
      <c r="K31">
        <f>IF(COUNTA(C31:J31)=0,"",IF(OR(C31&lt;&gt;'[Steuerung.xlsx]Steuerung'!$F$6,D31&lt;1,D31&gt;12),"Periode prüfen",IF(D31&lt;='[Steuerung.xlsx]Steuerung'!$F$8,"IST gesperrt",IF(OR(E31="",F31="",COUNT(G31:I31)&lt;&gt;3),"Angaben fehlen","Wirksam"))))</f>
        <v/>
      </c>
      <c r="L31">
        <f>IF(K31="Wirksam",SUM(G31:H31)-I31,IF(K31="","","n.a."))</f>
        <v/>
      </c>
    </row>
    <row r="32">
      <c r="K32">
        <f>IF(COUNTA(C32:J32)=0,"",IF(OR(C32&lt;&gt;'[Steuerung.xlsx]Steuerung'!$F$6,D32&lt;1,D32&gt;12),"Periode prüfen",IF(D32&lt;='[Steuerung.xlsx]Steuerung'!$F$8,"IST gesperrt",IF(OR(E32="",F32="",COUNT(G32:I32)&lt;&gt;3),"Angaben fehlen","Wirksam"))))</f>
        <v/>
      </c>
      <c r="L32">
        <f>IF(K32="Wirksam",SUM(G32:H32)-I32,IF(K32="","","n.a."))</f>
        <v/>
      </c>
    </row>
    <row r="33">
      <c r="K33">
        <f>IF(COUNTA(C33:J33)=0,"",IF(OR(C33&lt;&gt;'[Steuerung.xlsx]Steuerung'!$F$6,D33&lt;1,D33&gt;12),"Periode prüfen",IF(D33&lt;='[Steuerung.xlsx]Steuerung'!$F$8,"IST gesperrt",IF(OR(E33="",F33="",COUNT(G33:I33)&lt;&gt;3),"Angaben fehlen","Wirksam"))))</f>
        <v/>
      </c>
      <c r="L33">
        <f>IF(K33="Wirksam",SUM(G33:H33)-I33,IF(K33="","","n.a."))</f>
        <v/>
      </c>
    </row>
    <row r="34">
      <c r="K34">
        <f>IF(COUNTA(C34:J34)=0,"",IF(OR(C34&lt;&gt;'[Steuerung.xlsx]Steuerung'!$F$6,D34&lt;1,D34&gt;12),"Periode prüfen",IF(D34&lt;='[Steuerung.xlsx]Steuerung'!$F$8,"IST gesperrt",IF(OR(E34="",F34="",COUNT(G34:I34)&lt;&gt;3),"Angaben fehlen","Wirksam"))))</f>
        <v/>
      </c>
      <c r="L34">
        <f>IF(K34="Wirksam",SUM(G34:H34)-I34,IF(K34="","","n.a."))</f>
        <v/>
      </c>
    </row>
    <row r="35">
      <c r="K35">
        <f>IF(COUNTA(C35:J35)=0,"",IF(OR(C35&lt;&gt;'[Steuerung.xlsx]Steuerung'!$F$6,D35&lt;1,D35&gt;12),"Periode prüfen",IF(D35&lt;='[Steuerung.xlsx]Steuerung'!$F$8,"IST gesperrt",IF(OR(E35="",F35="",COUNT(G35:I35)&lt;&gt;3),"Angaben fehlen","Wirksam"))))</f>
        <v/>
      </c>
      <c r="L35">
        <f>IF(K35="Wirksam",SUM(G35:H35)-I35,IF(K35="","","n.a."))</f>
        <v/>
      </c>
    </row>
    <row r="36">
      <c r="K36">
        <f>IF(COUNTA(C36:J36)=0,"",IF(OR(C36&lt;&gt;'[Steuerung.xlsx]Steuerung'!$F$6,D36&lt;1,D36&gt;12),"Periode prüfen",IF(D36&lt;='[Steuerung.xlsx]Steuerung'!$F$8,"IST gesperrt",IF(OR(E36="",F36="",COUNT(G36:I36)&lt;&gt;3),"Angaben fehlen","Wirksam"))))</f>
        <v/>
      </c>
      <c r="L36">
        <f>IF(K36="Wirksam",SUM(G36:H36)-I36,IF(K36="","","n.a."))</f>
        <v/>
      </c>
    </row>
    <row r="37">
      <c r="K37">
        <f>IF(COUNTA(C37:J37)=0,"",IF(OR(C37&lt;&gt;'[Steuerung.xlsx]Steuerung'!$F$6,D37&lt;1,D37&gt;12),"Periode prüfen",IF(D37&lt;='[Steuerung.xlsx]Steuerung'!$F$8,"IST gesperrt",IF(OR(E37="",F37="",COUNT(G37:I37)&lt;&gt;3),"Angaben fehlen","Wirksam"))))</f>
        <v/>
      </c>
      <c r="L37">
        <f>IF(K37="Wirksam",SUM(G37:H37)-I37,IF(K37="","","n.a."))</f>
        <v/>
      </c>
    </row>
    <row r="38">
      <c r="K38">
        <f>IF(COUNTA(C38:J38)=0,"",IF(OR(C38&lt;&gt;'[Steuerung.xlsx]Steuerung'!$F$6,D38&lt;1,D38&gt;12),"Periode prüfen",IF(D38&lt;='[Steuerung.xlsx]Steuerung'!$F$8,"IST gesperrt",IF(OR(E38="",F38="",COUNT(G38:I38)&lt;&gt;3),"Angaben fehlen","Wirksam"))))</f>
        <v/>
      </c>
      <c r="L38">
        <f>IF(K38="Wirksam",SUM(G38:H38)-I38,IF(K38="","","n.a."))</f>
        <v/>
      </c>
    </row>
    <row r="39">
      <c r="K39">
        <f>IF(COUNTA(C39:J39)=0,"",IF(OR(C39&lt;&gt;'[Steuerung.xlsx]Steuerung'!$F$6,D39&lt;1,D39&gt;12),"Periode prüfen",IF(D39&lt;='[Steuerung.xlsx]Steuerung'!$F$8,"IST gesperrt",IF(OR(E39="",F39="",COUNT(G39:I39)&lt;&gt;3),"Angaben fehlen","Wirksam"))))</f>
        <v/>
      </c>
      <c r="L39">
        <f>IF(K39="Wirksam",SUM(G39:H39)-I39,IF(K39="","","n.a."))</f>
        <v/>
      </c>
    </row>
    <row r="40">
      <c r="K40">
        <f>IF(COUNTA(C40:J40)=0,"",IF(OR(C40&lt;&gt;'[Steuerung.xlsx]Steuerung'!$F$6,D40&lt;1,D40&gt;12),"Periode prüfen",IF(D40&lt;='[Steuerung.xlsx]Steuerung'!$F$8,"IST gesperrt",IF(OR(E40="",F40="",COUNT(G40:I40)&lt;&gt;3),"Angaben fehlen","Wirksam"))))</f>
        <v/>
      </c>
      <c r="L40">
        <f>IF(K40="Wirksam",SUM(G40:H40)-I40,IF(K40="","","n.a."))</f>
        <v/>
      </c>
    </row>
    <row r="41">
      <c r="K41">
        <f>IF(COUNTA(C41:J41)=0,"",IF(OR(C41&lt;&gt;'[Steuerung.xlsx]Steuerung'!$F$6,D41&lt;1,D41&gt;12),"Periode prüfen",IF(D41&lt;='[Steuerung.xlsx]Steuerung'!$F$8,"IST gesperrt",IF(OR(E41="",F41="",COUNT(G41:I41)&lt;&gt;3),"Angaben fehlen","Wirksam"))))</f>
        <v/>
      </c>
      <c r="L41">
        <f>IF(K41="Wirksam",SUM(G41:H41)-I41,IF(K41="","","n.a."))</f>
        <v/>
      </c>
    </row>
    <row r="42">
      <c r="K42">
        <f>IF(COUNTA(C42:J42)=0,"",IF(OR(C42&lt;&gt;'[Steuerung.xlsx]Steuerung'!$F$6,D42&lt;1,D42&gt;12),"Periode prüfen",IF(D42&lt;='[Steuerung.xlsx]Steuerung'!$F$8,"IST gesperrt",IF(OR(E42="",F42="",COUNT(G42:I42)&lt;&gt;3),"Angaben fehlen","Wirksam"))))</f>
        <v/>
      </c>
      <c r="L42">
        <f>IF(K42="Wirksam",SUM(G42:H42)-I42,IF(K42="","","n.a."))</f>
        <v/>
      </c>
    </row>
    <row r="43">
      <c r="K43">
        <f>IF(COUNTA(C43:J43)=0,"",IF(OR(C43&lt;&gt;'[Steuerung.xlsx]Steuerung'!$F$6,D43&lt;1,D43&gt;12),"Periode prüfen",IF(D43&lt;='[Steuerung.xlsx]Steuerung'!$F$8,"IST gesperrt",IF(OR(E43="",F43="",COUNT(G43:I43)&lt;&gt;3),"Angaben fehlen","Wirksam"))))</f>
        <v/>
      </c>
      <c r="L43">
        <f>IF(K43="Wirksam",SUM(G43:H43)-I43,IF(K43="","","n.a."))</f>
        <v/>
      </c>
    </row>
    <row r="44">
      <c r="K44">
        <f>IF(COUNTA(C44:J44)=0,"",IF(OR(C44&lt;&gt;'[Steuerung.xlsx]Steuerung'!$F$6,D44&lt;1,D44&gt;12),"Periode prüfen",IF(D44&lt;='[Steuerung.xlsx]Steuerung'!$F$8,"IST gesperrt",IF(OR(E44="",F44="",COUNT(G44:I44)&lt;&gt;3),"Angaben fehlen","Wirksam"))))</f>
        <v/>
      </c>
      <c r="L44">
        <f>IF(K44="Wirksam",SUM(G44:H44)-I44,IF(K44="","","n.a."))</f>
        <v/>
      </c>
    </row>
    <row r="45">
      <c r="K45">
        <f>IF(COUNTA(C45:J45)=0,"",IF(OR(C45&lt;&gt;'[Steuerung.xlsx]Steuerung'!$F$6,D45&lt;1,D45&gt;12),"Periode prüfen",IF(D45&lt;='[Steuerung.xlsx]Steuerung'!$F$8,"IST gesperrt",IF(OR(E45="",F45="",COUNT(G45:I45)&lt;&gt;3),"Angaben fehlen","Wirksam"))))</f>
        <v/>
      </c>
      <c r="L45">
        <f>IF(K45="Wirksam",SUM(G45:H45)-I45,IF(K45="","","n.a."))</f>
        <v/>
      </c>
    </row>
    <row r="46">
      <c r="K46">
        <f>IF(COUNTA(C46:J46)=0,"",IF(OR(C46&lt;&gt;'[Steuerung.xlsx]Steuerung'!$F$6,D46&lt;1,D46&gt;12),"Periode prüfen",IF(D46&lt;='[Steuerung.xlsx]Steuerung'!$F$8,"IST gesperrt",IF(OR(E46="",F46="",COUNT(G46:I46)&lt;&gt;3),"Angaben fehlen","Wirksam"))))</f>
        <v/>
      </c>
      <c r="L46">
        <f>IF(K46="Wirksam",SUM(G46:H46)-I46,IF(K46="","","n.a."))</f>
        <v/>
      </c>
    </row>
    <row r="47">
      <c r="K47">
        <f>IF(COUNTA(C47:J47)=0,"",IF(OR(C47&lt;&gt;'[Steuerung.xlsx]Steuerung'!$F$6,D47&lt;1,D47&gt;12),"Periode prüfen",IF(D47&lt;='[Steuerung.xlsx]Steuerung'!$F$8,"IST gesperrt",IF(OR(E47="",F47="",COUNT(G47:I47)&lt;&gt;3),"Angaben fehlen","Wirksam"))))</f>
        <v/>
      </c>
      <c r="L47">
        <f>IF(K47="Wirksam",SUM(G47:H47)-I47,IF(K47="","","n.a."))</f>
        <v/>
      </c>
    </row>
    <row r="48">
      <c r="K48">
        <f>IF(COUNTA(C48:J48)=0,"",IF(OR(C48&lt;&gt;'[Steuerung.xlsx]Steuerung'!$F$6,D48&lt;1,D48&gt;12),"Periode prüfen",IF(D48&lt;='[Steuerung.xlsx]Steuerung'!$F$8,"IST gesperrt",IF(OR(E48="",F48="",COUNT(G48:I48)&lt;&gt;3),"Angaben fehlen","Wirksam"))))</f>
        <v/>
      </c>
      <c r="L48">
        <f>IF(K48="Wirksam",SUM(G48:H48)-I48,IF(K48="","","n.a."))</f>
        <v/>
      </c>
    </row>
    <row r="49">
      <c r="K49">
        <f>IF(COUNTA(C49:J49)=0,"",IF(OR(C49&lt;&gt;'[Steuerung.xlsx]Steuerung'!$F$6,D49&lt;1,D49&gt;12),"Periode prüfen",IF(D49&lt;='[Steuerung.xlsx]Steuerung'!$F$8,"IST gesperrt",IF(OR(E49="",F49="",COUNT(G49:I49)&lt;&gt;3),"Angaben fehlen","Wirksam"))))</f>
        <v/>
      </c>
      <c r="L49">
        <f>IF(K49="Wirksam",SUM(G49:H49)-I49,IF(K49="","","n.a."))</f>
        <v/>
      </c>
    </row>
    <row r="50">
      <c r="K50">
        <f>IF(COUNTA(C50:J50)=0,"",IF(OR(C50&lt;&gt;'[Steuerung.xlsx]Steuerung'!$F$6,D50&lt;1,D50&gt;12),"Periode prüfen",IF(D50&lt;='[Steuerung.xlsx]Steuerung'!$F$8,"IST gesperrt",IF(OR(E50="",F50="",COUNT(G50:I50)&lt;&gt;3),"Angaben fehlen","Wirksam"))))</f>
        <v/>
      </c>
      <c r="L50">
        <f>IF(K50="Wirksam",SUM(G50:H50)-I50,IF(K50="","","n.a."))</f>
        <v/>
      </c>
    </row>
    <row r="51">
      <c r="K51">
        <f>IF(COUNTA(C51:J51)=0,"",IF(OR(C51&lt;&gt;'[Steuerung.xlsx]Steuerung'!$F$6,D51&lt;1,D51&gt;12),"Periode prüfen",IF(D51&lt;='[Steuerung.xlsx]Steuerung'!$F$8,"IST gesperrt",IF(OR(E51="",F51="",COUNT(G51:I51)&lt;&gt;3),"Angaben fehlen","Wirksam"))))</f>
        <v/>
      </c>
      <c r="L51">
        <f>IF(K51="Wirksam",SUM(G51:H51)-I51,IF(K51="","","n.a."))</f>
        <v/>
      </c>
    </row>
    <row r="52">
      <c r="K52">
        <f>IF(COUNTA(C52:J52)=0,"",IF(OR(C52&lt;&gt;'[Steuerung.xlsx]Steuerung'!$F$6,D52&lt;1,D52&gt;12),"Periode prüfen",IF(D52&lt;='[Steuerung.xlsx]Steuerung'!$F$8,"IST gesperrt",IF(OR(E52="",F52="",COUNT(G52:I52)&lt;&gt;3),"Angaben fehlen","Wirksam"))))</f>
        <v/>
      </c>
      <c r="L52">
        <f>IF(K52="Wirksam",SUM(G52:H52)-I52,IF(K52="","","n.a."))</f>
        <v/>
      </c>
    </row>
    <row r="53">
      <c r="K53">
        <f>IF(COUNTA(C53:J53)=0,"",IF(OR(C53&lt;&gt;'[Steuerung.xlsx]Steuerung'!$F$6,D53&lt;1,D53&gt;12),"Periode prüfen",IF(D53&lt;='[Steuerung.xlsx]Steuerung'!$F$8,"IST gesperrt",IF(OR(E53="",F53="",COUNT(G53:I53)&lt;&gt;3),"Angaben fehlen","Wirksam"))))</f>
        <v/>
      </c>
      <c r="L53">
        <f>IF(K53="Wirksam",SUM(G53:H53)-I53,IF(K53="","","n.a."))</f>
        <v/>
      </c>
    </row>
    <row r="54">
      <c r="K54">
        <f>IF(COUNTA(C54:J54)=0,"",IF(OR(C54&lt;&gt;'[Steuerung.xlsx]Steuerung'!$F$6,D54&lt;1,D54&gt;12),"Periode prüfen",IF(D54&lt;='[Steuerung.xlsx]Steuerung'!$F$8,"IST gesperrt",IF(OR(E54="",F54="",COUNT(G54:I54)&lt;&gt;3),"Angaben fehlen","Wirksam"))))</f>
        <v/>
      </c>
      <c r="L54">
        <f>IF(K54="Wirksam",SUM(G54:H54)-I54,IF(K54="","","n.a."))</f>
        <v/>
      </c>
    </row>
    <row r="55">
      <c r="K55">
        <f>IF(COUNTA(C55:J55)=0,"",IF(OR(C55&lt;&gt;'[Steuerung.xlsx]Steuerung'!$F$6,D55&lt;1,D55&gt;12),"Periode prüfen",IF(D55&lt;='[Steuerung.xlsx]Steuerung'!$F$8,"IST gesperrt",IF(OR(E55="",F55="",COUNT(G55:I55)&lt;&gt;3),"Angaben fehlen","Wirksam"))))</f>
        <v/>
      </c>
      <c r="L55">
        <f>IF(K55="Wirksam",SUM(G55:H55)-I55,IF(K55="","","n.a."))</f>
        <v/>
      </c>
    </row>
    <row r="56">
      <c r="K56">
        <f>IF(COUNTA(C56:J56)=0,"",IF(OR(C56&lt;&gt;'[Steuerung.xlsx]Steuerung'!$F$6,D56&lt;1,D56&gt;12),"Periode prüfen",IF(D56&lt;='[Steuerung.xlsx]Steuerung'!$F$8,"IST gesperrt",IF(OR(E56="",F56="",COUNT(G56:I56)&lt;&gt;3),"Angaben fehlen","Wirksam"))))</f>
        <v/>
      </c>
      <c r="L56">
        <f>IF(K56="Wirksam",SUM(G56:H56)-I56,IF(K56="","","n.a."))</f>
        <v/>
      </c>
    </row>
    <row r="57">
      <c r="K57">
        <f>IF(COUNTA(C57:J57)=0,"",IF(OR(C57&lt;&gt;'[Steuerung.xlsx]Steuerung'!$F$6,D57&lt;1,D57&gt;12),"Periode prüfen",IF(D57&lt;='[Steuerung.xlsx]Steuerung'!$F$8,"IST gesperrt",IF(OR(E57="",F57="",COUNT(G57:I57)&lt;&gt;3),"Angaben fehlen","Wirksam"))))</f>
        <v/>
      </c>
      <c r="L57">
        <f>IF(K57="Wirksam",SUM(G57:H57)-I57,IF(K57="","","n.a."))</f>
        <v/>
      </c>
    </row>
    <row r="58">
      <c r="K58">
        <f>IF(COUNTA(C58:J58)=0,"",IF(OR(C58&lt;&gt;'[Steuerung.xlsx]Steuerung'!$F$6,D58&lt;1,D58&gt;12),"Periode prüfen",IF(D58&lt;='[Steuerung.xlsx]Steuerung'!$F$8,"IST gesperrt",IF(OR(E58="",F58="",COUNT(G58:I58)&lt;&gt;3),"Angaben fehlen","Wirksam"))))</f>
        <v/>
      </c>
      <c r="L58">
        <f>IF(K58="Wirksam",SUM(G58:H58)-I58,IF(K58="","","n.a."))</f>
        <v/>
      </c>
    </row>
    <row r="59">
      <c r="K59">
        <f>IF(COUNTA(C59:J59)=0,"",IF(OR(C59&lt;&gt;'[Steuerung.xlsx]Steuerung'!$F$6,D59&lt;1,D59&gt;12),"Periode prüfen",IF(D59&lt;='[Steuerung.xlsx]Steuerung'!$F$8,"IST gesperrt",IF(OR(E59="",F59="",COUNT(G59:I59)&lt;&gt;3),"Angaben fehlen","Wirksam"))))</f>
        <v/>
      </c>
      <c r="L59">
        <f>IF(K59="Wirksam",SUM(G59:H59)-I59,IF(K59="","","n.a."))</f>
        <v/>
      </c>
    </row>
    <row r="60">
      <c r="K60">
        <f>IF(COUNTA(C60:J60)=0,"",IF(OR(C60&lt;&gt;'[Steuerung.xlsx]Steuerung'!$F$6,D60&lt;1,D60&gt;12),"Periode prüfen",IF(D60&lt;='[Steuerung.xlsx]Steuerung'!$F$8,"IST gesperrt",IF(OR(E60="",F60="",COUNT(G60:I60)&lt;&gt;3),"Angaben fehlen","Wirksam"))))</f>
        <v/>
      </c>
      <c r="L60">
        <f>IF(K60="Wirksam",SUM(G60:H60)-I60,IF(K60="","","n.a."))</f>
        <v/>
      </c>
    </row>
    <row r="61">
      <c r="K61">
        <f>IF(COUNTA(C61:J61)=0,"",IF(OR(C61&lt;&gt;'[Steuerung.xlsx]Steuerung'!$F$6,D61&lt;1,D61&gt;12),"Periode prüfen",IF(D61&lt;='[Steuerung.xlsx]Steuerung'!$F$8,"IST gesperrt",IF(OR(E61="",F61="",COUNT(G61:I61)&lt;&gt;3),"Angaben fehlen","Wirksam"))))</f>
        <v/>
      </c>
      <c r="L61">
        <f>IF(K61="Wirksam",SUM(G61:H61)-I61,IF(K61="","","n.a."))</f>
        <v/>
      </c>
    </row>
    <row r="62">
      <c r="K62">
        <f>IF(COUNTA(C62:J62)=0,"",IF(OR(C62&lt;&gt;'[Steuerung.xlsx]Steuerung'!$F$6,D62&lt;1,D62&gt;12),"Periode prüfen",IF(D62&lt;='[Steuerung.xlsx]Steuerung'!$F$8,"IST gesperrt",IF(OR(E62="",F62="",COUNT(G62:I62)&lt;&gt;3),"Angaben fehlen","Wirksam"))))</f>
        <v/>
      </c>
      <c r="L62">
        <f>IF(K62="Wirksam",SUM(G62:H62)-I62,IF(K62="","","n.a."))</f>
        <v/>
      </c>
    </row>
    <row r="63">
      <c r="K63">
        <f>IF(COUNTA(C63:J63)=0,"",IF(OR(C63&lt;&gt;'[Steuerung.xlsx]Steuerung'!$F$6,D63&lt;1,D63&gt;12),"Periode prüfen",IF(D63&lt;='[Steuerung.xlsx]Steuerung'!$F$8,"IST gesperrt",IF(OR(E63="",F63="",COUNT(G63:I63)&lt;&gt;3),"Angaben fehlen","Wirksam"))))</f>
        <v/>
      </c>
      <c r="L63">
        <f>IF(K63="Wirksam",SUM(G63:H63)-I63,IF(K63="","","n.a."))</f>
        <v/>
      </c>
    </row>
    <row r="64">
      <c r="K64">
        <f>IF(COUNTA(C64:J64)=0,"",IF(OR(C64&lt;&gt;'[Steuerung.xlsx]Steuerung'!$F$6,D64&lt;1,D64&gt;12),"Periode prüfen",IF(D64&lt;='[Steuerung.xlsx]Steuerung'!$F$8,"IST gesperrt",IF(OR(E64="",F64="",COUNT(G64:I64)&lt;&gt;3),"Angaben fehlen","Wirksam"))))</f>
        <v/>
      </c>
      <c r="L64">
        <f>IF(K64="Wirksam",SUM(G64:H64)-I64,IF(K64="","","n.a."))</f>
        <v/>
      </c>
    </row>
    <row r="65">
      <c r="K65">
        <f>IF(COUNTA(C65:J65)=0,"",IF(OR(C65&lt;&gt;'[Steuerung.xlsx]Steuerung'!$F$6,D65&lt;1,D65&gt;12),"Periode prüfen",IF(D65&lt;='[Steuerung.xlsx]Steuerung'!$F$8,"IST gesperrt",IF(OR(E65="",F65="",COUNT(G65:I65)&lt;&gt;3),"Angaben fehlen","Wirksam"))))</f>
        <v/>
      </c>
      <c r="L65">
        <f>IF(K65="Wirksam",SUM(G65:H65)-I65,IF(K65="","","n.a."))</f>
        <v/>
      </c>
    </row>
    <row r="66">
      <c r="K66">
        <f>IF(COUNTA(C66:J66)=0,"",IF(OR(C66&lt;&gt;'[Steuerung.xlsx]Steuerung'!$F$6,D66&lt;1,D66&gt;12),"Periode prüfen",IF(D66&lt;='[Steuerung.xlsx]Steuerung'!$F$8,"IST gesperrt",IF(OR(E66="",F66="",COUNT(G66:I66)&lt;&gt;3),"Angaben fehlen","Wirksam"))))</f>
        <v/>
      </c>
      <c r="L66">
        <f>IF(K66="Wirksam",SUM(G66:H66)-I66,IF(K66="","","n.a."))</f>
        <v/>
      </c>
    </row>
    <row r="67">
      <c r="K67">
        <f>IF(COUNTA(C67:J67)=0,"",IF(OR(C67&lt;&gt;'[Steuerung.xlsx]Steuerung'!$F$6,D67&lt;1,D67&gt;12),"Periode prüfen",IF(D67&lt;='[Steuerung.xlsx]Steuerung'!$F$8,"IST gesperrt",IF(OR(E67="",F67="",COUNT(G67:I67)&lt;&gt;3),"Angaben fehlen","Wirksam"))))</f>
        <v/>
      </c>
      <c r="L67">
        <f>IF(K67="Wirksam",SUM(G67:H67)-I67,IF(K67="","","n.a."))</f>
        <v/>
      </c>
    </row>
    <row r="68">
      <c r="K68">
        <f>IF(COUNTA(C68:J68)=0,"",IF(OR(C68&lt;&gt;'[Steuerung.xlsx]Steuerung'!$F$6,D68&lt;1,D68&gt;12),"Periode prüfen",IF(D68&lt;='[Steuerung.xlsx]Steuerung'!$F$8,"IST gesperrt",IF(OR(E68="",F68="",COUNT(G68:I68)&lt;&gt;3),"Angaben fehlen","Wirksam"))))</f>
        <v/>
      </c>
      <c r="L68">
        <f>IF(K68="Wirksam",SUM(G68:H68)-I68,IF(K68="","","n.a."))</f>
        <v/>
      </c>
    </row>
    <row r="69">
      <c r="K69">
        <f>IF(COUNTA(C69:J69)=0,"",IF(OR(C69&lt;&gt;'[Steuerung.xlsx]Steuerung'!$F$6,D69&lt;1,D69&gt;12),"Periode prüfen",IF(D69&lt;='[Steuerung.xlsx]Steuerung'!$F$8,"IST gesperrt",IF(OR(E69="",F69="",COUNT(G69:I69)&lt;&gt;3),"Angaben fehlen","Wirksam"))))</f>
        <v/>
      </c>
      <c r="L69">
        <f>IF(K69="Wirksam",SUM(G69:H69)-I69,IF(K69="","","n.a."))</f>
        <v/>
      </c>
    </row>
    <row r="70">
      <c r="K70">
        <f>IF(COUNTA(C70:J70)=0,"",IF(OR(C70&lt;&gt;'[Steuerung.xlsx]Steuerung'!$F$6,D70&lt;1,D70&gt;12),"Periode prüfen",IF(D70&lt;='[Steuerung.xlsx]Steuerung'!$F$8,"IST gesperrt",IF(OR(E70="",F70="",COUNT(G70:I70)&lt;&gt;3),"Angaben fehlen","Wirksam"))))</f>
        <v/>
      </c>
      <c r="L70">
        <f>IF(K70="Wirksam",SUM(G70:H70)-I70,IF(K70="","","n.a."))</f>
        <v/>
      </c>
    </row>
    <row r="71">
      <c r="K71">
        <f>IF(COUNTA(C71:J71)=0,"",IF(OR(C71&lt;&gt;'[Steuerung.xlsx]Steuerung'!$F$6,D71&lt;1,D71&gt;12),"Periode prüfen",IF(D71&lt;='[Steuerung.xlsx]Steuerung'!$F$8,"IST gesperrt",IF(OR(E71="",F71="",COUNT(G71:I71)&lt;&gt;3),"Angaben fehlen","Wirksam"))))</f>
        <v/>
      </c>
      <c r="L71">
        <f>IF(K71="Wirksam",SUM(G71:H71)-I71,IF(K71="","","n.a."))</f>
        <v/>
      </c>
    </row>
    <row r="72">
      <c r="K72">
        <f>IF(COUNTA(C72:J72)=0,"",IF(OR(C72&lt;&gt;'[Steuerung.xlsx]Steuerung'!$F$6,D72&lt;1,D72&gt;12),"Periode prüfen",IF(D72&lt;='[Steuerung.xlsx]Steuerung'!$F$8,"IST gesperrt",IF(OR(E72="",F72="",COUNT(G72:I72)&lt;&gt;3),"Angaben fehlen","Wirksam"))))</f>
        <v/>
      </c>
      <c r="L72">
        <f>IF(K72="Wirksam",SUM(G72:H72)-I72,IF(K72="","","n.a."))</f>
        <v/>
      </c>
    </row>
    <row r="73">
      <c r="K73">
        <f>IF(COUNTA(C73:J73)=0,"",IF(OR(C73&lt;&gt;'[Steuerung.xlsx]Steuerung'!$F$6,D73&lt;1,D73&gt;12),"Periode prüfen",IF(D73&lt;='[Steuerung.xlsx]Steuerung'!$F$8,"IST gesperrt",IF(OR(E73="",F73="",COUNT(G73:I73)&lt;&gt;3),"Angaben fehlen","Wirksam"))))</f>
        <v/>
      </c>
      <c r="L73">
        <f>IF(K73="Wirksam",SUM(G73:H73)-I73,IF(K73="","","n.a."))</f>
        <v/>
      </c>
    </row>
    <row r="74">
      <c r="K74">
        <f>IF(COUNTA(C74:J74)=0,"",IF(OR(C74&lt;&gt;'[Steuerung.xlsx]Steuerung'!$F$6,D74&lt;1,D74&gt;12),"Periode prüfen",IF(D74&lt;='[Steuerung.xlsx]Steuerung'!$F$8,"IST gesperrt",IF(OR(E74="",F74="",COUNT(G74:I74)&lt;&gt;3),"Angaben fehlen","Wirksam"))))</f>
        <v/>
      </c>
      <c r="L74">
        <f>IF(K74="Wirksam",SUM(G74:H74)-I74,IF(K74="","","n.a."))</f>
        <v/>
      </c>
    </row>
    <row r="75">
      <c r="K75">
        <f>IF(COUNTA(C75:J75)=0,"",IF(OR(C75&lt;&gt;'[Steuerung.xlsx]Steuerung'!$F$6,D75&lt;1,D75&gt;12),"Periode prüfen",IF(D75&lt;='[Steuerung.xlsx]Steuerung'!$F$8,"IST gesperrt",IF(OR(E75="",F75="",COUNT(G75:I75)&lt;&gt;3),"Angaben fehlen","Wirksam"))))</f>
        <v/>
      </c>
      <c r="L75">
        <f>IF(K75="Wirksam",SUM(G75:H75)-I75,IF(K75="","","n.a."))</f>
        <v/>
      </c>
    </row>
    <row r="76">
      <c r="K76">
        <f>IF(COUNTA(C76:J76)=0,"",IF(OR(C76&lt;&gt;'[Steuerung.xlsx]Steuerung'!$F$6,D76&lt;1,D76&gt;12),"Periode prüfen",IF(D76&lt;='[Steuerung.xlsx]Steuerung'!$F$8,"IST gesperrt",IF(OR(E76="",F76="",COUNT(G76:I76)&lt;&gt;3),"Angaben fehlen","Wirksam"))))</f>
        <v/>
      </c>
      <c r="L76">
        <f>IF(K76="Wirksam",SUM(G76:H76)-I76,IF(K76="","","n.a."))</f>
        <v/>
      </c>
    </row>
    <row r="77">
      <c r="K77">
        <f>IF(COUNTA(C77:J77)=0,"",IF(OR(C77&lt;&gt;'[Steuerung.xlsx]Steuerung'!$F$6,D77&lt;1,D77&gt;12),"Periode prüfen",IF(D77&lt;='[Steuerung.xlsx]Steuerung'!$F$8,"IST gesperrt",IF(OR(E77="",F77="",COUNT(G77:I77)&lt;&gt;3),"Angaben fehlen","Wirksam"))))</f>
        <v/>
      </c>
      <c r="L77">
        <f>IF(K77="Wirksam",SUM(G77:H77)-I77,IF(K77="","","n.a."))</f>
        <v/>
      </c>
    </row>
    <row r="78">
      <c r="K78">
        <f>IF(COUNTA(C78:J78)=0,"",IF(OR(C78&lt;&gt;'[Steuerung.xlsx]Steuerung'!$F$6,D78&lt;1,D78&gt;12),"Periode prüfen",IF(D78&lt;='[Steuerung.xlsx]Steuerung'!$F$8,"IST gesperrt",IF(OR(E78="",F78="",COUNT(G78:I78)&lt;&gt;3),"Angaben fehlen","Wirksam"))))</f>
        <v/>
      </c>
      <c r="L78">
        <f>IF(K78="Wirksam",SUM(G78:H78)-I78,IF(K78="","","n.a."))</f>
        <v/>
      </c>
    </row>
    <row r="79">
      <c r="K79">
        <f>IF(COUNTA(C79:J79)=0,"",IF(OR(C79&lt;&gt;'[Steuerung.xlsx]Steuerung'!$F$6,D79&lt;1,D79&gt;12),"Periode prüfen",IF(D79&lt;='[Steuerung.xlsx]Steuerung'!$F$8,"IST gesperrt",IF(OR(E79="",F79="",COUNT(G79:I79)&lt;&gt;3),"Angaben fehlen","Wirksam"))))</f>
        <v/>
      </c>
      <c r="L79">
        <f>IF(K79="Wirksam",SUM(G79:H79)-I79,IF(K79="","","n.a."))</f>
        <v/>
      </c>
    </row>
    <row r="80">
      <c r="K80">
        <f>IF(COUNTA(C80:J80)=0,"",IF(OR(C80&lt;&gt;'[Steuerung.xlsx]Steuerung'!$F$6,D80&lt;1,D80&gt;12),"Periode prüfen",IF(D80&lt;='[Steuerung.xlsx]Steuerung'!$F$8,"IST gesperrt",IF(OR(E80="",F80="",COUNT(G80:I80)&lt;&gt;3),"Angaben fehlen","Wirksam"))))</f>
        <v/>
      </c>
      <c r="L80">
        <f>IF(K80="Wirksam",SUM(G80:H80)-I80,IF(K80="","","n.a."))</f>
        <v/>
      </c>
    </row>
    <row r="81">
      <c r="K81">
        <f>IF(COUNTA(C81:J81)=0,"",IF(OR(C81&lt;&gt;'[Steuerung.xlsx]Steuerung'!$F$6,D81&lt;1,D81&gt;12),"Periode prüfen",IF(D81&lt;='[Steuerung.xlsx]Steuerung'!$F$8,"IST gesperrt",IF(OR(E81="",F81="",COUNT(G81:I81)&lt;&gt;3),"Angaben fehlen","Wirksam"))))</f>
        <v/>
      </c>
      <c r="L81">
        <f>IF(K81="Wirksam",SUM(G81:H81)-I81,IF(K81="","","n.a."))</f>
        <v/>
      </c>
    </row>
    <row r="82">
      <c r="K82">
        <f>IF(COUNTA(C82:J82)=0,"",IF(OR(C82&lt;&gt;'[Steuerung.xlsx]Steuerung'!$F$6,D82&lt;1,D82&gt;12),"Periode prüfen",IF(D82&lt;='[Steuerung.xlsx]Steuerung'!$F$8,"IST gesperrt",IF(OR(E82="",F82="",COUNT(G82:I82)&lt;&gt;3),"Angaben fehlen","Wirksam"))))</f>
        <v/>
      </c>
      <c r="L82">
        <f>IF(K82="Wirksam",SUM(G82:H82)-I82,IF(K82="","","n.a."))</f>
        <v/>
      </c>
    </row>
    <row r="83">
      <c r="K83">
        <f>IF(COUNTA(C83:J83)=0,"",IF(OR(C83&lt;&gt;'[Steuerung.xlsx]Steuerung'!$F$6,D83&lt;1,D83&gt;12),"Periode prüfen",IF(D83&lt;='[Steuerung.xlsx]Steuerung'!$F$8,"IST gesperrt",IF(OR(E83="",F83="",COUNT(G83:I83)&lt;&gt;3),"Angaben fehlen","Wirksam"))))</f>
        <v/>
      </c>
      <c r="L83">
        <f>IF(K83="Wirksam",SUM(G83:H83)-I83,IF(K83="","","n.a."))</f>
        <v/>
      </c>
    </row>
    <row r="84">
      <c r="K84">
        <f>IF(COUNTA(C84:J84)=0,"",IF(OR(C84&lt;&gt;'[Steuerung.xlsx]Steuerung'!$F$6,D84&lt;1,D84&gt;12),"Periode prüfen",IF(D84&lt;='[Steuerung.xlsx]Steuerung'!$F$8,"IST gesperrt",IF(OR(E84="",F84="",COUNT(G84:I84)&lt;&gt;3),"Angaben fehlen","Wirksam"))))</f>
        <v/>
      </c>
      <c r="L84">
        <f>IF(K84="Wirksam",SUM(G84:H84)-I84,IF(K84="","","n.a."))</f>
        <v/>
      </c>
    </row>
    <row r="85">
      <c r="K85">
        <f>IF(COUNTA(C85:J85)=0,"",IF(OR(C85&lt;&gt;'[Steuerung.xlsx]Steuerung'!$F$6,D85&lt;1,D85&gt;12),"Periode prüfen",IF(D85&lt;='[Steuerung.xlsx]Steuerung'!$F$8,"IST gesperrt",IF(OR(E85="",F85="",COUNT(G85:I85)&lt;&gt;3),"Angaben fehlen","Wirksam"))))</f>
        <v/>
      </c>
      <c r="L85">
        <f>IF(K85="Wirksam",SUM(G85:H85)-I85,IF(K85="","","n.a."))</f>
        <v/>
      </c>
    </row>
    <row r="86">
      <c r="K86">
        <f>IF(COUNTA(C86:J86)=0,"",IF(OR(C86&lt;&gt;'[Steuerung.xlsx]Steuerung'!$F$6,D86&lt;1,D86&gt;12),"Periode prüfen",IF(D86&lt;='[Steuerung.xlsx]Steuerung'!$F$8,"IST gesperrt",IF(OR(E86="",F86="",COUNT(G86:I86)&lt;&gt;3),"Angaben fehlen","Wirksam"))))</f>
        <v/>
      </c>
      <c r="L86">
        <f>IF(K86="Wirksam",SUM(G86:H86)-I86,IF(K86="","","n.a."))</f>
        <v/>
      </c>
    </row>
    <row r="87">
      <c r="K87">
        <f>IF(COUNTA(C87:J87)=0,"",IF(OR(C87&lt;&gt;'[Steuerung.xlsx]Steuerung'!$F$6,D87&lt;1,D87&gt;12),"Periode prüfen",IF(D87&lt;='[Steuerung.xlsx]Steuerung'!$F$8,"IST gesperrt",IF(OR(E87="",F87="",COUNT(G87:I87)&lt;&gt;3),"Angaben fehlen","Wirksam"))))</f>
        <v/>
      </c>
      <c r="L87">
        <f>IF(K87="Wirksam",SUM(G87:H87)-I87,IF(K87="","","n.a."))</f>
        <v/>
      </c>
    </row>
    <row r="88">
      <c r="K88">
        <f>IF(COUNTA(C88:J88)=0,"",IF(OR(C88&lt;&gt;'[Steuerung.xlsx]Steuerung'!$F$6,D88&lt;1,D88&gt;12),"Periode prüfen",IF(D88&lt;='[Steuerung.xlsx]Steuerung'!$F$8,"IST gesperrt",IF(OR(E88="",F88="",COUNT(G88:I88)&lt;&gt;3),"Angaben fehlen","Wirksam"))))</f>
        <v/>
      </c>
      <c r="L88">
        <f>IF(K88="Wirksam",SUM(G88:H88)-I88,IF(K88="","","n.a."))</f>
        <v/>
      </c>
    </row>
    <row r="89">
      <c r="K89">
        <f>IF(COUNTA(C89:J89)=0,"",IF(OR(C89&lt;&gt;'[Steuerung.xlsx]Steuerung'!$F$6,D89&lt;1,D89&gt;12),"Periode prüfen",IF(D89&lt;='[Steuerung.xlsx]Steuerung'!$F$8,"IST gesperrt",IF(OR(E89="",F89="",COUNT(G89:I89)&lt;&gt;3),"Angaben fehlen","Wirksam"))))</f>
        <v/>
      </c>
      <c r="L89">
        <f>IF(K89="Wirksam",SUM(G89:H89)-I89,IF(K89="","","n.a."))</f>
        <v/>
      </c>
    </row>
    <row r="90">
      <c r="K90">
        <f>IF(COUNTA(C90:J90)=0,"",IF(OR(C90&lt;&gt;'[Steuerung.xlsx]Steuerung'!$F$6,D90&lt;1,D90&gt;12),"Periode prüfen",IF(D90&lt;='[Steuerung.xlsx]Steuerung'!$F$8,"IST gesperrt",IF(OR(E90="",F90="",COUNT(G90:I90)&lt;&gt;3),"Angaben fehlen","Wirksam"))))</f>
        <v/>
      </c>
      <c r="L90">
        <f>IF(K90="Wirksam",SUM(G90:H90)-I90,IF(K90="","","n.a."))</f>
        <v/>
      </c>
    </row>
    <row r="91">
      <c r="K91">
        <f>IF(COUNTA(C91:J91)=0,"",IF(OR(C91&lt;&gt;'[Steuerung.xlsx]Steuerung'!$F$6,D91&lt;1,D91&gt;12),"Periode prüfen",IF(D91&lt;='[Steuerung.xlsx]Steuerung'!$F$8,"IST gesperrt",IF(OR(E91="",F91="",COUNT(G91:I91)&lt;&gt;3),"Angaben fehlen","Wirksam"))))</f>
        <v/>
      </c>
      <c r="L91">
        <f>IF(K91="Wirksam",SUM(G91:H91)-I91,IF(K91="","","n.a."))</f>
        <v/>
      </c>
    </row>
    <row r="92">
      <c r="K92">
        <f>IF(COUNTA(C92:J92)=0,"",IF(OR(C92&lt;&gt;'[Steuerung.xlsx]Steuerung'!$F$6,D92&lt;1,D92&gt;12),"Periode prüfen",IF(D92&lt;='[Steuerung.xlsx]Steuerung'!$F$8,"IST gesperrt",IF(OR(E92="",F92="",COUNT(G92:I92)&lt;&gt;3),"Angaben fehlen","Wirksam"))))</f>
        <v/>
      </c>
      <c r="L92">
        <f>IF(K92="Wirksam",SUM(G92:H92)-I92,IF(K92="","","n.a."))</f>
        <v/>
      </c>
    </row>
    <row r="93">
      <c r="K93">
        <f>IF(COUNTA(C93:J93)=0,"",IF(OR(C93&lt;&gt;'[Steuerung.xlsx]Steuerung'!$F$6,D93&lt;1,D93&gt;12),"Periode prüfen",IF(D93&lt;='[Steuerung.xlsx]Steuerung'!$F$8,"IST gesperrt",IF(OR(E93="",F93="",COUNT(G93:I93)&lt;&gt;3),"Angaben fehlen","Wirksam"))))</f>
        <v/>
      </c>
      <c r="L93">
        <f>IF(K93="Wirksam",SUM(G93:H93)-I93,IF(K93="","","n.a."))</f>
        <v/>
      </c>
    </row>
    <row r="94">
      <c r="K94">
        <f>IF(COUNTA(C94:J94)=0,"",IF(OR(C94&lt;&gt;'[Steuerung.xlsx]Steuerung'!$F$6,D94&lt;1,D94&gt;12),"Periode prüfen",IF(D94&lt;='[Steuerung.xlsx]Steuerung'!$F$8,"IST gesperrt",IF(OR(E94="",F94="",COUNT(G94:I94)&lt;&gt;3),"Angaben fehlen","Wirksam"))))</f>
        <v/>
      </c>
      <c r="L94">
        <f>IF(K94="Wirksam",SUM(G94:H94)-I94,IF(K94="","","n.a."))</f>
        <v/>
      </c>
    </row>
    <row r="95">
      <c r="K95">
        <f>IF(COUNTA(C95:J95)=0,"",IF(OR(C95&lt;&gt;'[Steuerung.xlsx]Steuerung'!$F$6,D95&lt;1,D95&gt;12),"Periode prüfen",IF(D95&lt;='[Steuerung.xlsx]Steuerung'!$F$8,"IST gesperrt",IF(OR(E95="",F95="",COUNT(G95:I95)&lt;&gt;3),"Angaben fehlen","Wirksam"))))</f>
        <v/>
      </c>
      <c r="L95">
        <f>IF(K95="Wirksam",SUM(G95:H95)-I95,IF(K95="","","n.a."))</f>
        <v/>
      </c>
    </row>
    <row r="96">
      <c r="K96">
        <f>IF(COUNTA(C96:J96)=0,"",IF(OR(C96&lt;&gt;'[Steuerung.xlsx]Steuerung'!$F$6,D96&lt;1,D96&gt;12),"Periode prüfen",IF(D96&lt;='[Steuerung.xlsx]Steuerung'!$F$8,"IST gesperrt",IF(OR(E96="",F96="",COUNT(G96:I96)&lt;&gt;3),"Angaben fehlen","Wirksam"))))</f>
        <v/>
      </c>
      <c r="L96">
        <f>IF(K96="Wirksam",SUM(G96:H96)-I96,IF(K96="","","n.a."))</f>
        <v/>
      </c>
    </row>
    <row r="97">
      <c r="K97">
        <f>IF(COUNTA(C97:J97)=0,"",IF(OR(C97&lt;&gt;'[Steuerung.xlsx]Steuerung'!$F$6,D97&lt;1,D97&gt;12),"Periode prüfen",IF(D97&lt;='[Steuerung.xlsx]Steuerung'!$F$8,"IST gesperrt",IF(OR(E97="",F97="",COUNT(G97:I97)&lt;&gt;3),"Angaben fehlen","Wirksam"))))</f>
        <v/>
      </c>
      <c r="L97">
        <f>IF(K97="Wirksam",SUM(G97:H97)-I97,IF(K97="","","n.a."))</f>
        <v/>
      </c>
    </row>
    <row r="98">
      <c r="K98">
        <f>IF(COUNTA(C98:J98)=0,"",IF(OR(C98&lt;&gt;'[Steuerung.xlsx]Steuerung'!$F$6,D98&lt;1,D98&gt;12),"Periode prüfen",IF(D98&lt;='[Steuerung.xlsx]Steuerung'!$F$8,"IST gesperrt",IF(OR(E98="",F98="",COUNT(G98:I98)&lt;&gt;3),"Angaben fehlen","Wirksam"))))</f>
        <v/>
      </c>
      <c r="L98">
        <f>IF(K98="Wirksam",SUM(G98:H98)-I98,IF(K98="","","n.a."))</f>
        <v/>
      </c>
    </row>
    <row r="99">
      <c r="K99">
        <f>IF(COUNTA(C99:J99)=0,"",IF(OR(C99&lt;&gt;'[Steuerung.xlsx]Steuerung'!$F$6,D99&lt;1,D99&gt;12),"Periode prüfen",IF(D99&lt;='[Steuerung.xlsx]Steuerung'!$F$8,"IST gesperrt",IF(OR(E99="",F99="",COUNT(G99:I99)&lt;&gt;3),"Angaben fehlen","Wirksam"))))</f>
        <v/>
      </c>
      <c r="L99">
        <f>IF(K99="Wirksam",SUM(G99:H99)-I99,IF(K99="","","n.a."))</f>
        <v/>
      </c>
    </row>
    <row r="100">
      <c r="K100">
        <f>IF(COUNTA(C100:J100)=0,"",IF(OR(C100&lt;&gt;'[Steuerung.xlsx]Steuerung'!$F$6,D100&lt;1,D100&gt;12),"Periode prüfen",IF(D100&lt;='[Steuerung.xlsx]Steuerung'!$F$8,"IST gesperrt",IF(OR(E100="",F100="",COUNT(G100:I100)&lt;&gt;3),"Angaben fehlen","Wirksam"))))</f>
        <v/>
      </c>
      <c r="L100">
        <f>IF(K100="Wirksam",SUM(G100:H100)-I100,IF(K100="","","n.a."))</f>
        <v/>
      </c>
    </row>
    <row r="101">
      <c r="K101">
        <f>IF(COUNTA(C101:J101)=0,"",IF(OR(C101&lt;&gt;'[Steuerung.xlsx]Steuerung'!$F$6,D101&lt;1,D101&gt;12),"Periode prüfen",IF(D101&lt;='[Steuerung.xlsx]Steuerung'!$F$8,"IST gesperrt",IF(OR(E101="",F101="",COUNT(G101:I101)&lt;&gt;3),"Angaben fehlen","Wirksam"))))</f>
        <v/>
      </c>
      <c r="L101">
        <f>IF(K101="Wirksam",SUM(G101:H101)-I101,IF(K101="","","n.a."))</f>
        <v/>
      </c>
    </row>
    <row r="102">
      <c r="K102">
        <f>IF(COUNTA(C102:J102)=0,"",IF(OR(C102&lt;&gt;'[Steuerung.xlsx]Steuerung'!$F$6,D102&lt;1,D102&gt;12),"Periode prüfen",IF(D102&lt;='[Steuerung.xlsx]Steuerung'!$F$8,"IST gesperrt",IF(OR(E102="",F102="",COUNT(G102:I102)&lt;&gt;3),"Angaben fehlen","Wirksam"))))</f>
        <v/>
      </c>
      <c r="L102">
        <f>IF(K102="Wirksam",SUM(G102:H102)-I102,IF(K102="","","n.a."))</f>
        <v/>
      </c>
    </row>
    <row r="103">
      <c r="K103">
        <f>IF(COUNTA(C103:J103)=0,"",IF(OR(C103&lt;&gt;'[Steuerung.xlsx]Steuerung'!$F$6,D103&lt;1,D103&gt;12),"Periode prüfen",IF(D103&lt;='[Steuerung.xlsx]Steuerung'!$F$8,"IST gesperrt",IF(OR(E103="",F103="",COUNT(G103:I103)&lt;&gt;3),"Angaben fehlen","Wirksam"))))</f>
        <v/>
      </c>
      <c r="L103">
        <f>IF(K103="Wirksam",SUM(G103:H103)-I103,IF(K103="","","n.a."))</f>
        <v/>
      </c>
    </row>
    <row r="104">
      <c r="K104">
        <f>IF(COUNTA(C104:J104)=0,"",IF(OR(C104&lt;&gt;'[Steuerung.xlsx]Steuerung'!$F$6,D104&lt;1,D104&gt;12),"Periode prüfen",IF(D104&lt;='[Steuerung.xlsx]Steuerung'!$F$8,"IST gesperrt",IF(OR(E104="",F104="",COUNT(G104:I104)&lt;&gt;3),"Angaben fehlen","Wirksam"))))</f>
        <v/>
      </c>
      <c r="L104">
        <f>IF(K104="Wirksam",SUM(G104:H104)-I104,IF(K104="","","n.a."))</f>
        <v/>
      </c>
    </row>
    <row r="105">
      <c r="K105">
        <f>IF(COUNTA(C105:J105)=0,"",IF(OR(C105&lt;&gt;'[Steuerung.xlsx]Steuerung'!$F$6,D105&lt;1,D105&gt;12),"Periode prüfen",IF(D105&lt;='[Steuerung.xlsx]Steuerung'!$F$8,"IST gesperrt",IF(OR(E105="",F105="",COUNT(G105:I105)&lt;&gt;3),"Angaben fehlen","Wirksam"))))</f>
        <v/>
      </c>
      <c r="L105">
        <f>IF(K105="Wirksam",SUM(G105:H105)-I105,IF(K105="","","n.a."))</f>
        <v/>
      </c>
    </row>
    <row r="106">
      <c r="K106">
        <f>IF(COUNTA(C106:J106)=0,"",IF(OR(C106&lt;&gt;'[Steuerung.xlsx]Steuerung'!$F$6,D106&lt;1,D106&gt;12),"Periode prüfen",IF(D106&lt;='[Steuerung.xlsx]Steuerung'!$F$8,"IST gesperrt",IF(OR(E106="",F106="",COUNT(G106:I106)&lt;&gt;3),"Angaben fehlen","Wirksam"))))</f>
        <v/>
      </c>
      <c r="L106">
        <f>IF(K106="Wirksam",SUM(G106:H106)-I106,IF(K106="","","n.a."))</f>
        <v/>
      </c>
    </row>
    <row r="107">
      <c r="K107">
        <f>IF(COUNTA(C107:J107)=0,"",IF(OR(C107&lt;&gt;'[Steuerung.xlsx]Steuerung'!$F$6,D107&lt;1,D107&gt;12),"Periode prüfen",IF(D107&lt;='[Steuerung.xlsx]Steuerung'!$F$8,"IST gesperrt",IF(OR(E107="",F107="",COUNT(G107:I107)&lt;&gt;3),"Angaben fehlen","Wirksam"))))</f>
        <v/>
      </c>
      <c r="L107">
        <f>IF(K107="Wirksam",SUM(G107:H107)-I107,IF(K107="","","n.a."))</f>
        <v/>
      </c>
    </row>
    <row r="108">
      <c r="K108">
        <f>IF(COUNTA(C108:J108)=0,"",IF(OR(C108&lt;&gt;'[Steuerung.xlsx]Steuerung'!$F$6,D108&lt;1,D108&gt;12),"Periode prüfen",IF(D108&lt;='[Steuerung.xlsx]Steuerung'!$F$8,"IST gesperrt",IF(OR(E108="",F108="",COUNT(G108:I108)&lt;&gt;3),"Angaben fehlen","Wirksam"))))</f>
        <v/>
      </c>
      <c r="L108">
        <f>IF(K108="Wirksam",SUM(G108:H108)-I108,IF(K108="","","n.a."))</f>
        <v/>
      </c>
    </row>
    <row r="109">
      <c r="K109">
        <f>IF(COUNTA(C109:J109)=0,"",IF(OR(C109&lt;&gt;'[Steuerung.xlsx]Steuerung'!$F$6,D109&lt;1,D109&gt;12),"Periode prüfen",IF(D109&lt;='[Steuerung.xlsx]Steuerung'!$F$8,"IST gesperrt",IF(OR(E109="",F109="",COUNT(G109:I109)&lt;&gt;3),"Angaben fehlen","Wirksam"))))</f>
        <v/>
      </c>
      <c r="L109">
        <f>IF(K109="Wirksam",SUM(G109:H109)-I109,IF(K109="","","n.a."))</f>
        <v/>
      </c>
    </row>
    <row r="110">
      <c r="K110">
        <f>IF(COUNTA(C110:J110)=0,"",IF(OR(C110&lt;&gt;'[Steuerung.xlsx]Steuerung'!$F$6,D110&lt;1,D110&gt;12),"Periode prüfen",IF(D110&lt;='[Steuerung.xlsx]Steuerung'!$F$8,"IST gesperrt",IF(OR(E110="",F110="",COUNT(G110:I110)&lt;&gt;3),"Angaben fehlen","Wirksam"))))</f>
        <v/>
      </c>
      <c r="L110">
        <f>IF(K110="Wirksam",SUM(G110:H110)-I110,IF(K110="","","n.a."))</f>
        <v/>
      </c>
    </row>
    <row r="111">
      <c r="K111">
        <f>IF(COUNTA(C111:J111)=0,"",IF(OR(C111&lt;&gt;'[Steuerung.xlsx]Steuerung'!$F$6,D111&lt;1,D111&gt;12),"Periode prüfen",IF(D111&lt;='[Steuerung.xlsx]Steuerung'!$F$8,"IST gesperrt",IF(OR(E111="",F111="",COUNT(G111:I111)&lt;&gt;3),"Angaben fehlen","Wirksam"))))</f>
        <v/>
      </c>
      <c r="L111">
        <f>IF(K111="Wirksam",SUM(G111:H111)-I111,IF(K111="","","n.a."))</f>
        <v/>
      </c>
    </row>
    <row r="112">
      <c r="K112">
        <f>IF(COUNTA(C112:J112)=0,"",IF(OR(C112&lt;&gt;'[Steuerung.xlsx]Steuerung'!$F$6,D112&lt;1,D112&gt;12),"Periode prüfen",IF(D112&lt;='[Steuerung.xlsx]Steuerung'!$F$8,"IST gesperrt",IF(OR(E112="",F112="",COUNT(G112:I112)&lt;&gt;3),"Angaben fehlen","Wirksam"))))</f>
        <v/>
      </c>
      <c r="L112">
        <f>IF(K112="Wirksam",SUM(G112:H112)-I112,IF(K112="","","n.a."))</f>
        <v/>
      </c>
    </row>
    <row r="113">
      <c r="K113">
        <f>IF(COUNTA(C113:J113)=0,"",IF(OR(C113&lt;&gt;'[Steuerung.xlsx]Steuerung'!$F$6,D113&lt;1,D113&gt;12),"Periode prüfen",IF(D113&lt;='[Steuerung.xlsx]Steuerung'!$F$8,"IST gesperrt",IF(OR(E113="",F113="",COUNT(G113:I113)&lt;&gt;3),"Angaben fehlen","Wirksam"))))</f>
        <v/>
      </c>
      <c r="L113">
        <f>IF(K113="Wirksam",SUM(G113:H113)-I113,IF(K113="","","n.a."))</f>
        <v/>
      </c>
    </row>
    <row r="114">
      <c r="K114">
        <f>IF(COUNTA(C114:J114)=0,"",IF(OR(C114&lt;&gt;'[Steuerung.xlsx]Steuerung'!$F$6,D114&lt;1,D114&gt;12),"Periode prüfen",IF(D114&lt;='[Steuerung.xlsx]Steuerung'!$F$8,"IST gesperrt",IF(OR(E114="",F114="",COUNT(G114:I114)&lt;&gt;3),"Angaben fehlen","Wirksam"))))</f>
        <v/>
      </c>
      <c r="L114">
        <f>IF(K114="Wirksam",SUM(G114:H114)-I114,IF(K114="","","n.a."))</f>
        <v/>
      </c>
    </row>
    <row r="115">
      <c r="K115">
        <f>IF(COUNTA(C115:J115)=0,"",IF(OR(C115&lt;&gt;'[Steuerung.xlsx]Steuerung'!$F$6,D115&lt;1,D115&gt;12),"Periode prüfen",IF(D115&lt;='[Steuerung.xlsx]Steuerung'!$F$8,"IST gesperrt",IF(OR(E115="",F115="",COUNT(G115:I115)&lt;&gt;3),"Angaben fehlen","Wirksam"))))</f>
        <v/>
      </c>
      <c r="L115">
        <f>IF(K115="Wirksam",SUM(G115:H115)-I115,IF(K115="","","n.a."))</f>
        <v/>
      </c>
    </row>
    <row r="116">
      <c r="K116">
        <f>IF(COUNTA(C116:J116)=0,"",IF(OR(C116&lt;&gt;'[Steuerung.xlsx]Steuerung'!$F$6,D116&lt;1,D116&gt;12),"Periode prüfen",IF(D116&lt;='[Steuerung.xlsx]Steuerung'!$F$8,"IST gesperrt",IF(OR(E116="",F116="",COUNT(G116:I116)&lt;&gt;3),"Angaben fehlen","Wirksam"))))</f>
        <v/>
      </c>
      <c r="L116">
        <f>IF(K116="Wirksam",SUM(G116:H116)-I116,IF(K116="","","n.a."))</f>
        <v/>
      </c>
    </row>
    <row r="117">
      <c r="K117">
        <f>IF(COUNTA(C117:J117)=0,"",IF(OR(C117&lt;&gt;'[Steuerung.xlsx]Steuerung'!$F$6,D117&lt;1,D117&gt;12),"Periode prüfen",IF(D117&lt;='[Steuerung.xlsx]Steuerung'!$F$8,"IST gesperrt",IF(OR(E117="",F117="",COUNT(G117:I117)&lt;&gt;3),"Angaben fehlen","Wirksam"))))</f>
        <v/>
      </c>
      <c r="L117">
        <f>IF(K117="Wirksam",SUM(G117:H117)-I117,IF(K117="","","n.a."))</f>
        <v/>
      </c>
    </row>
    <row r="118">
      <c r="K118">
        <f>IF(COUNTA(C118:J118)=0,"",IF(OR(C118&lt;&gt;'[Steuerung.xlsx]Steuerung'!$F$6,D118&lt;1,D118&gt;12),"Periode prüfen",IF(D118&lt;='[Steuerung.xlsx]Steuerung'!$F$8,"IST gesperrt",IF(OR(E118="",F118="",COUNT(G118:I118)&lt;&gt;3),"Angaben fehlen","Wirksam"))))</f>
        <v/>
      </c>
      <c r="L118">
        <f>IF(K118="Wirksam",SUM(G118:H118)-I118,IF(K118="","","n.a."))</f>
        <v/>
      </c>
    </row>
    <row r="119">
      <c r="K119">
        <f>IF(COUNTA(C119:J119)=0,"",IF(OR(C119&lt;&gt;'[Steuerung.xlsx]Steuerung'!$F$6,D119&lt;1,D119&gt;12),"Periode prüfen",IF(D119&lt;='[Steuerung.xlsx]Steuerung'!$F$8,"IST gesperrt",IF(OR(E119="",F119="",COUNT(G119:I119)&lt;&gt;3),"Angaben fehlen","Wirksam"))))</f>
        <v/>
      </c>
      <c r="L119">
        <f>IF(K119="Wirksam",SUM(G119:H119)-I119,IF(K119="","","n.a."))</f>
        <v/>
      </c>
    </row>
    <row r="120">
      <c r="K120">
        <f>IF(COUNTA(C120:J120)=0,"",IF(OR(C120&lt;&gt;'[Steuerung.xlsx]Steuerung'!$F$6,D120&lt;1,D120&gt;12),"Periode prüfen",IF(D120&lt;='[Steuerung.xlsx]Steuerung'!$F$8,"IST gesperrt",IF(OR(E120="",F120="",COUNT(G120:I120)&lt;&gt;3),"Angaben fehlen","Wirksam"))))</f>
        <v/>
      </c>
      <c r="L120">
        <f>IF(K120="Wirksam",SUM(G120:H120)-I120,IF(K120="","","n.a."))</f>
        <v/>
      </c>
    </row>
    <row r="121">
      <c r="K121">
        <f>IF(COUNTA(C121:J121)=0,"",IF(OR(C121&lt;&gt;'[Steuerung.xlsx]Steuerung'!$F$6,D121&lt;1,D121&gt;12),"Periode prüfen",IF(D121&lt;='[Steuerung.xlsx]Steuerung'!$F$8,"IST gesperrt",IF(OR(E121="",F121="",COUNT(G121:I121)&lt;&gt;3),"Angaben fehlen","Wirksam"))))</f>
        <v/>
      </c>
      <c r="L121">
        <f>IF(K121="Wirksam",SUM(G121:H121)-I121,IF(K121="","","n.a."))</f>
        <v/>
      </c>
    </row>
    <row r="122">
      <c r="K122">
        <f>IF(COUNTA(C122:J122)=0,"",IF(OR(C122&lt;&gt;'[Steuerung.xlsx]Steuerung'!$F$6,D122&lt;1,D122&gt;12),"Periode prüfen",IF(D122&lt;='[Steuerung.xlsx]Steuerung'!$F$8,"IST gesperrt",IF(OR(E122="",F122="",COUNT(G122:I122)&lt;&gt;3),"Angaben fehlen","Wirksam"))))</f>
        <v/>
      </c>
      <c r="L122">
        <f>IF(K122="Wirksam",SUM(G122:H122)-I122,IF(K122="","","n.a."))</f>
        <v/>
      </c>
    </row>
    <row r="123">
      <c r="K123">
        <f>IF(COUNTA(C123:J123)=0,"",IF(OR(C123&lt;&gt;'[Steuerung.xlsx]Steuerung'!$F$6,D123&lt;1,D123&gt;12),"Periode prüfen",IF(D123&lt;='[Steuerung.xlsx]Steuerung'!$F$8,"IST gesperrt",IF(OR(E123="",F123="",COUNT(G123:I123)&lt;&gt;3),"Angaben fehlen","Wirksam"))))</f>
        <v/>
      </c>
      <c r="L123">
        <f>IF(K123="Wirksam",SUM(G123:H123)-I123,IF(K123="","","n.a."))</f>
        <v/>
      </c>
    </row>
    <row r="124">
      <c r="K124">
        <f>IF(COUNTA(C124:J124)=0,"",IF(OR(C124&lt;&gt;'[Steuerung.xlsx]Steuerung'!$F$6,D124&lt;1,D124&gt;12),"Periode prüfen",IF(D124&lt;='[Steuerung.xlsx]Steuerung'!$F$8,"IST gesperrt",IF(OR(E124="",F124="",COUNT(G124:I124)&lt;&gt;3),"Angaben fehlen","Wirksam"))))</f>
        <v/>
      </c>
      <c r="L124">
        <f>IF(K124="Wirksam",SUM(G124:H124)-I124,IF(K124="","","n.a."))</f>
        <v/>
      </c>
    </row>
    <row r="125">
      <c r="K125">
        <f>IF(COUNTA(C125:J125)=0,"",IF(OR(C125&lt;&gt;'[Steuerung.xlsx]Steuerung'!$F$6,D125&lt;1,D125&gt;12),"Periode prüfen",IF(D125&lt;='[Steuerung.xlsx]Steuerung'!$F$8,"IST gesperrt",IF(OR(E125="",F125="",COUNT(G125:I125)&lt;&gt;3),"Angaben fehlen","Wirksam"))))</f>
        <v/>
      </c>
      <c r="L125">
        <f>IF(K125="Wirksam",SUM(G125:H125)-I125,IF(K125="","","n.a."))</f>
        <v/>
      </c>
    </row>
    <row r="126">
      <c r="K126">
        <f>IF(COUNTA(C126:J126)=0,"",IF(OR(C126&lt;&gt;'[Steuerung.xlsx]Steuerung'!$F$6,D126&lt;1,D126&gt;12),"Periode prüfen",IF(D126&lt;='[Steuerung.xlsx]Steuerung'!$F$8,"IST gesperrt",IF(OR(E126="",F126="",COUNT(G126:I126)&lt;&gt;3),"Angaben fehlen","Wirksam"))))</f>
        <v/>
      </c>
      <c r="L126">
        <f>IF(K126="Wirksam",SUM(G126:H126)-I126,IF(K126="","","n.a."))</f>
        <v/>
      </c>
    </row>
    <row r="127">
      <c r="K127">
        <f>IF(COUNTA(C127:J127)=0,"",IF(OR(C127&lt;&gt;'[Steuerung.xlsx]Steuerung'!$F$6,D127&lt;1,D127&gt;12),"Periode prüfen",IF(D127&lt;='[Steuerung.xlsx]Steuerung'!$F$8,"IST gesperrt",IF(OR(E127="",F127="",COUNT(G127:I127)&lt;&gt;3),"Angaben fehlen","Wirksam"))))</f>
        <v/>
      </c>
      <c r="L127">
        <f>IF(K127="Wirksam",SUM(G127:H127)-I127,IF(K127="","","n.a."))</f>
        <v/>
      </c>
    </row>
    <row r="128">
      <c r="K128">
        <f>IF(COUNTA(C128:J128)=0,"",IF(OR(C128&lt;&gt;'[Steuerung.xlsx]Steuerung'!$F$6,D128&lt;1,D128&gt;12),"Periode prüfen",IF(D128&lt;='[Steuerung.xlsx]Steuerung'!$F$8,"IST gesperrt",IF(OR(E128="",F128="",COUNT(G128:I128)&lt;&gt;3),"Angaben fehlen","Wirksam"))))</f>
        <v/>
      </c>
      <c r="L128">
        <f>IF(K128="Wirksam",SUM(G128:H128)-I128,IF(K128="","","n.a."))</f>
        <v/>
      </c>
    </row>
    <row r="129">
      <c r="K129">
        <f>IF(COUNTA(C129:J129)=0,"",IF(OR(C129&lt;&gt;'[Steuerung.xlsx]Steuerung'!$F$6,D129&lt;1,D129&gt;12),"Periode prüfen",IF(D129&lt;='[Steuerung.xlsx]Steuerung'!$F$8,"IST gesperrt",IF(OR(E129="",F129="",COUNT(G129:I129)&lt;&gt;3),"Angaben fehlen","Wirksam"))))</f>
        <v/>
      </c>
      <c r="L129">
        <f>IF(K129="Wirksam",SUM(G129:H129)-I129,IF(K129="","","n.a."))</f>
        <v/>
      </c>
    </row>
    <row r="130">
      <c r="K130">
        <f>IF(COUNTA(C130:J130)=0,"",IF(OR(C130&lt;&gt;'[Steuerung.xlsx]Steuerung'!$F$6,D130&lt;1,D130&gt;12),"Periode prüfen",IF(D130&lt;='[Steuerung.xlsx]Steuerung'!$F$8,"IST gesperrt",IF(OR(E130="",F130="",COUNT(G130:I130)&lt;&gt;3),"Angaben fehlen","Wirksam"))))</f>
        <v/>
      </c>
      <c r="L130">
        <f>IF(K130="Wirksam",SUM(G130:H130)-I130,IF(K130="","","n.a."))</f>
        <v/>
      </c>
    </row>
    <row r="131">
      <c r="K131">
        <f>IF(COUNTA(C131:J131)=0,"",IF(OR(C131&lt;&gt;'[Steuerung.xlsx]Steuerung'!$F$6,D131&lt;1,D131&gt;12),"Periode prüfen",IF(D131&lt;='[Steuerung.xlsx]Steuerung'!$F$8,"IST gesperrt",IF(OR(E131="",F131="",COUNT(G131:I131)&lt;&gt;3),"Angaben fehlen","Wirksam"))))</f>
        <v/>
      </c>
      <c r="L131">
        <f>IF(K131="Wirksam",SUM(G131:H131)-I131,IF(K131="","","n.a."))</f>
        <v/>
      </c>
    </row>
    <row r="132">
      <c r="K132">
        <f>IF(COUNTA(C132:J132)=0,"",IF(OR(C132&lt;&gt;'[Steuerung.xlsx]Steuerung'!$F$6,D132&lt;1,D132&gt;12),"Periode prüfen",IF(D132&lt;='[Steuerung.xlsx]Steuerung'!$F$8,"IST gesperrt",IF(OR(E132="",F132="",COUNT(G132:I132)&lt;&gt;3),"Angaben fehlen","Wirksam"))))</f>
        <v/>
      </c>
      <c r="L132">
        <f>IF(K132="Wirksam",SUM(G132:H132)-I132,IF(K132="","","n.a."))</f>
        <v/>
      </c>
    </row>
    <row r="133">
      <c r="K133">
        <f>IF(COUNTA(C133:J133)=0,"",IF(OR(C133&lt;&gt;'[Steuerung.xlsx]Steuerung'!$F$6,D133&lt;1,D133&gt;12),"Periode prüfen",IF(D133&lt;='[Steuerung.xlsx]Steuerung'!$F$8,"IST gesperrt",IF(OR(E133="",F133="",COUNT(G133:I133)&lt;&gt;3),"Angaben fehlen","Wirksam"))))</f>
        <v/>
      </c>
      <c r="L133">
        <f>IF(K133="Wirksam",SUM(G133:H133)-I133,IF(K133="","","n.a."))</f>
        <v/>
      </c>
    </row>
    <row r="134">
      <c r="K134">
        <f>IF(COUNTA(C134:J134)=0,"",IF(OR(C134&lt;&gt;'[Steuerung.xlsx]Steuerung'!$F$6,D134&lt;1,D134&gt;12),"Periode prüfen",IF(D134&lt;='[Steuerung.xlsx]Steuerung'!$F$8,"IST gesperrt",IF(OR(E134="",F134="",COUNT(G134:I134)&lt;&gt;3),"Angaben fehlen","Wirksam"))))</f>
        <v/>
      </c>
      <c r="L134">
        <f>IF(K134="Wirksam",SUM(G134:H134)-I134,IF(K134="","","n.a."))</f>
        <v/>
      </c>
    </row>
    <row r="135">
      <c r="K135">
        <f>IF(COUNTA(C135:J135)=0,"",IF(OR(C135&lt;&gt;'[Steuerung.xlsx]Steuerung'!$F$6,D135&lt;1,D135&gt;12),"Periode prüfen",IF(D135&lt;='[Steuerung.xlsx]Steuerung'!$F$8,"IST gesperrt",IF(OR(E135="",F135="",COUNT(G135:I135)&lt;&gt;3),"Angaben fehlen","Wirksam"))))</f>
        <v/>
      </c>
      <c r="L135">
        <f>IF(K135="Wirksam",SUM(G135:H135)-I135,IF(K135="","","n.a."))</f>
        <v/>
      </c>
    </row>
    <row r="136">
      <c r="K136">
        <f>IF(COUNTA(C136:J136)=0,"",IF(OR(C136&lt;&gt;'[Steuerung.xlsx]Steuerung'!$F$6,D136&lt;1,D136&gt;12),"Periode prüfen",IF(D136&lt;='[Steuerung.xlsx]Steuerung'!$F$8,"IST gesperrt",IF(OR(E136="",F136="",COUNT(G136:I136)&lt;&gt;3),"Angaben fehlen","Wirksam"))))</f>
        <v/>
      </c>
      <c r="L136">
        <f>IF(K136="Wirksam",SUM(G136:H136)-I136,IF(K136="","","n.a."))</f>
        <v/>
      </c>
    </row>
    <row r="137">
      <c r="K137">
        <f>IF(COUNTA(C137:J137)=0,"",IF(OR(C137&lt;&gt;'[Steuerung.xlsx]Steuerung'!$F$6,D137&lt;1,D137&gt;12),"Periode prüfen",IF(D137&lt;='[Steuerung.xlsx]Steuerung'!$F$8,"IST gesperrt",IF(OR(E137="",F137="",COUNT(G137:I137)&lt;&gt;3),"Angaben fehlen","Wirksam"))))</f>
        <v/>
      </c>
      <c r="L137">
        <f>IF(K137="Wirksam",SUM(G137:H137)-I137,IF(K137="","","n.a."))</f>
        <v/>
      </c>
    </row>
    <row r="138">
      <c r="K138">
        <f>IF(COUNTA(C138:J138)=0,"",IF(OR(C138&lt;&gt;'[Steuerung.xlsx]Steuerung'!$F$6,D138&lt;1,D138&gt;12),"Periode prüfen",IF(D138&lt;='[Steuerung.xlsx]Steuerung'!$F$8,"IST gesperrt",IF(OR(E138="",F138="",COUNT(G138:I138)&lt;&gt;3),"Angaben fehlen","Wirksam"))))</f>
        <v/>
      </c>
      <c r="L138">
        <f>IF(K138="Wirksam",SUM(G138:H138)-I138,IF(K138="","","n.a."))</f>
        <v/>
      </c>
    </row>
    <row r="139">
      <c r="K139">
        <f>IF(COUNTA(C139:J139)=0,"",IF(OR(C139&lt;&gt;'[Steuerung.xlsx]Steuerung'!$F$6,D139&lt;1,D139&gt;12),"Periode prüfen",IF(D139&lt;='[Steuerung.xlsx]Steuerung'!$F$8,"IST gesperrt",IF(OR(E139="",F139="",COUNT(G139:I139)&lt;&gt;3),"Angaben fehlen","Wirksam"))))</f>
        <v/>
      </c>
      <c r="L139">
        <f>IF(K139="Wirksam",SUM(G139:H139)-I139,IF(K139="","","n.a."))</f>
        <v/>
      </c>
    </row>
    <row r="140">
      <c r="K140">
        <f>IF(COUNTA(C140:J140)=0,"",IF(OR(C140&lt;&gt;'[Steuerung.xlsx]Steuerung'!$F$6,D140&lt;1,D140&gt;12),"Periode prüfen",IF(D140&lt;='[Steuerung.xlsx]Steuerung'!$F$8,"IST gesperrt",IF(OR(E140="",F140="",COUNT(G140:I140)&lt;&gt;3),"Angaben fehlen","Wirksam"))))</f>
        <v/>
      </c>
      <c r="L140">
        <f>IF(K140="Wirksam",SUM(G140:H140)-I140,IF(K140="","","n.a."))</f>
        <v/>
      </c>
    </row>
    <row r="141">
      <c r="K141">
        <f>IF(COUNTA(C141:J141)=0,"",IF(OR(C141&lt;&gt;'[Steuerung.xlsx]Steuerung'!$F$6,D141&lt;1,D141&gt;12),"Periode prüfen",IF(D141&lt;='[Steuerung.xlsx]Steuerung'!$F$8,"IST gesperrt",IF(OR(E141="",F141="",COUNT(G141:I141)&lt;&gt;3),"Angaben fehlen","Wirksam"))))</f>
        <v/>
      </c>
      <c r="L141">
        <f>IF(K141="Wirksam",SUM(G141:H141)-I141,IF(K141="","","n.a."))</f>
        <v/>
      </c>
    </row>
    <row r="142">
      <c r="K142">
        <f>IF(COUNTA(C142:J142)=0,"",IF(OR(C142&lt;&gt;'[Steuerung.xlsx]Steuerung'!$F$6,D142&lt;1,D142&gt;12),"Periode prüfen",IF(D142&lt;='[Steuerung.xlsx]Steuerung'!$F$8,"IST gesperrt",IF(OR(E142="",F142="",COUNT(G142:I142)&lt;&gt;3),"Angaben fehlen","Wirksam"))))</f>
        <v/>
      </c>
      <c r="L142">
        <f>IF(K142="Wirksam",SUM(G142:H142)-I142,IF(K142="","","n.a."))</f>
        <v/>
      </c>
    </row>
    <row r="143">
      <c r="K143">
        <f>IF(COUNTA(C143:J143)=0,"",IF(OR(C143&lt;&gt;'[Steuerung.xlsx]Steuerung'!$F$6,D143&lt;1,D143&gt;12),"Periode prüfen",IF(D143&lt;='[Steuerung.xlsx]Steuerung'!$F$8,"IST gesperrt",IF(OR(E143="",F143="",COUNT(G143:I143)&lt;&gt;3),"Angaben fehlen","Wirksam"))))</f>
        <v/>
      </c>
      <c r="L143">
        <f>IF(K143="Wirksam",SUM(G143:H143)-I143,IF(K143="","","n.a."))</f>
        <v/>
      </c>
    </row>
    <row r="144">
      <c r="K144">
        <f>IF(COUNTA(C144:J144)=0,"",IF(OR(C144&lt;&gt;'[Steuerung.xlsx]Steuerung'!$F$6,D144&lt;1,D144&gt;12),"Periode prüfen",IF(D144&lt;='[Steuerung.xlsx]Steuerung'!$F$8,"IST gesperrt",IF(OR(E144="",F144="",COUNT(G144:I144)&lt;&gt;3),"Angaben fehlen","Wirksam"))))</f>
        <v/>
      </c>
      <c r="L144">
        <f>IF(K144="Wirksam",SUM(G144:H144)-I144,IF(K144="","","n.a."))</f>
        <v/>
      </c>
    </row>
    <row r="145">
      <c r="K145">
        <f>IF(COUNTA(C145:J145)=0,"",IF(OR(C145&lt;&gt;'[Steuerung.xlsx]Steuerung'!$F$6,D145&lt;1,D145&gt;12),"Periode prüfen",IF(D145&lt;='[Steuerung.xlsx]Steuerung'!$F$8,"IST gesperrt",IF(OR(E145="",F145="",COUNT(G145:I145)&lt;&gt;3),"Angaben fehlen","Wirksam"))))</f>
        <v/>
      </c>
      <c r="L145">
        <f>IF(K145="Wirksam",SUM(G145:H145)-I145,IF(K145="","","n.a."))</f>
        <v/>
      </c>
    </row>
    <row r="146">
      <c r="K146">
        <f>IF(COUNTA(C146:J146)=0,"",IF(OR(C146&lt;&gt;'[Steuerung.xlsx]Steuerung'!$F$6,D146&lt;1,D146&gt;12),"Periode prüfen",IF(D146&lt;='[Steuerung.xlsx]Steuerung'!$F$8,"IST gesperrt",IF(OR(E146="",F146="",COUNT(G146:I146)&lt;&gt;3),"Angaben fehlen","Wirksam"))))</f>
        <v/>
      </c>
      <c r="L146">
        <f>IF(K146="Wirksam",SUM(G146:H146)-I146,IF(K146="","","n.a."))</f>
        <v/>
      </c>
    </row>
    <row r="147">
      <c r="K147">
        <f>IF(COUNTA(C147:J147)=0,"",IF(OR(C147&lt;&gt;'[Steuerung.xlsx]Steuerung'!$F$6,D147&lt;1,D147&gt;12),"Periode prüfen",IF(D147&lt;='[Steuerung.xlsx]Steuerung'!$F$8,"IST gesperrt",IF(OR(E147="",F147="",COUNT(G147:I147)&lt;&gt;3),"Angaben fehlen","Wirksam"))))</f>
        <v/>
      </c>
      <c r="L147">
        <f>IF(K147="Wirksam",SUM(G147:H147)-I147,IF(K147="","","n.a."))</f>
        <v/>
      </c>
    </row>
    <row r="148">
      <c r="K148">
        <f>IF(COUNTA(C148:J148)=0,"",IF(OR(C148&lt;&gt;'[Steuerung.xlsx]Steuerung'!$F$6,D148&lt;1,D148&gt;12),"Periode prüfen",IF(D148&lt;='[Steuerung.xlsx]Steuerung'!$F$8,"IST gesperrt",IF(OR(E148="",F148="",COUNT(G148:I148)&lt;&gt;3),"Angaben fehlen","Wirksam"))))</f>
        <v/>
      </c>
      <c r="L148">
        <f>IF(K148="Wirksam",SUM(G148:H148)-I148,IF(K148="","","n.a."))</f>
        <v/>
      </c>
    </row>
    <row r="149">
      <c r="K149">
        <f>IF(COUNTA(C149:J149)=0,"",IF(OR(C149&lt;&gt;'[Steuerung.xlsx]Steuerung'!$F$6,D149&lt;1,D149&gt;12),"Periode prüfen",IF(D149&lt;='[Steuerung.xlsx]Steuerung'!$F$8,"IST gesperrt",IF(OR(E149="",F149="",COUNT(G149:I149)&lt;&gt;3),"Angaben fehlen","Wirksam"))))</f>
        <v/>
      </c>
      <c r="L149">
        <f>IF(K149="Wirksam",SUM(G149:H149)-I149,IF(K149="","","n.a."))</f>
        <v/>
      </c>
    </row>
    <row r="150">
      <c r="K150">
        <f>IF(COUNTA(C150:J150)=0,"",IF(OR(C150&lt;&gt;'[Steuerung.xlsx]Steuerung'!$F$6,D150&lt;1,D150&gt;12),"Periode prüfen",IF(D150&lt;='[Steuerung.xlsx]Steuerung'!$F$8,"IST gesperrt",IF(OR(E150="",F150="",COUNT(G150:I150)&lt;&gt;3),"Angaben fehlen","Wirksam"))))</f>
        <v/>
      </c>
      <c r="L150">
        <f>IF(K150="Wirksam",SUM(G150:H150)-I150,IF(K150="","","n.a."))</f>
        <v/>
      </c>
    </row>
    <row r="151">
      <c r="K151">
        <f>IF(COUNTA(C151:J151)=0,"",IF(OR(C151&lt;&gt;'[Steuerung.xlsx]Steuerung'!$F$6,D151&lt;1,D151&gt;12),"Periode prüfen",IF(D151&lt;='[Steuerung.xlsx]Steuerung'!$F$8,"IST gesperrt",IF(OR(E151="",F151="",COUNT(G151:I151)&lt;&gt;3),"Angaben fehlen","Wirksam"))))</f>
        <v/>
      </c>
      <c r="L151">
        <f>IF(K151="Wirksam",SUM(G151:H151)-I151,IF(K151="","","n.a."))</f>
        <v/>
      </c>
    </row>
    <row r="152">
      <c r="K152">
        <f>IF(COUNTA(C152:J152)=0,"",IF(OR(C152&lt;&gt;'[Steuerung.xlsx]Steuerung'!$F$6,D152&lt;1,D152&gt;12),"Periode prüfen",IF(D152&lt;='[Steuerung.xlsx]Steuerung'!$F$8,"IST gesperrt",IF(OR(E152="",F152="",COUNT(G152:I152)&lt;&gt;3),"Angaben fehlen","Wirksam"))))</f>
        <v/>
      </c>
      <c r="L152">
        <f>IF(K152="Wirksam",SUM(G152:H152)-I152,IF(K152="","","n.a."))</f>
        <v/>
      </c>
    </row>
    <row r="153">
      <c r="K153">
        <f>IF(COUNTA(C153:J153)=0,"",IF(OR(C153&lt;&gt;'[Steuerung.xlsx]Steuerung'!$F$6,D153&lt;1,D153&gt;12),"Periode prüfen",IF(D153&lt;='[Steuerung.xlsx]Steuerung'!$F$8,"IST gesperrt",IF(OR(E153="",F153="",COUNT(G153:I153)&lt;&gt;3),"Angaben fehlen","Wirksam"))))</f>
        <v/>
      </c>
      <c r="L153">
        <f>IF(K153="Wirksam",SUM(G153:H153)-I153,IF(K153="","","n.a."))</f>
        <v/>
      </c>
    </row>
    <row r="154">
      <c r="K154">
        <f>IF(COUNTA(C154:J154)=0,"",IF(OR(C154&lt;&gt;'[Steuerung.xlsx]Steuerung'!$F$6,D154&lt;1,D154&gt;12),"Periode prüfen",IF(D154&lt;='[Steuerung.xlsx]Steuerung'!$F$8,"IST gesperrt",IF(OR(E154="",F154="",COUNT(G154:I154)&lt;&gt;3),"Angaben fehlen","Wirksam"))))</f>
        <v/>
      </c>
      <c r="L154">
        <f>IF(K154="Wirksam",SUM(G154:H154)-I154,IF(K154="","","n.a."))</f>
        <v/>
      </c>
    </row>
    <row r="155">
      <c r="K155">
        <f>IF(COUNTA(C155:J155)=0,"",IF(OR(C155&lt;&gt;'[Steuerung.xlsx]Steuerung'!$F$6,D155&lt;1,D155&gt;12),"Periode prüfen",IF(D155&lt;='[Steuerung.xlsx]Steuerung'!$F$8,"IST gesperrt",IF(OR(E155="",F155="",COUNT(G155:I155)&lt;&gt;3),"Angaben fehlen","Wirksam"))))</f>
        <v/>
      </c>
      <c r="L155">
        <f>IF(K155="Wirksam",SUM(G155:H155)-I155,IF(K155="","","n.a."))</f>
        <v/>
      </c>
    </row>
    <row r="156">
      <c r="K156">
        <f>IF(COUNTA(C156:J156)=0,"",IF(OR(C156&lt;&gt;'[Steuerung.xlsx]Steuerung'!$F$6,D156&lt;1,D156&gt;12),"Periode prüfen",IF(D156&lt;='[Steuerung.xlsx]Steuerung'!$F$8,"IST gesperrt",IF(OR(E156="",F156="",COUNT(G156:I156)&lt;&gt;3),"Angaben fehlen","Wirksam"))))</f>
        <v/>
      </c>
      <c r="L156">
        <f>IF(K156="Wirksam",SUM(G156:H156)-I156,IF(K156="","","n.a."))</f>
        <v/>
      </c>
    </row>
    <row r="157">
      <c r="K157">
        <f>IF(COUNTA(C157:J157)=0,"",IF(OR(C157&lt;&gt;'[Steuerung.xlsx]Steuerung'!$F$6,D157&lt;1,D157&gt;12),"Periode prüfen",IF(D157&lt;='[Steuerung.xlsx]Steuerung'!$F$8,"IST gesperrt",IF(OR(E157="",F157="",COUNT(G157:I157)&lt;&gt;3),"Angaben fehlen","Wirksam"))))</f>
        <v/>
      </c>
      <c r="L157">
        <f>IF(K157="Wirksam",SUM(G157:H157)-I157,IF(K157="","","n.a."))</f>
        <v/>
      </c>
    </row>
    <row r="158">
      <c r="K158">
        <f>IF(COUNTA(C158:J158)=0,"",IF(OR(C158&lt;&gt;'[Steuerung.xlsx]Steuerung'!$F$6,D158&lt;1,D158&gt;12),"Periode prüfen",IF(D158&lt;='[Steuerung.xlsx]Steuerung'!$F$8,"IST gesperrt",IF(OR(E158="",F158="",COUNT(G158:I158)&lt;&gt;3),"Angaben fehlen","Wirksam"))))</f>
        <v/>
      </c>
      <c r="L158">
        <f>IF(K158="Wirksam",SUM(G158:H158)-I158,IF(K158="","","n.a."))</f>
        <v/>
      </c>
    </row>
    <row r="159">
      <c r="K159">
        <f>IF(COUNTA(C159:J159)=0,"",IF(OR(C159&lt;&gt;'[Steuerung.xlsx]Steuerung'!$F$6,D159&lt;1,D159&gt;12),"Periode prüfen",IF(D159&lt;='[Steuerung.xlsx]Steuerung'!$F$8,"IST gesperrt",IF(OR(E159="",F159="",COUNT(G159:I159)&lt;&gt;3),"Angaben fehlen","Wirksam"))))</f>
        <v/>
      </c>
      <c r="L159">
        <f>IF(K159="Wirksam",SUM(G159:H159)-I159,IF(K159="","","n.a."))</f>
        <v/>
      </c>
    </row>
    <row r="160">
      <c r="K160">
        <f>IF(COUNTA(C160:J160)=0,"",IF(OR(C160&lt;&gt;'[Steuerung.xlsx]Steuerung'!$F$6,D160&lt;1,D160&gt;12),"Periode prüfen",IF(D160&lt;='[Steuerung.xlsx]Steuerung'!$F$8,"IST gesperrt",IF(OR(E160="",F160="",COUNT(G160:I160)&lt;&gt;3),"Angaben fehlen","Wirksam"))))</f>
        <v/>
      </c>
      <c r="L160">
        <f>IF(K160="Wirksam",SUM(G160:H160)-I160,IF(K160="","","n.a."))</f>
        <v/>
      </c>
    </row>
    <row r="161">
      <c r="K161">
        <f>IF(COUNTA(C161:J161)=0,"",IF(OR(C161&lt;&gt;'[Steuerung.xlsx]Steuerung'!$F$6,D161&lt;1,D161&gt;12),"Periode prüfen",IF(D161&lt;='[Steuerung.xlsx]Steuerung'!$F$8,"IST gesperrt",IF(OR(E161="",F161="",COUNT(G161:I161)&lt;&gt;3),"Angaben fehlen","Wirksam"))))</f>
        <v/>
      </c>
      <c r="L161">
        <f>IF(K161="Wirksam",SUM(G161:H161)-I161,IF(K161="","","n.a."))</f>
        <v/>
      </c>
    </row>
    <row r="162">
      <c r="K162">
        <f>IF(COUNTA(C162:J162)=0,"",IF(OR(C162&lt;&gt;'[Steuerung.xlsx]Steuerung'!$F$6,D162&lt;1,D162&gt;12),"Periode prüfen",IF(D162&lt;='[Steuerung.xlsx]Steuerung'!$F$8,"IST gesperrt",IF(OR(E162="",F162="",COUNT(G162:I162)&lt;&gt;3),"Angaben fehlen","Wirksam"))))</f>
        <v/>
      </c>
      <c r="L162">
        <f>IF(K162="Wirksam",SUM(G162:H162)-I162,IF(K162="","","n.a."))</f>
        <v/>
      </c>
    </row>
    <row r="163">
      <c r="K163">
        <f>IF(COUNTA(C163:J163)=0,"",IF(OR(C163&lt;&gt;'[Steuerung.xlsx]Steuerung'!$F$6,D163&lt;1,D163&gt;12),"Periode prüfen",IF(D163&lt;='[Steuerung.xlsx]Steuerung'!$F$8,"IST gesperrt",IF(OR(E163="",F163="",COUNT(G163:I163)&lt;&gt;3),"Angaben fehlen","Wirksam"))))</f>
        <v/>
      </c>
      <c r="L163">
        <f>IF(K163="Wirksam",SUM(G163:H163)-I163,IF(K163="","","n.a."))</f>
        <v/>
      </c>
    </row>
    <row r="164">
      <c r="K164">
        <f>IF(COUNTA(C164:J164)=0,"",IF(OR(C164&lt;&gt;'[Steuerung.xlsx]Steuerung'!$F$6,D164&lt;1,D164&gt;12),"Periode prüfen",IF(D164&lt;='[Steuerung.xlsx]Steuerung'!$F$8,"IST gesperrt",IF(OR(E164="",F164="",COUNT(G164:I164)&lt;&gt;3),"Angaben fehlen","Wirksam"))))</f>
        <v/>
      </c>
      <c r="L164">
        <f>IF(K164="Wirksam",SUM(G164:H164)-I164,IF(K164="","","n.a."))</f>
        <v/>
      </c>
    </row>
    <row r="165">
      <c r="K165">
        <f>IF(COUNTA(C165:J165)=0,"",IF(OR(C165&lt;&gt;'[Steuerung.xlsx]Steuerung'!$F$6,D165&lt;1,D165&gt;12),"Periode prüfen",IF(D165&lt;='[Steuerung.xlsx]Steuerung'!$F$8,"IST gesperrt",IF(OR(E165="",F165="",COUNT(G165:I165)&lt;&gt;3),"Angaben fehlen","Wirksam"))))</f>
        <v/>
      </c>
      <c r="L165">
        <f>IF(K165="Wirksam",SUM(G165:H165)-I165,IF(K165="","","n.a."))</f>
        <v/>
      </c>
    </row>
    <row r="166">
      <c r="K166">
        <f>IF(COUNTA(C166:J166)=0,"",IF(OR(C166&lt;&gt;'[Steuerung.xlsx]Steuerung'!$F$6,D166&lt;1,D166&gt;12),"Periode prüfen",IF(D166&lt;='[Steuerung.xlsx]Steuerung'!$F$8,"IST gesperrt",IF(OR(E166="",F166="",COUNT(G166:I166)&lt;&gt;3),"Angaben fehlen","Wirksam"))))</f>
        <v/>
      </c>
      <c r="L166">
        <f>IF(K166="Wirksam",SUM(G166:H166)-I166,IF(K166="","","n.a."))</f>
        <v/>
      </c>
    </row>
    <row r="167">
      <c r="K167">
        <f>IF(COUNTA(C167:J167)=0,"",IF(OR(C167&lt;&gt;'[Steuerung.xlsx]Steuerung'!$F$6,D167&lt;1,D167&gt;12),"Periode prüfen",IF(D167&lt;='[Steuerung.xlsx]Steuerung'!$F$8,"IST gesperrt",IF(OR(E167="",F167="",COUNT(G167:I167)&lt;&gt;3),"Angaben fehlen","Wirksam"))))</f>
        <v/>
      </c>
      <c r="L167">
        <f>IF(K167="Wirksam",SUM(G167:H167)-I167,IF(K167="","","n.a."))</f>
        <v/>
      </c>
    </row>
    <row r="168">
      <c r="K168">
        <f>IF(COUNTA(C168:J168)=0,"",IF(OR(C168&lt;&gt;'[Steuerung.xlsx]Steuerung'!$F$6,D168&lt;1,D168&gt;12),"Periode prüfen",IF(D168&lt;='[Steuerung.xlsx]Steuerung'!$F$8,"IST gesperrt",IF(OR(E168="",F168="",COUNT(G168:I168)&lt;&gt;3),"Angaben fehlen","Wirksam"))))</f>
        <v/>
      </c>
      <c r="L168">
        <f>IF(K168="Wirksam",SUM(G168:H168)-I168,IF(K168="","","n.a."))</f>
        <v/>
      </c>
    </row>
    <row r="169">
      <c r="K169">
        <f>IF(COUNTA(C169:J169)=0,"",IF(OR(C169&lt;&gt;'[Steuerung.xlsx]Steuerung'!$F$6,D169&lt;1,D169&gt;12),"Periode prüfen",IF(D169&lt;='[Steuerung.xlsx]Steuerung'!$F$8,"IST gesperrt",IF(OR(E169="",F169="",COUNT(G169:I169)&lt;&gt;3),"Angaben fehlen","Wirksam"))))</f>
        <v/>
      </c>
      <c r="L169">
        <f>IF(K169="Wirksam",SUM(G169:H169)-I169,IF(K169="","","n.a."))</f>
        <v/>
      </c>
    </row>
    <row r="170">
      <c r="K170">
        <f>IF(COUNTA(C170:J170)=0,"",IF(OR(C170&lt;&gt;'[Steuerung.xlsx]Steuerung'!$F$6,D170&lt;1,D170&gt;12),"Periode prüfen",IF(D170&lt;='[Steuerung.xlsx]Steuerung'!$F$8,"IST gesperrt",IF(OR(E170="",F170="",COUNT(G170:I170)&lt;&gt;3),"Angaben fehlen","Wirksam"))))</f>
        <v/>
      </c>
      <c r="L170">
        <f>IF(K170="Wirksam",SUM(G170:H170)-I170,IF(K170="","","n.a."))</f>
        <v/>
      </c>
    </row>
    <row r="171">
      <c r="K171">
        <f>IF(COUNTA(C171:J171)=0,"",IF(OR(C171&lt;&gt;'[Steuerung.xlsx]Steuerung'!$F$6,D171&lt;1,D171&gt;12),"Periode prüfen",IF(D171&lt;='[Steuerung.xlsx]Steuerung'!$F$8,"IST gesperrt",IF(OR(E171="",F171="",COUNT(G171:I171)&lt;&gt;3),"Angaben fehlen","Wirksam"))))</f>
        <v/>
      </c>
      <c r="L171">
        <f>IF(K171="Wirksam",SUM(G171:H171)-I171,IF(K171="","","n.a."))</f>
        <v/>
      </c>
    </row>
    <row r="172">
      <c r="K172">
        <f>IF(COUNTA(C172:J172)=0,"",IF(OR(C172&lt;&gt;'[Steuerung.xlsx]Steuerung'!$F$6,D172&lt;1,D172&gt;12),"Periode prüfen",IF(D172&lt;='[Steuerung.xlsx]Steuerung'!$F$8,"IST gesperrt",IF(OR(E172="",F172="",COUNT(G172:I172)&lt;&gt;3),"Angaben fehlen","Wirksam"))))</f>
        <v/>
      </c>
      <c r="L172">
        <f>IF(K172="Wirksam",SUM(G172:H172)-I172,IF(K172="","","n.a."))</f>
        <v/>
      </c>
    </row>
    <row r="173">
      <c r="K173">
        <f>IF(COUNTA(C173:J173)=0,"",IF(OR(C173&lt;&gt;'[Steuerung.xlsx]Steuerung'!$F$6,D173&lt;1,D173&gt;12),"Periode prüfen",IF(D173&lt;='[Steuerung.xlsx]Steuerung'!$F$8,"IST gesperrt",IF(OR(E173="",F173="",COUNT(G173:I173)&lt;&gt;3),"Angaben fehlen","Wirksam"))))</f>
        <v/>
      </c>
      <c r="L173">
        <f>IF(K173="Wirksam",SUM(G173:H173)-I173,IF(K173="","","n.a."))</f>
        <v/>
      </c>
    </row>
    <row r="174">
      <c r="K174">
        <f>IF(COUNTA(C174:J174)=0,"",IF(OR(C174&lt;&gt;'[Steuerung.xlsx]Steuerung'!$F$6,D174&lt;1,D174&gt;12),"Periode prüfen",IF(D174&lt;='[Steuerung.xlsx]Steuerung'!$F$8,"IST gesperrt",IF(OR(E174="",F174="",COUNT(G174:I174)&lt;&gt;3),"Angaben fehlen","Wirksam"))))</f>
        <v/>
      </c>
      <c r="L174">
        <f>IF(K174="Wirksam",SUM(G174:H174)-I174,IF(K174="","","n.a."))</f>
        <v/>
      </c>
    </row>
    <row r="175">
      <c r="K175">
        <f>IF(COUNTA(C175:J175)=0,"",IF(OR(C175&lt;&gt;'[Steuerung.xlsx]Steuerung'!$F$6,D175&lt;1,D175&gt;12),"Periode prüfen",IF(D175&lt;='[Steuerung.xlsx]Steuerung'!$F$8,"IST gesperrt",IF(OR(E175="",F175="",COUNT(G175:I175)&lt;&gt;3),"Angaben fehlen","Wirksam"))))</f>
        <v/>
      </c>
      <c r="L175">
        <f>IF(K175="Wirksam",SUM(G175:H175)-I175,IF(K175="","","n.a."))</f>
        <v/>
      </c>
    </row>
    <row r="176">
      <c r="K176">
        <f>IF(COUNTA(C176:J176)=0,"",IF(OR(C176&lt;&gt;'[Steuerung.xlsx]Steuerung'!$F$6,D176&lt;1,D176&gt;12),"Periode prüfen",IF(D176&lt;='[Steuerung.xlsx]Steuerung'!$F$8,"IST gesperrt",IF(OR(E176="",F176="",COUNT(G176:I176)&lt;&gt;3),"Angaben fehlen","Wirksam"))))</f>
        <v/>
      </c>
      <c r="L176">
        <f>IF(K176="Wirksam",SUM(G176:H176)-I176,IF(K176="","","n.a."))</f>
        <v/>
      </c>
    </row>
    <row r="177">
      <c r="K177">
        <f>IF(COUNTA(C177:J177)=0,"",IF(OR(C177&lt;&gt;'[Steuerung.xlsx]Steuerung'!$F$6,D177&lt;1,D177&gt;12),"Periode prüfen",IF(D177&lt;='[Steuerung.xlsx]Steuerung'!$F$8,"IST gesperrt",IF(OR(E177="",F177="",COUNT(G177:I177)&lt;&gt;3),"Angaben fehlen","Wirksam"))))</f>
        <v/>
      </c>
      <c r="L177">
        <f>IF(K177="Wirksam",SUM(G177:H177)-I177,IF(K177="","","n.a."))</f>
        <v/>
      </c>
    </row>
    <row r="178">
      <c r="K178">
        <f>IF(COUNTA(C178:J178)=0,"",IF(OR(C178&lt;&gt;'[Steuerung.xlsx]Steuerung'!$F$6,D178&lt;1,D178&gt;12),"Periode prüfen",IF(D178&lt;='[Steuerung.xlsx]Steuerung'!$F$8,"IST gesperrt",IF(OR(E178="",F178="",COUNT(G178:I178)&lt;&gt;3),"Angaben fehlen","Wirksam"))))</f>
        <v/>
      </c>
      <c r="L178">
        <f>IF(K178="Wirksam",SUM(G178:H178)-I178,IF(K178="","","n.a."))</f>
        <v/>
      </c>
    </row>
    <row r="179">
      <c r="K179">
        <f>IF(COUNTA(C179:J179)=0,"",IF(OR(C179&lt;&gt;'[Steuerung.xlsx]Steuerung'!$F$6,D179&lt;1,D179&gt;12),"Periode prüfen",IF(D179&lt;='[Steuerung.xlsx]Steuerung'!$F$8,"IST gesperrt",IF(OR(E179="",F179="",COUNT(G179:I179)&lt;&gt;3),"Angaben fehlen","Wirksam"))))</f>
        <v/>
      </c>
      <c r="L179">
        <f>IF(K179="Wirksam",SUM(G179:H179)-I179,IF(K179="","","n.a."))</f>
        <v/>
      </c>
    </row>
    <row r="180">
      <c r="K180">
        <f>IF(COUNTA(C180:J180)=0,"",IF(OR(C180&lt;&gt;'[Steuerung.xlsx]Steuerung'!$F$6,D180&lt;1,D180&gt;12),"Periode prüfen",IF(D180&lt;='[Steuerung.xlsx]Steuerung'!$F$8,"IST gesperrt",IF(OR(E180="",F180="",COUNT(G180:I180)&lt;&gt;3),"Angaben fehlen","Wirksam"))))</f>
        <v/>
      </c>
      <c r="L180">
        <f>IF(K180="Wirksam",SUM(G180:H180)-I180,IF(K180="","","n.a."))</f>
        <v/>
      </c>
    </row>
    <row r="181">
      <c r="K181">
        <f>IF(COUNTA(C181:J181)=0,"",IF(OR(C181&lt;&gt;'[Steuerung.xlsx]Steuerung'!$F$6,D181&lt;1,D181&gt;12),"Periode prüfen",IF(D181&lt;='[Steuerung.xlsx]Steuerung'!$F$8,"IST gesperrt",IF(OR(E181="",F181="",COUNT(G181:I181)&lt;&gt;3),"Angaben fehlen","Wirksam"))))</f>
        <v/>
      </c>
      <c r="L181">
        <f>IF(K181="Wirksam",SUM(G181:H181)-I181,IF(K181="","","n.a."))</f>
        <v/>
      </c>
    </row>
    <row r="182">
      <c r="K182">
        <f>IF(COUNTA(C182:J182)=0,"",IF(OR(C182&lt;&gt;'[Steuerung.xlsx]Steuerung'!$F$6,D182&lt;1,D182&gt;12),"Periode prüfen",IF(D182&lt;='[Steuerung.xlsx]Steuerung'!$F$8,"IST gesperrt",IF(OR(E182="",F182="",COUNT(G182:I182)&lt;&gt;3),"Angaben fehlen","Wirksam"))))</f>
        <v/>
      </c>
      <c r="L182">
        <f>IF(K182="Wirksam",SUM(G182:H182)-I182,IF(K182="","","n.a."))</f>
        <v/>
      </c>
    </row>
    <row r="183">
      <c r="K183">
        <f>IF(COUNTA(C183:J183)=0,"",IF(OR(C183&lt;&gt;'[Steuerung.xlsx]Steuerung'!$F$6,D183&lt;1,D183&gt;12),"Periode prüfen",IF(D183&lt;='[Steuerung.xlsx]Steuerung'!$F$8,"IST gesperrt",IF(OR(E183="",F183="",COUNT(G183:I183)&lt;&gt;3),"Angaben fehlen","Wirksam"))))</f>
        <v/>
      </c>
      <c r="L183">
        <f>IF(K183="Wirksam",SUM(G183:H183)-I183,IF(K183="","","n.a."))</f>
        <v/>
      </c>
    </row>
    <row r="184">
      <c r="K184">
        <f>IF(COUNTA(C184:J184)=0,"",IF(OR(C184&lt;&gt;'[Steuerung.xlsx]Steuerung'!$F$6,D184&lt;1,D184&gt;12),"Periode prüfen",IF(D184&lt;='[Steuerung.xlsx]Steuerung'!$F$8,"IST gesperrt",IF(OR(E184="",F184="",COUNT(G184:I184)&lt;&gt;3),"Angaben fehlen","Wirksam"))))</f>
        <v/>
      </c>
      <c r="L184">
        <f>IF(K184="Wirksam",SUM(G184:H184)-I184,IF(K184="","","n.a."))</f>
        <v/>
      </c>
    </row>
    <row r="185">
      <c r="K185">
        <f>IF(COUNTA(C185:J185)=0,"",IF(OR(C185&lt;&gt;'[Steuerung.xlsx]Steuerung'!$F$6,D185&lt;1,D185&gt;12),"Periode prüfen",IF(D185&lt;='[Steuerung.xlsx]Steuerung'!$F$8,"IST gesperrt",IF(OR(E185="",F185="",COUNT(G185:I185)&lt;&gt;3),"Angaben fehlen","Wirksam"))))</f>
        <v/>
      </c>
      <c r="L185">
        <f>IF(K185="Wirksam",SUM(G185:H185)-I185,IF(K185="","","n.a."))</f>
        <v/>
      </c>
    </row>
    <row r="186">
      <c r="K186">
        <f>IF(COUNTA(C186:J186)=0,"",IF(OR(C186&lt;&gt;'[Steuerung.xlsx]Steuerung'!$F$6,D186&lt;1,D186&gt;12),"Periode prüfen",IF(D186&lt;='[Steuerung.xlsx]Steuerung'!$F$8,"IST gesperrt",IF(OR(E186="",F186="",COUNT(G186:I186)&lt;&gt;3),"Angaben fehlen","Wirksam"))))</f>
        <v/>
      </c>
      <c r="L186">
        <f>IF(K186="Wirksam",SUM(G186:H186)-I186,IF(K186="","","n.a."))</f>
        <v/>
      </c>
    </row>
    <row r="187">
      <c r="K187">
        <f>IF(COUNTA(C187:J187)=0,"",IF(OR(C187&lt;&gt;'[Steuerung.xlsx]Steuerung'!$F$6,D187&lt;1,D187&gt;12),"Periode prüfen",IF(D187&lt;='[Steuerung.xlsx]Steuerung'!$F$8,"IST gesperrt",IF(OR(E187="",F187="",COUNT(G187:I187)&lt;&gt;3),"Angaben fehlen","Wirksam"))))</f>
        <v/>
      </c>
      <c r="L187">
        <f>IF(K187="Wirksam",SUM(G187:H187)-I187,IF(K187="","","n.a."))</f>
        <v/>
      </c>
    </row>
    <row r="188">
      <c r="K188">
        <f>IF(COUNTA(C188:J188)=0,"",IF(OR(C188&lt;&gt;'[Steuerung.xlsx]Steuerung'!$F$6,D188&lt;1,D188&gt;12),"Periode prüfen",IF(D188&lt;='[Steuerung.xlsx]Steuerung'!$F$8,"IST gesperrt",IF(OR(E188="",F188="",COUNT(G188:I188)&lt;&gt;3),"Angaben fehlen","Wirksam"))))</f>
        <v/>
      </c>
      <c r="L188">
        <f>IF(K188="Wirksam",SUM(G188:H188)-I188,IF(K188="","","n.a."))</f>
        <v/>
      </c>
    </row>
    <row r="189">
      <c r="K189">
        <f>IF(COUNTA(C189:J189)=0,"",IF(OR(C189&lt;&gt;'[Steuerung.xlsx]Steuerung'!$F$6,D189&lt;1,D189&gt;12),"Periode prüfen",IF(D189&lt;='[Steuerung.xlsx]Steuerung'!$F$8,"IST gesperrt",IF(OR(E189="",F189="",COUNT(G189:I189)&lt;&gt;3),"Angaben fehlen","Wirksam"))))</f>
        <v/>
      </c>
      <c r="L189">
        <f>IF(K189="Wirksam",SUM(G189:H189)-I189,IF(K189="","","n.a."))</f>
        <v/>
      </c>
    </row>
    <row r="190">
      <c r="K190">
        <f>IF(COUNTA(C190:J190)=0,"",IF(OR(C190&lt;&gt;'[Steuerung.xlsx]Steuerung'!$F$6,D190&lt;1,D190&gt;12),"Periode prüfen",IF(D190&lt;='[Steuerung.xlsx]Steuerung'!$F$8,"IST gesperrt",IF(OR(E190="",F190="",COUNT(G190:I190)&lt;&gt;3),"Angaben fehlen","Wirksam"))))</f>
        <v/>
      </c>
      <c r="L190">
        <f>IF(K190="Wirksam",SUM(G190:H190)-I190,IF(K190="","","n.a."))</f>
        <v/>
      </c>
    </row>
    <row r="191">
      <c r="K191">
        <f>IF(COUNTA(C191:J191)=0,"",IF(OR(C191&lt;&gt;'[Steuerung.xlsx]Steuerung'!$F$6,D191&lt;1,D191&gt;12),"Periode prüfen",IF(D191&lt;='[Steuerung.xlsx]Steuerung'!$F$8,"IST gesperrt",IF(OR(E191="",F191="",COUNT(G191:I191)&lt;&gt;3),"Angaben fehlen","Wirksam"))))</f>
        <v/>
      </c>
      <c r="L191">
        <f>IF(K191="Wirksam",SUM(G191:H191)-I191,IF(K191="","","n.a."))</f>
        <v/>
      </c>
    </row>
    <row r="192">
      <c r="K192">
        <f>IF(COUNTA(C192:J192)=0,"",IF(OR(C192&lt;&gt;'[Steuerung.xlsx]Steuerung'!$F$6,D192&lt;1,D192&gt;12),"Periode prüfen",IF(D192&lt;='[Steuerung.xlsx]Steuerung'!$F$8,"IST gesperrt",IF(OR(E192="",F192="",COUNT(G192:I192)&lt;&gt;3),"Angaben fehlen","Wirksam"))))</f>
        <v/>
      </c>
      <c r="L192">
        <f>IF(K192="Wirksam",SUM(G192:H192)-I192,IF(K192="","","n.a."))</f>
        <v/>
      </c>
    </row>
    <row r="193">
      <c r="K193">
        <f>IF(COUNTA(C193:J193)=0,"",IF(OR(C193&lt;&gt;'[Steuerung.xlsx]Steuerung'!$F$6,D193&lt;1,D193&gt;12),"Periode prüfen",IF(D193&lt;='[Steuerung.xlsx]Steuerung'!$F$8,"IST gesperrt",IF(OR(E193="",F193="",COUNT(G193:I193)&lt;&gt;3),"Angaben fehlen","Wirksam"))))</f>
        <v/>
      </c>
      <c r="L193">
        <f>IF(K193="Wirksam",SUM(G193:H193)-I193,IF(K193="","","n.a."))</f>
        <v/>
      </c>
    </row>
    <row r="194">
      <c r="K194">
        <f>IF(COUNTA(C194:J194)=0,"",IF(OR(C194&lt;&gt;'[Steuerung.xlsx]Steuerung'!$F$6,D194&lt;1,D194&gt;12),"Periode prüfen",IF(D194&lt;='[Steuerung.xlsx]Steuerung'!$F$8,"IST gesperrt",IF(OR(E194="",F194="",COUNT(G194:I194)&lt;&gt;3),"Angaben fehlen","Wirksam"))))</f>
        <v/>
      </c>
      <c r="L194">
        <f>IF(K194="Wirksam",SUM(G194:H194)-I194,IF(K194="","","n.a."))</f>
        <v/>
      </c>
    </row>
    <row r="195">
      <c r="K195">
        <f>IF(COUNTA(C195:J195)=0,"",IF(OR(C195&lt;&gt;'[Steuerung.xlsx]Steuerung'!$F$6,D195&lt;1,D195&gt;12),"Periode prüfen",IF(D195&lt;='[Steuerung.xlsx]Steuerung'!$F$8,"IST gesperrt",IF(OR(E195="",F195="",COUNT(G195:I195)&lt;&gt;3),"Angaben fehlen","Wirksam"))))</f>
        <v/>
      </c>
      <c r="L195">
        <f>IF(K195="Wirksam",SUM(G195:H195)-I195,IF(K195="","","n.a."))</f>
        <v/>
      </c>
    </row>
    <row r="196">
      <c r="K196">
        <f>IF(COUNTA(C196:J196)=0,"",IF(OR(C196&lt;&gt;'[Steuerung.xlsx]Steuerung'!$F$6,D196&lt;1,D196&gt;12),"Periode prüfen",IF(D196&lt;='[Steuerung.xlsx]Steuerung'!$F$8,"IST gesperrt",IF(OR(E196="",F196="",COUNT(G196:I196)&lt;&gt;3),"Angaben fehlen","Wirksam"))))</f>
        <v/>
      </c>
      <c r="L196">
        <f>IF(K196="Wirksam",SUM(G196:H196)-I196,IF(K196="","","n.a."))</f>
        <v/>
      </c>
    </row>
    <row r="197">
      <c r="K197">
        <f>IF(COUNTA(C197:J197)=0,"",IF(OR(C197&lt;&gt;'[Steuerung.xlsx]Steuerung'!$F$6,D197&lt;1,D197&gt;12),"Periode prüfen",IF(D197&lt;='[Steuerung.xlsx]Steuerung'!$F$8,"IST gesperrt",IF(OR(E197="",F197="",COUNT(G197:I197)&lt;&gt;3),"Angaben fehlen","Wirksam"))))</f>
        <v/>
      </c>
      <c r="L197">
        <f>IF(K197="Wirksam",SUM(G197:H197)-I197,IF(K197="","","n.a."))</f>
        <v/>
      </c>
    </row>
    <row r="198">
      <c r="K198">
        <f>IF(COUNTA(C198:J198)=0,"",IF(OR(C198&lt;&gt;'[Steuerung.xlsx]Steuerung'!$F$6,D198&lt;1,D198&gt;12),"Periode prüfen",IF(D198&lt;='[Steuerung.xlsx]Steuerung'!$F$8,"IST gesperrt",IF(OR(E198="",F198="",COUNT(G198:I198)&lt;&gt;3),"Angaben fehlen","Wirksam"))))</f>
        <v/>
      </c>
      <c r="L198">
        <f>IF(K198="Wirksam",SUM(G198:H198)-I198,IF(K198="","","n.a."))</f>
        <v/>
      </c>
    </row>
    <row r="199">
      <c r="K199">
        <f>IF(COUNTA(C199:J199)=0,"",IF(OR(C199&lt;&gt;'[Steuerung.xlsx]Steuerung'!$F$6,D199&lt;1,D199&gt;12),"Periode prüfen",IF(D199&lt;='[Steuerung.xlsx]Steuerung'!$F$8,"IST gesperrt",IF(OR(E199="",F199="",COUNT(G199:I199)&lt;&gt;3),"Angaben fehlen","Wirksam"))))</f>
        <v/>
      </c>
      <c r="L199">
        <f>IF(K199="Wirksam",SUM(G199:H199)-I199,IF(K199="","","n.a."))</f>
        <v/>
      </c>
    </row>
    <row r="200">
      <c r="K200">
        <f>IF(COUNTA(C200:J200)=0,"",IF(OR(C200&lt;&gt;'[Steuerung.xlsx]Steuerung'!$F$6,D200&lt;1,D200&gt;12),"Periode prüfen",IF(D200&lt;='[Steuerung.xlsx]Steuerung'!$F$8,"IST gesperrt",IF(OR(E200="",F200="",COUNT(G200:I200)&lt;&gt;3),"Angaben fehlen","Wirksam"))))</f>
        <v/>
      </c>
      <c r="L200">
        <f>IF(K200="Wirksam",SUM(G200:H200)-I200,IF(K200="","","n.a."))</f>
        <v/>
      </c>
    </row>
    <row r="201">
      <c r="K201">
        <f>IF(COUNTA(C201:J201)=0,"",IF(OR(C201&lt;&gt;'[Steuerung.xlsx]Steuerung'!$F$6,D201&lt;1,D201&gt;12),"Periode prüfen",IF(D201&lt;='[Steuerung.xlsx]Steuerung'!$F$8,"IST gesperrt",IF(OR(E201="",F201="",COUNT(G201:I201)&lt;&gt;3),"Angaben fehlen","Wirksam"))))</f>
        <v/>
      </c>
      <c r="L201">
        <f>IF(K201="Wirksam",SUM(G201:H201)-I201,IF(K201="","","n.a."))</f>
        <v/>
      </c>
    </row>
    <row r="202">
      <c r="K202">
        <f>IF(COUNTA(C202:J202)=0,"",IF(OR(C202&lt;&gt;'[Steuerung.xlsx]Steuerung'!$F$6,D202&lt;1,D202&gt;12),"Periode prüfen",IF(D202&lt;='[Steuerung.xlsx]Steuerung'!$F$8,"IST gesperrt",IF(OR(E202="",F202="",COUNT(G202:I202)&lt;&gt;3),"Angaben fehlen","Wirksam"))))</f>
        <v/>
      </c>
      <c r="L202">
        <f>IF(K202="Wirksam",SUM(G202:H202)-I202,IF(K202="","","n.a."))</f>
        <v/>
      </c>
    </row>
    <row r="203">
      <c r="K203">
        <f>IF(COUNTA(C203:J203)=0,"",IF(OR(C203&lt;&gt;'[Steuerung.xlsx]Steuerung'!$F$6,D203&lt;1,D203&gt;12),"Periode prüfen",IF(D203&lt;='[Steuerung.xlsx]Steuerung'!$F$8,"IST gesperrt",IF(OR(E203="",F203="",COUNT(G203:I203)&lt;&gt;3),"Angaben fehlen","Wirksam"))))</f>
        <v/>
      </c>
      <c r="L203">
        <f>IF(K203="Wirksam",SUM(G203:H203)-I203,IF(K203="","","n.a."))</f>
        <v/>
      </c>
    </row>
    <row r="204">
      <c r="K204">
        <f>IF(COUNTA(C204:J204)=0,"",IF(OR(C204&lt;&gt;'[Steuerung.xlsx]Steuerung'!$F$6,D204&lt;1,D204&gt;12),"Periode prüfen",IF(D204&lt;='[Steuerung.xlsx]Steuerung'!$F$8,"IST gesperrt",IF(OR(E204="",F204="",COUNT(G204:I204)&lt;&gt;3),"Angaben fehlen","Wirksam"))))</f>
        <v/>
      </c>
      <c r="L204">
        <f>IF(K204="Wirksam",SUM(G204:H204)-I204,IF(K204="","","n.a."))</f>
        <v/>
      </c>
    </row>
    <row r="205">
      <c r="K205">
        <f>IF(COUNTA(C205:J205)=0,"",IF(OR(C205&lt;&gt;'[Steuerung.xlsx]Steuerung'!$F$6,D205&lt;1,D205&gt;12),"Periode prüfen",IF(D205&lt;='[Steuerung.xlsx]Steuerung'!$F$8,"IST gesperrt",IF(OR(E205="",F205="",COUNT(G205:I205)&lt;&gt;3),"Angaben fehlen","Wirksam"))))</f>
        <v/>
      </c>
      <c r="L205">
        <f>IF(K205="Wirksam",SUM(G205:H205)-I205,IF(K205="","","n.a."))</f>
        <v/>
      </c>
    </row>
    <row r="206">
      <c r="K206">
        <f>IF(COUNTA(C206:J206)=0,"",IF(OR(C206&lt;&gt;'[Steuerung.xlsx]Steuerung'!$F$6,D206&lt;1,D206&gt;12),"Periode prüfen",IF(D206&lt;='[Steuerung.xlsx]Steuerung'!$F$8,"IST gesperrt",IF(OR(E206="",F206="",COUNT(G206:I206)&lt;&gt;3),"Angaben fehlen","Wirksam"))))</f>
        <v/>
      </c>
      <c r="L206">
        <f>IF(K206="Wirksam",SUM(G206:H206)-I206,IF(K206="","","n.a."))</f>
        <v/>
      </c>
    </row>
    <row r="207">
      <c r="K207">
        <f>IF(COUNTA(C207:J207)=0,"",IF(OR(C207&lt;&gt;'[Steuerung.xlsx]Steuerung'!$F$6,D207&lt;1,D207&gt;12),"Periode prüfen",IF(D207&lt;='[Steuerung.xlsx]Steuerung'!$F$8,"IST gesperrt",IF(OR(E207="",F207="",COUNT(G207:I207)&lt;&gt;3),"Angaben fehlen","Wirksam"))))</f>
        <v/>
      </c>
      <c r="L207">
        <f>IF(K207="Wirksam",SUM(G207:H207)-I207,IF(K207="","","n.a."))</f>
        <v/>
      </c>
    </row>
    <row r="208">
      <c r="K208">
        <f>IF(COUNTA(C208:J208)=0,"",IF(OR(C208&lt;&gt;'[Steuerung.xlsx]Steuerung'!$F$6,D208&lt;1,D208&gt;12),"Periode prüfen",IF(D208&lt;='[Steuerung.xlsx]Steuerung'!$F$8,"IST gesperrt",IF(OR(E208="",F208="",COUNT(G208:I208)&lt;&gt;3),"Angaben fehlen","Wirksam"))))</f>
        <v/>
      </c>
      <c r="L208">
        <f>IF(K208="Wirksam",SUM(G208:H208)-I208,IF(K208="","","n.a."))</f>
        <v/>
      </c>
    </row>
    <row r="209">
      <c r="K209">
        <f>IF(COUNTA(C209:J209)=0,"",IF(OR(C209&lt;&gt;'[Steuerung.xlsx]Steuerung'!$F$6,D209&lt;1,D209&gt;12),"Periode prüfen",IF(D209&lt;='[Steuerung.xlsx]Steuerung'!$F$8,"IST gesperrt",IF(OR(E209="",F209="",COUNT(G209:I209)&lt;&gt;3),"Angaben fehlen","Wirksam"))))</f>
        <v/>
      </c>
      <c r="L209">
        <f>IF(K209="Wirksam",SUM(G209:H209)-I209,IF(K209="","","n.a."))</f>
        <v/>
      </c>
    </row>
    <row r="210">
      <c r="K210">
        <f>IF(COUNTA(C210:J210)=0,"",IF(OR(C210&lt;&gt;'[Steuerung.xlsx]Steuerung'!$F$6,D210&lt;1,D210&gt;12),"Periode prüfen",IF(D210&lt;='[Steuerung.xlsx]Steuerung'!$F$8,"IST gesperrt",IF(OR(E210="",F210="",COUNT(G210:I210)&lt;&gt;3),"Angaben fehlen","Wirksam"))))</f>
        <v/>
      </c>
      <c r="L210">
        <f>IF(K210="Wirksam",SUM(G210:H210)-I210,IF(K210="","","n.a."))</f>
        <v/>
      </c>
    </row>
    <row r="211">
      <c r="K211">
        <f>IF(COUNTA(C211:J211)=0,"",IF(OR(C211&lt;&gt;'[Steuerung.xlsx]Steuerung'!$F$6,D211&lt;1,D211&gt;12),"Periode prüfen",IF(D211&lt;='[Steuerung.xlsx]Steuerung'!$F$8,"IST gesperrt",IF(OR(E211="",F211="",COUNT(G211:I211)&lt;&gt;3),"Angaben fehlen","Wirksam"))))</f>
        <v/>
      </c>
      <c r="L211">
        <f>IF(K211="Wirksam",SUM(G211:H211)-I211,IF(K211="","","n.a."))</f>
        <v/>
      </c>
    </row>
    <row r="212">
      <c r="K212">
        <f>IF(COUNTA(C212:J212)=0,"",IF(OR(C212&lt;&gt;'[Steuerung.xlsx]Steuerung'!$F$6,D212&lt;1,D212&gt;12),"Periode prüfen",IF(D212&lt;='[Steuerung.xlsx]Steuerung'!$F$8,"IST gesperrt",IF(OR(E212="",F212="",COUNT(G212:I212)&lt;&gt;3),"Angaben fehlen","Wirksam"))))</f>
        <v/>
      </c>
      <c r="L212">
        <f>IF(K212="Wirksam",SUM(G212:H212)-I212,IF(K212="","","n.a."))</f>
        <v/>
      </c>
    </row>
    <row r="213">
      <c r="K213">
        <f>IF(COUNTA(C213:J213)=0,"",IF(OR(C213&lt;&gt;'[Steuerung.xlsx]Steuerung'!$F$6,D213&lt;1,D213&gt;12),"Periode prüfen",IF(D213&lt;='[Steuerung.xlsx]Steuerung'!$F$8,"IST gesperrt",IF(OR(E213="",F213="",COUNT(G213:I213)&lt;&gt;3),"Angaben fehlen","Wirksam"))))</f>
        <v/>
      </c>
      <c r="L213">
        <f>IF(K213="Wirksam",SUM(G213:H213)-I213,IF(K213="","","n.a."))</f>
        <v/>
      </c>
    </row>
    <row r="214">
      <c r="K214">
        <f>IF(COUNTA(C214:J214)=0,"",IF(OR(C214&lt;&gt;'[Steuerung.xlsx]Steuerung'!$F$6,D214&lt;1,D214&gt;12),"Periode prüfen",IF(D214&lt;='[Steuerung.xlsx]Steuerung'!$F$8,"IST gesperrt",IF(OR(E214="",F214="",COUNT(G214:I214)&lt;&gt;3),"Angaben fehlen","Wirksam"))))</f>
        <v/>
      </c>
      <c r="L214">
        <f>IF(K214="Wirksam",SUM(G214:H214)-I214,IF(K214="","","n.a."))</f>
        <v/>
      </c>
    </row>
    <row r="215">
      <c r="K215">
        <f>IF(COUNTA(C215:J215)=0,"",IF(OR(C215&lt;&gt;'[Steuerung.xlsx]Steuerung'!$F$6,D215&lt;1,D215&gt;12),"Periode prüfen",IF(D215&lt;='[Steuerung.xlsx]Steuerung'!$F$8,"IST gesperrt",IF(OR(E215="",F215="",COUNT(G215:I215)&lt;&gt;3),"Angaben fehlen","Wirksam"))))</f>
        <v/>
      </c>
      <c r="L215">
        <f>IF(K215="Wirksam",SUM(G215:H215)-I215,IF(K215="","","n.a."))</f>
        <v/>
      </c>
    </row>
    <row r="216">
      <c r="K216">
        <f>IF(COUNTA(C216:J216)=0,"",IF(OR(C216&lt;&gt;'[Steuerung.xlsx]Steuerung'!$F$6,D216&lt;1,D216&gt;12),"Periode prüfen",IF(D216&lt;='[Steuerung.xlsx]Steuerung'!$F$8,"IST gesperrt",IF(OR(E216="",F216="",COUNT(G216:I216)&lt;&gt;3),"Angaben fehlen","Wirksam"))))</f>
        <v/>
      </c>
      <c r="L216">
        <f>IF(K216="Wirksam",SUM(G216:H216)-I216,IF(K216="","","n.a."))</f>
        <v/>
      </c>
    </row>
    <row r="217">
      <c r="K217">
        <f>IF(COUNTA(C217:J217)=0,"",IF(OR(C217&lt;&gt;'[Steuerung.xlsx]Steuerung'!$F$6,D217&lt;1,D217&gt;12),"Periode prüfen",IF(D217&lt;='[Steuerung.xlsx]Steuerung'!$F$8,"IST gesperrt",IF(OR(E217="",F217="",COUNT(G217:I217)&lt;&gt;3),"Angaben fehlen","Wirksam"))))</f>
        <v/>
      </c>
      <c r="L217">
        <f>IF(K217="Wirksam",SUM(G217:H217)-I217,IF(K217="","","n.a."))</f>
        <v/>
      </c>
    </row>
    <row r="218">
      <c r="K218">
        <f>IF(COUNTA(C218:J218)=0,"",IF(OR(C218&lt;&gt;'[Steuerung.xlsx]Steuerung'!$F$6,D218&lt;1,D218&gt;12),"Periode prüfen",IF(D218&lt;='[Steuerung.xlsx]Steuerung'!$F$8,"IST gesperrt",IF(OR(E218="",F218="",COUNT(G218:I218)&lt;&gt;3),"Angaben fehlen","Wirksam"))))</f>
        <v/>
      </c>
      <c r="L218">
        <f>IF(K218="Wirksam",SUM(G218:H218)-I218,IF(K218="","","n.a."))</f>
        <v/>
      </c>
    </row>
    <row r="219">
      <c r="K219">
        <f>IF(COUNTA(C219:J219)=0,"",IF(OR(C219&lt;&gt;'[Steuerung.xlsx]Steuerung'!$F$6,D219&lt;1,D219&gt;12),"Periode prüfen",IF(D219&lt;='[Steuerung.xlsx]Steuerung'!$F$8,"IST gesperrt",IF(OR(E219="",F219="",COUNT(G219:I219)&lt;&gt;3),"Angaben fehlen","Wirksam"))))</f>
        <v/>
      </c>
      <c r="L219">
        <f>IF(K219="Wirksam",SUM(G219:H219)-I219,IF(K219="","","n.a."))</f>
        <v/>
      </c>
    </row>
    <row r="220">
      <c r="K220">
        <f>IF(COUNTA(C220:J220)=0,"",IF(OR(C220&lt;&gt;'[Steuerung.xlsx]Steuerung'!$F$6,D220&lt;1,D220&gt;12),"Periode prüfen",IF(D220&lt;='[Steuerung.xlsx]Steuerung'!$F$8,"IST gesperrt",IF(OR(E220="",F220="",COUNT(G220:I220)&lt;&gt;3),"Angaben fehlen","Wirksam"))))</f>
        <v/>
      </c>
      <c r="L220">
        <f>IF(K220="Wirksam",SUM(G220:H220)-I220,IF(K220="","","n.a."))</f>
        <v/>
      </c>
    </row>
    <row r="221">
      <c r="K221">
        <f>IF(COUNTA(C221:J221)=0,"",IF(OR(C221&lt;&gt;'[Steuerung.xlsx]Steuerung'!$F$6,D221&lt;1,D221&gt;12),"Periode prüfen",IF(D221&lt;='[Steuerung.xlsx]Steuerung'!$F$8,"IST gesperrt",IF(OR(E221="",F221="",COUNT(G221:I221)&lt;&gt;3),"Angaben fehlen","Wirksam"))))</f>
        <v/>
      </c>
      <c r="L221">
        <f>IF(K221="Wirksam",SUM(G221:H221)-I221,IF(K221="","","n.a."))</f>
        <v/>
      </c>
    </row>
    <row r="222">
      <c r="K222">
        <f>IF(COUNTA(C222:J222)=0,"",IF(OR(C222&lt;&gt;'[Steuerung.xlsx]Steuerung'!$F$6,D222&lt;1,D222&gt;12),"Periode prüfen",IF(D222&lt;='[Steuerung.xlsx]Steuerung'!$F$8,"IST gesperrt",IF(OR(E222="",F222="",COUNT(G222:I222)&lt;&gt;3),"Angaben fehlen","Wirksam"))))</f>
        <v/>
      </c>
      <c r="L222">
        <f>IF(K222="Wirksam",SUM(G222:H222)-I222,IF(K222="","","n.a."))</f>
        <v/>
      </c>
    </row>
    <row r="223">
      <c r="K223">
        <f>IF(COUNTA(C223:J223)=0,"",IF(OR(C223&lt;&gt;'[Steuerung.xlsx]Steuerung'!$F$6,D223&lt;1,D223&gt;12),"Periode prüfen",IF(D223&lt;='[Steuerung.xlsx]Steuerung'!$F$8,"IST gesperrt",IF(OR(E223="",F223="",COUNT(G223:I223)&lt;&gt;3),"Angaben fehlen","Wirksam"))))</f>
        <v/>
      </c>
      <c r="L223">
        <f>IF(K223="Wirksam",SUM(G223:H223)-I223,IF(K223="","","n.a."))</f>
        <v/>
      </c>
    </row>
    <row r="224">
      <c r="K224">
        <f>IF(COUNTA(C224:J224)=0,"",IF(OR(C224&lt;&gt;'[Steuerung.xlsx]Steuerung'!$F$6,D224&lt;1,D224&gt;12),"Periode prüfen",IF(D224&lt;='[Steuerung.xlsx]Steuerung'!$F$8,"IST gesperrt",IF(OR(E224="",F224="",COUNT(G224:I224)&lt;&gt;3),"Angaben fehlen","Wirksam"))))</f>
        <v/>
      </c>
      <c r="L224">
        <f>IF(K224="Wirksam",SUM(G224:H224)-I224,IF(K224="","","n.a."))</f>
        <v/>
      </c>
    </row>
    <row r="225">
      <c r="K225">
        <f>IF(COUNTA(C225:J225)=0,"",IF(OR(C225&lt;&gt;'[Steuerung.xlsx]Steuerung'!$F$6,D225&lt;1,D225&gt;12),"Periode prüfen",IF(D225&lt;='[Steuerung.xlsx]Steuerung'!$F$8,"IST gesperrt",IF(OR(E225="",F225="",COUNT(G225:I225)&lt;&gt;3),"Angaben fehlen","Wirksam"))))</f>
        <v/>
      </c>
      <c r="L225">
        <f>IF(K225="Wirksam",SUM(G225:H225)-I225,IF(K225="","","n.a."))</f>
        <v/>
      </c>
    </row>
    <row r="226">
      <c r="K226">
        <f>IF(COUNTA(C226:J226)=0,"",IF(OR(C226&lt;&gt;'[Steuerung.xlsx]Steuerung'!$F$6,D226&lt;1,D226&gt;12),"Periode prüfen",IF(D226&lt;='[Steuerung.xlsx]Steuerung'!$F$8,"IST gesperrt",IF(OR(E226="",F226="",COUNT(G226:I226)&lt;&gt;3),"Angaben fehlen","Wirksam"))))</f>
        <v/>
      </c>
      <c r="L226">
        <f>IF(K226="Wirksam",SUM(G226:H226)-I226,IF(K226="","","n.a."))</f>
        <v/>
      </c>
    </row>
    <row r="227">
      <c r="K227">
        <f>IF(COUNTA(C227:J227)=0,"",IF(OR(C227&lt;&gt;'[Steuerung.xlsx]Steuerung'!$F$6,D227&lt;1,D227&gt;12),"Periode prüfen",IF(D227&lt;='[Steuerung.xlsx]Steuerung'!$F$8,"IST gesperrt",IF(OR(E227="",F227="",COUNT(G227:I227)&lt;&gt;3),"Angaben fehlen","Wirksam"))))</f>
        <v/>
      </c>
      <c r="L227">
        <f>IF(K227="Wirksam",SUM(G227:H227)-I227,IF(K227="","","n.a."))</f>
        <v/>
      </c>
    </row>
    <row r="228">
      <c r="K228">
        <f>IF(COUNTA(C228:J228)=0,"",IF(OR(C228&lt;&gt;'[Steuerung.xlsx]Steuerung'!$F$6,D228&lt;1,D228&gt;12),"Periode prüfen",IF(D228&lt;='[Steuerung.xlsx]Steuerung'!$F$8,"IST gesperrt",IF(OR(E228="",F228="",COUNT(G228:I228)&lt;&gt;3),"Angaben fehlen","Wirksam"))))</f>
        <v/>
      </c>
      <c r="L228">
        <f>IF(K228="Wirksam",SUM(G228:H228)-I228,IF(K228="","","n.a."))</f>
        <v/>
      </c>
    </row>
    <row r="229">
      <c r="K229">
        <f>IF(COUNTA(C229:J229)=0,"",IF(OR(C229&lt;&gt;'[Steuerung.xlsx]Steuerung'!$F$6,D229&lt;1,D229&gt;12),"Periode prüfen",IF(D229&lt;='[Steuerung.xlsx]Steuerung'!$F$8,"IST gesperrt",IF(OR(E229="",F229="",COUNT(G229:I229)&lt;&gt;3),"Angaben fehlen","Wirksam"))))</f>
        <v/>
      </c>
      <c r="L229">
        <f>IF(K229="Wirksam",SUM(G229:H229)-I229,IF(K229="","","n.a."))</f>
        <v/>
      </c>
    </row>
    <row r="230">
      <c r="K230">
        <f>IF(COUNTA(C230:J230)=0,"",IF(OR(C230&lt;&gt;'[Steuerung.xlsx]Steuerung'!$F$6,D230&lt;1,D230&gt;12),"Periode prüfen",IF(D230&lt;='[Steuerung.xlsx]Steuerung'!$F$8,"IST gesperrt",IF(OR(E230="",F230="",COUNT(G230:I230)&lt;&gt;3),"Angaben fehlen","Wirksam"))))</f>
        <v/>
      </c>
      <c r="L230">
        <f>IF(K230="Wirksam",SUM(G230:H230)-I230,IF(K230="","","n.a."))</f>
        <v/>
      </c>
    </row>
    <row r="231">
      <c r="K231">
        <f>IF(COUNTA(C231:J231)=0,"",IF(OR(C231&lt;&gt;'[Steuerung.xlsx]Steuerung'!$F$6,D231&lt;1,D231&gt;12),"Periode prüfen",IF(D231&lt;='[Steuerung.xlsx]Steuerung'!$F$8,"IST gesperrt",IF(OR(E231="",F231="",COUNT(G231:I231)&lt;&gt;3),"Angaben fehlen","Wirksam"))))</f>
        <v/>
      </c>
      <c r="L231">
        <f>IF(K231="Wirksam",SUM(G231:H231)-I231,IF(K231="","","n.a."))</f>
        <v/>
      </c>
    </row>
    <row r="232">
      <c r="K232">
        <f>IF(COUNTA(C232:J232)=0,"",IF(OR(C232&lt;&gt;'[Steuerung.xlsx]Steuerung'!$F$6,D232&lt;1,D232&gt;12),"Periode prüfen",IF(D232&lt;='[Steuerung.xlsx]Steuerung'!$F$8,"IST gesperrt",IF(OR(E232="",F232="",COUNT(G232:I232)&lt;&gt;3),"Angaben fehlen","Wirksam"))))</f>
        <v/>
      </c>
      <c r="L232">
        <f>IF(K232="Wirksam",SUM(G232:H232)-I232,IF(K232="","","n.a."))</f>
        <v/>
      </c>
    </row>
    <row r="233">
      <c r="K233">
        <f>IF(COUNTA(C233:J233)=0,"",IF(OR(C233&lt;&gt;'[Steuerung.xlsx]Steuerung'!$F$6,D233&lt;1,D233&gt;12),"Periode prüfen",IF(D233&lt;='[Steuerung.xlsx]Steuerung'!$F$8,"IST gesperrt",IF(OR(E233="",F233="",COUNT(G233:I233)&lt;&gt;3),"Angaben fehlen","Wirksam"))))</f>
        <v/>
      </c>
      <c r="L233">
        <f>IF(K233="Wirksam",SUM(G233:H233)-I233,IF(K233="","","n.a."))</f>
        <v/>
      </c>
    </row>
    <row r="234">
      <c r="K234">
        <f>IF(COUNTA(C234:J234)=0,"",IF(OR(C234&lt;&gt;'[Steuerung.xlsx]Steuerung'!$F$6,D234&lt;1,D234&gt;12),"Periode prüfen",IF(D234&lt;='[Steuerung.xlsx]Steuerung'!$F$8,"IST gesperrt",IF(OR(E234="",F234="",COUNT(G234:I234)&lt;&gt;3),"Angaben fehlen","Wirksam"))))</f>
        <v/>
      </c>
      <c r="L234">
        <f>IF(K234="Wirksam",SUM(G234:H234)-I234,IF(K234="","","n.a."))</f>
        <v/>
      </c>
    </row>
    <row r="235">
      <c r="K235">
        <f>IF(COUNTA(C235:J235)=0,"",IF(OR(C235&lt;&gt;'[Steuerung.xlsx]Steuerung'!$F$6,D235&lt;1,D235&gt;12),"Periode prüfen",IF(D235&lt;='[Steuerung.xlsx]Steuerung'!$F$8,"IST gesperrt",IF(OR(E235="",F235="",COUNT(G235:I235)&lt;&gt;3),"Angaben fehlen","Wirksam"))))</f>
        <v/>
      </c>
      <c r="L235">
        <f>IF(K235="Wirksam",SUM(G235:H235)-I235,IF(K235="","","n.a."))</f>
        <v/>
      </c>
    </row>
    <row r="236">
      <c r="K236">
        <f>IF(COUNTA(C236:J236)=0,"",IF(OR(C236&lt;&gt;'[Steuerung.xlsx]Steuerung'!$F$6,D236&lt;1,D236&gt;12),"Periode prüfen",IF(D236&lt;='[Steuerung.xlsx]Steuerung'!$F$8,"IST gesperrt",IF(OR(E236="",F236="",COUNT(G236:I236)&lt;&gt;3),"Angaben fehlen","Wirksam"))))</f>
        <v/>
      </c>
      <c r="L236">
        <f>IF(K236="Wirksam",SUM(G236:H236)-I236,IF(K236="","","n.a."))</f>
        <v/>
      </c>
    </row>
    <row r="237">
      <c r="K237">
        <f>IF(COUNTA(C237:J237)=0,"",IF(OR(C237&lt;&gt;'[Steuerung.xlsx]Steuerung'!$F$6,D237&lt;1,D237&gt;12),"Periode prüfen",IF(D237&lt;='[Steuerung.xlsx]Steuerung'!$F$8,"IST gesperrt",IF(OR(E237="",F237="",COUNT(G237:I237)&lt;&gt;3),"Angaben fehlen","Wirksam"))))</f>
        <v/>
      </c>
      <c r="L237">
        <f>IF(K237="Wirksam",SUM(G237:H237)-I237,IF(K237="","","n.a."))</f>
        <v/>
      </c>
    </row>
    <row r="238">
      <c r="K238">
        <f>IF(COUNTA(C238:J238)=0,"",IF(OR(C238&lt;&gt;'[Steuerung.xlsx]Steuerung'!$F$6,D238&lt;1,D238&gt;12),"Periode prüfen",IF(D238&lt;='[Steuerung.xlsx]Steuerung'!$F$8,"IST gesperrt",IF(OR(E238="",F238="",COUNT(G238:I238)&lt;&gt;3),"Angaben fehlen","Wirksam"))))</f>
        <v/>
      </c>
      <c r="L238">
        <f>IF(K238="Wirksam",SUM(G238:H238)-I238,IF(K238="","","n.a."))</f>
        <v/>
      </c>
    </row>
    <row r="239">
      <c r="K239">
        <f>IF(COUNTA(C239:J239)=0,"",IF(OR(C239&lt;&gt;'[Steuerung.xlsx]Steuerung'!$F$6,D239&lt;1,D239&gt;12),"Periode prüfen",IF(D239&lt;='[Steuerung.xlsx]Steuerung'!$F$8,"IST gesperrt",IF(OR(E239="",F239="",COUNT(G239:I239)&lt;&gt;3),"Angaben fehlen","Wirksam"))))</f>
        <v/>
      </c>
      <c r="L239">
        <f>IF(K239="Wirksam",SUM(G239:H239)-I239,IF(K239="","","n.a."))</f>
        <v/>
      </c>
    </row>
    <row r="240">
      <c r="K240">
        <f>IF(COUNTA(C240:J240)=0,"",IF(OR(C240&lt;&gt;'[Steuerung.xlsx]Steuerung'!$F$6,D240&lt;1,D240&gt;12),"Periode prüfen",IF(D240&lt;='[Steuerung.xlsx]Steuerung'!$F$8,"IST gesperrt",IF(OR(E240="",F240="",COUNT(G240:I240)&lt;&gt;3),"Angaben fehlen","Wirksam"))))</f>
        <v/>
      </c>
      <c r="L240">
        <f>IF(K240="Wirksam",SUM(G240:H240)-I240,IF(K240="","","n.a."))</f>
        <v/>
      </c>
    </row>
    <row r="241">
      <c r="K241">
        <f>IF(COUNTA(C241:J241)=0,"",IF(OR(C241&lt;&gt;'[Steuerung.xlsx]Steuerung'!$F$6,D241&lt;1,D241&gt;12),"Periode prüfen",IF(D241&lt;='[Steuerung.xlsx]Steuerung'!$F$8,"IST gesperrt",IF(OR(E241="",F241="",COUNT(G241:I241)&lt;&gt;3),"Angaben fehlen","Wirksam"))))</f>
        <v/>
      </c>
      <c r="L241">
        <f>IF(K241="Wirksam",SUM(G241:H241)-I241,IF(K241="","","n.a."))</f>
        <v/>
      </c>
    </row>
    <row r="242">
      <c r="K242">
        <f>IF(COUNTA(C242:J242)=0,"",IF(OR(C242&lt;&gt;'[Steuerung.xlsx]Steuerung'!$F$6,D242&lt;1,D242&gt;12),"Periode prüfen",IF(D242&lt;='[Steuerung.xlsx]Steuerung'!$F$8,"IST gesperrt",IF(OR(E242="",F242="",COUNT(G242:I242)&lt;&gt;3),"Angaben fehlen","Wirksam"))))</f>
        <v/>
      </c>
      <c r="L242">
        <f>IF(K242="Wirksam",SUM(G242:H242)-I242,IF(K242="","","n.a."))</f>
        <v/>
      </c>
    </row>
    <row r="243">
      <c r="K243">
        <f>IF(COUNTA(C243:J243)=0,"",IF(OR(C243&lt;&gt;'[Steuerung.xlsx]Steuerung'!$F$6,D243&lt;1,D243&gt;12),"Periode prüfen",IF(D243&lt;='[Steuerung.xlsx]Steuerung'!$F$8,"IST gesperrt",IF(OR(E243="",F243="",COUNT(G243:I243)&lt;&gt;3),"Angaben fehlen","Wirksam"))))</f>
        <v/>
      </c>
      <c r="L243">
        <f>IF(K243="Wirksam",SUM(G243:H243)-I243,IF(K243="","","n.a."))</f>
        <v/>
      </c>
    </row>
    <row r="244">
      <c r="K244">
        <f>IF(COUNTA(C244:J244)=0,"",IF(OR(C244&lt;&gt;'[Steuerung.xlsx]Steuerung'!$F$6,D244&lt;1,D244&gt;12),"Periode prüfen",IF(D244&lt;='[Steuerung.xlsx]Steuerung'!$F$8,"IST gesperrt",IF(OR(E244="",F244="",COUNT(G244:I244)&lt;&gt;3),"Angaben fehlen","Wirksam"))))</f>
        <v/>
      </c>
      <c r="L244">
        <f>IF(K244="Wirksam",SUM(G244:H244)-I244,IF(K244="","","n.a."))</f>
        <v/>
      </c>
    </row>
    <row r="245">
      <c r="K245">
        <f>IF(COUNTA(C245:J245)=0,"",IF(OR(C245&lt;&gt;'[Steuerung.xlsx]Steuerung'!$F$6,D245&lt;1,D245&gt;12),"Periode prüfen",IF(D245&lt;='[Steuerung.xlsx]Steuerung'!$F$8,"IST gesperrt",IF(OR(E245="",F245="",COUNT(G245:I245)&lt;&gt;3),"Angaben fehlen","Wirksam"))))</f>
        <v/>
      </c>
      <c r="L245">
        <f>IF(K245="Wirksam",SUM(G245:H245)-I245,IF(K245="","","n.a."))</f>
        <v/>
      </c>
    </row>
    <row r="246">
      <c r="K246">
        <f>IF(COUNTA(C246:J246)=0,"",IF(OR(C246&lt;&gt;'[Steuerung.xlsx]Steuerung'!$F$6,D246&lt;1,D246&gt;12),"Periode prüfen",IF(D246&lt;='[Steuerung.xlsx]Steuerung'!$F$8,"IST gesperrt",IF(OR(E246="",F246="",COUNT(G246:I246)&lt;&gt;3),"Angaben fehlen","Wirksam"))))</f>
        <v/>
      </c>
      <c r="L246">
        <f>IF(K246="Wirksam",SUM(G246:H246)-I246,IF(K246="","","n.a."))</f>
        <v/>
      </c>
    </row>
    <row r="247">
      <c r="K247">
        <f>IF(COUNTA(C247:J247)=0,"",IF(OR(C247&lt;&gt;'[Steuerung.xlsx]Steuerung'!$F$6,D247&lt;1,D247&gt;12),"Periode prüfen",IF(D247&lt;='[Steuerung.xlsx]Steuerung'!$F$8,"IST gesperrt",IF(OR(E247="",F247="",COUNT(G247:I247)&lt;&gt;3),"Angaben fehlen","Wirksam"))))</f>
        <v/>
      </c>
      <c r="L247">
        <f>IF(K247="Wirksam",SUM(G247:H247)-I247,IF(K247="","","n.a."))</f>
        <v/>
      </c>
    </row>
    <row r="248">
      <c r="K248">
        <f>IF(COUNTA(C248:J248)=0,"",IF(OR(C248&lt;&gt;'[Steuerung.xlsx]Steuerung'!$F$6,D248&lt;1,D248&gt;12),"Periode prüfen",IF(D248&lt;='[Steuerung.xlsx]Steuerung'!$F$8,"IST gesperrt",IF(OR(E248="",F248="",COUNT(G248:I248)&lt;&gt;3),"Angaben fehlen","Wirksam"))))</f>
        <v/>
      </c>
      <c r="L248">
        <f>IF(K248="Wirksam",SUM(G248:H248)-I248,IF(K248="","","n.a."))</f>
        <v/>
      </c>
    </row>
    <row r="249">
      <c r="K249">
        <f>IF(COUNTA(C249:J249)=0,"",IF(OR(C249&lt;&gt;'[Steuerung.xlsx]Steuerung'!$F$6,D249&lt;1,D249&gt;12),"Periode prüfen",IF(D249&lt;='[Steuerung.xlsx]Steuerung'!$F$8,"IST gesperrt",IF(OR(E249="",F249="",COUNT(G249:I249)&lt;&gt;3),"Angaben fehlen","Wirksam"))))</f>
        <v/>
      </c>
      <c r="L249">
        <f>IF(K249="Wirksam",SUM(G249:H249)-I249,IF(K249="","","n.a."))</f>
        <v/>
      </c>
    </row>
    <row r="250">
      <c r="K250">
        <f>IF(COUNTA(C250:J250)=0,"",IF(OR(C250&lt;&gt;'[Steuerung.xlsx]Steuerung'!$F$6,D250&lt;1,D250&gt;12),"Periode prüfen",IF(D250&lt;='[Steuerung.xlsx]Steuerung'!$F$8,"IST gesperrt",IF(OR(E250="",F250="",COUNT(G250:I250)&lt;&gt;3),"Angaben fehlen","Wirksam"))))</f>
        <v/>
      </c>
      <c r="L250">
        <f>IF(K250="Wirksam",SUM(G250:H250)-I250,IF(K250="","","n.a."))</f>
        <v/>
      </c>
    </row>
    <row r="251">
      <c r="K251">
        <f>IF(COUNTA(C251:J251)=0,"",IF(OR(C251&lt;&gt;'[Steuerung.xlsx]Steuerung'!$F$6,D251&lt;1,D251&gt;12),"Periode prüfen",IF(D251&lt;='[Steuerung.xlsx]Steuerung'!$F$8,"IST gesperrt",IF(OR(E251="",F251="",COUNT(G251:I251)&lt;&gt;3),"Angaben fehlen","Wirksam"))))</f>
        <v/>
      </c>
      <c r="L251">
        <f>IF(K251="Wirksam",SUM(G251:H251)-I251,IF(K251="","","n.a."))</f>
        <v/>
      </c>
    </row>
    <row r="252">
      <c r="K252">
        <f>IF(COUNTA(C252:J252)=0,"",IF(OR(C252&lt;&gt;'[Steuerung.xlsx]Steuerung'!$F$6,D252&lt;1,D252&gt;12),"Periode prüfen",IF(D252&lt;='[Steuerung.xlsx]Steuerung'!$F$8,"IST gesperrt",IF(OR(E252="",F252="",COUNT(G252:I252)&lt;&gt;3),"Angaben fehlen","Wirksam"))))</f>
        <v/>
      </c>
      <c r="L252">
        <f>IF(K252="Wirksam",SUM(G252:H252)-I252,IF(K252="","","n.a."))</f>
        <v/>
      </c>
    </row>
    <row r="253">
      <c r="K253">
        <f>IF(COUNTA(C253:J253)=0,"",IF(OR(C253&lt;&gt;'[Steuerung.xlsx]Steuerung'!$F$6,D253&lt;1,D253&gt;12),"Periode prüfen",IF(D253&lt;='[Steuerung.xlsx]Steuerung'!$F$8,"IST gesperrt",IF(OR(E253="",F253="",COUNT(G253:I253)&lt;&gt;3),"Angaben fehlen","Wirksam"))))</f>
        <v/>
      </c>
      <c r="L253">
        <f>IF(K253="Wirksam",SUM(G253:H253)-I253,IF(K253="","","n.a."))</f>
        <v/>
      </c>
    </row>
    <row r="254">
      <c r="K254">
        <f>IF(COUNTA(C254:J254)=0,"",IF(OR(C254&lt;&gt;'[Steuerung.xlsx]Steuerung'!$F$6,D254&lt;1,D254&gt;12),"Periode prüfen",IF(D254&lt;='[Steuerung.xlsx]Steuerung'!$F$8,"IST gesperrt",IF(OR(E254="",F254="",COUNT(G254:I254)&lt;&gt;3),"Angaben fehlen","Wirksam"))))</f>
        <v/>
      </c>
      <c r="L254">
        <f>IF(K254="Wirksam",SUM(G254:H254)-I254,IF(K254="","","n.a."))</f>
        <v/>
      </c>
    </row>
    <row r="255">
      <c r="K255">
        <f>IF(COUNTA(C255:J255)=0,"",IF(OR(C255&lt;&gt;'[Steuerung.xlsx]Steuerung'!$F$6,D255&lt;1,D255&gt;12),"Periode prüfen",IF(D255&lt;='[Steuerung.xlsx]Steuerung'!$F$8,"IST gesperrt",IF(OR(E255="",F255="",COUNT(G255:I255)&lt;&gt;3),"Angaben fehlen","Wirksam"))))</f>
        <v/>
      </c>
      <c r="L255">
        <f>IF(K255="Wirksam",SUM(G255:H255)-I255,IF(K255="","","n.a."))</f>
        <v/>
      </c>
    </row>
    <row r="256">
      <c r="K256">
        <f>IF(COUNTA(C256:J256)=0,"",IF(OR(C256&lt;&gt;'[Steuerung.xlsx]Steuerung'!$F$6,D256&lt;1,D256&gt;12),"Periode prüfen",IF(D256&lt;='[Steuerung.xlsx]Steuerung'!$F$8,"IST gesperrt",IF(OR(E256="",F256="",COUNT(G256:I256)&lt;&gt;3),"Angaben fehlen","Wirksam"))))</f>
        <v/>
      </c>
      <c r="L256">
        <f>IF(K256="Wirksam",SUM(G256:H256)-I256,IF(K256="","","n.a."))</f>
        <v/>
      </c>
    </row>
    <row r="257">
      <c r="K257">
        <f>IF(COUNTA(C257:J257)=0,"",IF(OR(C257&lt;&gt;'[Steuerung.xlsx]Steuerung'!$F$6,D257&lt;1,D257&gt;12),"Periode prüfen",IF(D257&lt;='[Steuerung.xlsx]Steuerung'!$F$8,"IST gesperrt",IF(OR(E257="",F257="",COUNT(G257:I257)&lt;&gt;3),"Angaben fehlen","Wirksam"))))</f>
        <v/>
      </c>
      <c r="L257">
        <f>IF(K257="Wirksam",SUM(G257:H257)-I257,IF(K257="","","n.a."))</f>
        <v/>
      </c>
    </row>
    <row r="258">
      <c r="K258">
        <f>IF(COUNTA(C258:J258)=0,"",IF(OR(C258&lt;&gt;'[Steuerung.xlsx]Steuerung'!$F$6,D258&lt;1,D258&gt;12),"Periode prüfen",IF(D258&lt;='[Steuerung.xlsx]Steuerung'!$F$8,"IST gesperrt",IF(OR(E258="",F258="",COUNT(G258:I258)&lt;&gt;3),"Angaben fehlen","Wirksam"))))</f>
        <v/>
      </c>
      <c r="L258">
        <f>IF(K258="Wirksam",SUM(G258:H258)-I258,IF(K258="","","n.a."))</f>
        <v/>
      </c>
    </row>
    <row r="259">
      <c r="K259">
        <f>IF(COUNTA(C259:J259)=0,"",IF(OR(C259&lt;&gt;'[Steuerung.xlsx]Steuerung'!$F$6,D259&lt;1,D259&gt;12),"Periode prüfen",IF(D259&lt;='[Steuerung.xlsx]Steuerung'!$F$8,"IST gesperrt",IF(OR(E259="",F259="",COUNT(G259:I259)&lt;&gt;3),"Angaben fehlen","Wirksam"))))</f>
        <v/>
      </c>
      <c r="L259">
        <f>IF(K259="Wirksam",SUM(G259:H259)-I259,IF(K259="","","n.a."))</f>
        <v/>
      </c>
    </row>
    <row r="260">
      <c r="K260">
        <f>IF(COUNTA(C260:J260)=0,"",IF(OR(C260&lt;&gt;'[Steuerung.xlsx]Steuerung'!$F$6,D260&lt;1,D260&gt;12),"Periode prüfen",IF(D260&lt;='[Steuerung.xlsx]Steuerung'!$F$8,"IST gesperrt",IF(OR(E260="",F260="",COUNT(G260:I260)&lt;&gt;3),"Angaben fehlen","Wirksam"))))</f>
        <v/>
      </c>
      <c r="L260">
        <f>IF(K260="Wirksam",SUM(G260:H260)-I260,IF(K260="","","n.a."))</f>
        <v/>
      </c>
    </row>
    <row r="261">
      <c r="K261">
        <f>IF(COUNTA(C261:J261)=0,"",IF(OR(C261&lt;&gt;'[Steuerung.xlsx]Steuerung'!$F$6,D261&lt;1,D261&gt;12),"Periode prüfen",IF(D261&lt;='[Steuerung.xlsx]Steuerung'!$F$8,"IST gesperrt",IF(OR(E261="",F261="",COUNT(G261:I261)&lt;&gt;3),"Angaben fehlen","Wirksam"))))</f>
        <v/>
      </c>
      <c r="L261">
        <f>IF(K261="Wirksam",SUM(G261:H261)-I261,IF(K261="","","n.a."))</f>
        <v/>
      </c>
    </row>
    <row r="262">
      <c r="K262">
        <f>IF(COUNTA(C262:J262)=0,"",IF(OR(C262&lt;&gt;'[Steuerung.xlsx]Steuerung'!$F$6,D262&lt;1,D262&gt;12),"Periode prüfen",IF(D262&lt;='[Steuerung.xlsx]Steuerung'!$F$8,"IST gesperrt",IF(OR(E262="",F262="",COUNT(G262:I262)&lt;&gt;3),"Angaben fehlen","Wirksam"))))</f>
        <v/>
      </c>
      <c r="L262">
        <f>IF(K262="Wirksam",SUM(G262:H262)-I262,IF(K262="","","n.a."))</f>
        <v/>
      </c>
    </row>
    <row r="263">
      <c r="K263">
        <f>IF(COUNTA(C263:J263)=0,"",IF(OR(C263&lt;&gt;'[Steuerung.xlsx]Steuerung'!$F$6,D263&lt;1,D263&gt;12),"Periode prüfen",IF(D263&lt;='[Steuerung.xlsx]Steuerung'!$F$8,"IST gesperrt",IF(OR(E263="",F263="",COUNT(G263:I263)&lt;&gt;3),"Angaben fehlen","Wirksam"))))</f>
        <v/>
      </c>
      <c r="L263">
        <f>IF(K263="Wirksam",SUM(G263:H263)-I263,IF(K263="","","n.a."))</f>
        <v/>
      </c>
    </row>
    <row r="264">
      <c r="K264">
        <f>IF(COUNTA(C264:J264)=0,"",IF(OR(C264&lt;&gt;'[Steuerung.xlsx]Steuerung'!$F$6,D264&lt;1,D264&gt;12),"Periode prüfen",IF(D264&lt;='[Steuerung.xlsx]Steuerung'!$F$8,"IST gesperrt",IF(OR(E264="",F264="",COUNT(G264:I264)&lt;&gt;3),"Angaben fehlen","Wirksam"))))</f>
        <v/>
      </c>
      <c r="L264">
        <f>IF(K264="Wirksam",SUM(G264:H264)-I264,IF(K264="","","n.a."))</f>
        <v/>
      </c>
    </row>
    <row r="265">
      <c r="K265">
        <f>IF(COUNTA(C265:J265)=0,"",IF(OR(C265&lt;&gt;'[Steuerung.xlsx]Steuerung'!$F$6,D265&lt;1,D265&gt;12),"Periode prüfen",IF(D265&lt;='[Steuerung.xlsx]Steuerung'!$F$8,"IST gesperrt",IF(OR(E265="",F265="",COUNT(G265:I265)&lt;&gt;3),"Angaben fehlen","Wirksam"))))</f>
        <v/>
      </c>
      <c r="L265">
        <f>IF(K265="Wirksam",SUM(G265:H265)-I265,IF(K265="","","n.a."))</f>
        <v/>
      </c>
    </row>
    <row r="266">
      <c r="K266">
        <f>IF(COUNTA(C266:J266)=0,"",IF(OR(C266&lt;&gt;'[Steuerung.xlsx]Steuerung'!$F$6,D266&lt;1,D266&gt;12),"Periode prüfen",IF(D266&lt;='[Steuerung.xlsx]Steuerung'!$F$8,"IST gesperrt",IF(OR(E266="",F266="",COUNT(G266:I266)&lt;&gt;3),"Angaben fehlen","Wirksam"))))</f>
        <v/>
      </c>
      <c r="L266">
        <f>IF(K266="Wirksam",SUM(G266:H266)-I266,IF(K266="","","n.a."))</f>
        <v/>
      </c>
    </row>
    <row r="267">
      <c r="K267">
        <f>IF(COUNTA(C267:J267)=0,"",IF(OR(C267&lt;&gt;'[Steuerung.xlsx]Steuerung'!$F$6,D267&lt;1,D267&gt;12),"Periode prüfen",IF(D267&lt;='[Steuerung.xlsx]Steuerung'!$F$8,"IST gesperrt",IF(OR(E267="",F267="",COUNT(G267:I267)&lt;&gt;3),"Angaben fehlen","Wirksam"))))</f>
        <v/>
      </c>
      <c r="L267">
        <f>IF(K267="Wirksam",SUM(G267:H267)-I267,IF(K267="","","n.a."))</f>
        <v/>
      </c>
    </row>
    <row r="268">
      <c r="K268">
        <f>IF(COUNTA(C268:J268)=0,"",IF(OR(C268&lt;&gt;'[Steuerung.xlsx]Steuerung'!$F$6,D268&lt;1,D268&gt;12),"Periode prüfen",IF(D268&lt;='[Steuerung.xlsx]Steuerung'!$F$8,"IST gesperrt",IF(OR(E268="",F268="",COUNT(G268:I268)&lt;&gt;3),"Angaben fehlen","Wirksam"))))</f>
        <v/>
      </c>
      <c r="L268">
        <f>IF(K268="Wirksam",SUM(G268:H268)-I268,IF(K268="","","n.a."))</f>
        <v/>
      </c>
    </row>
    <row r="269">
      <c r="K269">
        <f>IF(COUNTA(C269:J269)=0,"",IF(OR(C269&lt;&gt;'[Steuerung.xlsx]Steuerung'!$F$6,D269&lt;1,D269&gt;12),"Periode prüfen",IF(D269&lt;='[Steuerung.xlsx]Steuerung'!$F$8,"IST gesperrt",IF(OR(E269="",F269="",COUNT(G269:I269)&lt;&gt;3),"Angaben fehlen","Wirksam"))))</f>
        <v/>
      </c>
      <c r="L269">
        <f>IF(K269="Wirksam",SUM(G269:H269)-I269,IF(K269="","","n.a."))</f>
        <v/>
      </c>
    </row>
    <row r="270">
      <c r="K270">
        <f>IF(COUNTA(C270:J270)=0,"",IF(OR(C270&lt;&gt;'[Steuerung.xlsx]Steuerung'!$F$6,D270&lt;1,D270&gt;12),"Periode prüfen",IF(D270&lt;='[Steuerung.xlsx]Steuerung'!$F$8,"IST gesperrt",IF(OR(E270="",F270="",COUNT(G270:I270)&lt;&gt;3),"Angaben fehlen","Wirksam"))))</f>
        <v/>
      </c>
      <c r="L270">
        <f>IF(K270="Wirksam",SUM(G270:H270)-I270,IF(K270="","","n.a."))</f>
        <v/>
      </c>
    </row>
    <row r="271">
      <c r="K271">
        <f>IF(COUNTA(C271:J271)=0,"",IF(OR(C271&lt;&gt;'[Steuerung.xlsx]Steuerung'!$F$6,D271&lt;1,D271&gt;12),"Periode prüfen",IF(D271&lt;='[Steuerung.xlsx]Steuerung'!$F$8,"IST gesperrt",IF(OR(E271="",F271="",COUNT(G271:I271)&lt;&gt;3),"Angaben fehlen","Wirksam"))))</f>
        <v/>
      </c>
      <c r="L271">
        <f>IF(K271="Wirksam",SUM(G271:H271)-I271,IF(K271="","","n.a."))</f>
        <v/>
      </c>
    </row>
    <row r="272">
      <c r="K272">
        <f>IF(COUNTA(C272:J272)=0,"",IF(OR(C272&lt;&gt;'[Steuerung.xlsx]Steuerung'!$F$6,D272&lt;1,D272&gt;12),"Periode prüfen",IF(D272&lt;='[Steuerung.xlsx]Steuerung'!$F$8,"IST gesperrt",IF(OR(E272="",F272="",COUNT(G272:I272)&lt;&gt;3),"Angaben fehlen","Wirksam"))))</f>
        <v/>
      </c>
      <c r="L272">
        <f>IF(K272="Wirksam",SUM(G272:H272)-I272,IF(K272="","","n.a."))</f>
        <v/>
      </c>
    </row>
    <row r="273">
      <c r="K273">
        <f>IF(COUNTA(C273:J273)=0,"",IF(OR(C273&lt;&gt;'[Steuerung.xlsx]Steuerung'!$F$6,D273&lt;1,D273&gt;12),"Periode prüfen",IF(D273&lt;='[Steuerung.xlsx]Steuerung'!$F$8,"IST gesperrt",IF(OR(E273="",F273="",COUNT(G273:I273)&lt;&gt;3),"Angaben fehlen","Wirksam"))))</f>
        <v/>
      </c>
      <c r="L273">
        <f>IF(K273="Wirksam",SUM(G273:H273)-I273,IF(K273="","","n.a."))</f>
        <v/>
      </c>
    </row>
    <row r="274">
      <c r="K274">
        <f>IF(COUNTA(C274:J274)=0,"",IF(OR(C274&lt;&gt;'[Steuerung.xlsx]Steuerung'!$F$6,D274&lt;1,D274&gt;12),"Periode prüfen",IF(D274&lt;='[Steuerung.xlsx]Steuerung'!$F$8,"IST gesperrt",IF(OR(E274="",F274="",COUNT(G274:I274)&lt;&gt;3),"Angaben fehlen","Wirksam"))))</f>
        <v/>
      </c>
      <c r="L274">
        <f>IF(K274="Wirksam",SUM(G274:H274)-I274,IF(K274="","","n.a."))</f>
        <v/>
      </c>
    </row>
    <row r="275">
      <c r="K275">
        <f>IF(COUNTA(C275:J275)=0,"",IF(OR(C275&lt;&gt;'[Steuerung.xlsx]Steuerung'!$F$6,D275&lt;1,D275&gt;12),"Periode prüfen",IF(D275&lt;='[Steuerung.xlsx]Steuerung'!$F$8,"IST gesperrt",IF(OR(E275="",F275="",COUNT(G275:I275)&lt;&gt;3),"Angaben fehlen","Wirksam"))))</f>
        <v/>
      </c>
      <c r="L275">
        <f>IF(K275="Wirksam",SUM(G275:H275)-I275,IF(K275="","","n.a."))</f>
        <v/>
      </c>
    </row>
    <row r="276">
      <c r="K276">
        <f>IF(COUNTA(C276:J276)=0,"",IF(OR(C276&lt;&gt;'[Steuerung.xlsx]Steuerung'!$F$6,D276&lt;1,D276&gt;12),"Periode prüfen",IF(D276&lt;='[Steuerung.xlsx]Steuerung'!$F$8,"IST gesperrt",IF(OR(E276="",F276="",COUNT(G276:I276)&lt;&gt;3),"Angaben fehlen","Wirksam"))))</f>
        <v/>
      </c>
      <c r="L276">
        <f>IF(K276="Wirksam",SUM(G276:H276)-I276,IF(K276="","","n.a."))</f>
        <v/>
      </c>
    </row>
    <row r="277">
      <c r="K277">
        <f>IF(COUNTA(C277:J277)=0,"",IF(OR(C277&lt;&gt;'[Steuerung.xlsx]Steuerung'!$F$6,D277&lt;1,D277&gt;12),"Periode prüfen",IF(D277&lt;='[Steuerung.xlsx]Steuerung'!$F$8,"IST gesperrt",IF(OR(E277="",F277="",COUNT(G277:I277)&lt;&gt;3),"Angaben fehlen","Wirksam"))))</f>
        <v/>
      </c>
      <c r="L277">
        <f>IF(K277="Wirksam",SUM(G277:H277)-I277,IF(K277="","","n.a."))</f>
        <v/>
      </c>
    </row>
    <row r="278">
      <c r="K278">
        <f>IF(COUNTA(C278:J278)=0,"",IF(OR(C278&lt;&gt;'[Steuerung.xlsx]Steuerung'!$F$6,D278&lt;1,D278&gt;12),"Periode prüfen",IF(D278&lt;='[Steuerung.xlsx]Steuerung'!$F$8,"IST gesperrt",IF(OR(E278="",F278="",COUNT(G278:I278)&lt;&gt;3),"Angaben fehlen","Wirksam"))))</f>
        <v/>
      </c>
      <c r="L278">
        <f>IF(K278="Wirksam",SUM(G278:H278)-I278,IF(K278="","","n.a."))</f>
        <v/>
      </c>
    </row>
    <row r="279">
      <c r="K279">
        <f>IF(COUNTA(C279:J279)=0,"",IF(OR(C279&lt;&gt;'[Steuerung.xlsx]Steuerung'!$F$6,D279&lt;1,D279&gt;12),"Periode prüfen",IF(D279&lt;='[Steuerung.xlsx]Steuerung'!$F$8,"IST gesperrt",IF(OR(E279="",F279="",COUNT(G279:I279)&lt;&gt;3),"Angaben fehlen","Wirksam"))))</f>
        <v/>
      </c>
      <c r="L279">
        <f>IF(K279="Wirksam",SUM(G279:H279)-I279,IF(K279="","","n.a."))</f>
        <v/>
      </c>
    </row>
    <row r="280">
      <c r="K280">
        <f>IF(COUNTA(C280:J280)=0,"",IF(OR(C280&lt;&gt;'[Steuerung.xlsx]Steuerung'!$F$6,D280&lt;1,D280&gt;12),"Periode prüfen",IF(D280&lt;='[Steuerung.xlsx]Steuerung'!$F$8,"IST gesperrt",IF(OR(E280="",F280="",COUNT(G280:I280)&lt;&gt;3),"Angaben fehlen","Wirksam"))))</f>
        <v/>
      </c>
      <c r="L280">
        <f>IF(K280="Wirksam",SUM(G280:H280)-I280,IF(K280="","","n.a."))</f>
        <v/>
      </c>
    </row>
    <row r="281">
      <c r="K281">
        <f>IF(COUNTA(C281:J281)=0,"",IF(OR(C281&lt;&gt;'[Steuerung.xlsx]Steuerung'!$F$6,D281&lt;1,D281&gt;12),"Periode prüfen",IF(D281&lt;='[Steuerung.xlsx]Steuerung'!$F$8,"IST gesperrt",IF(OR(E281="",F281="",COUNT(G281:I281)&lt;&gt;3),"Angaben fehlen","Wirksam"))))</f>
        <v/>
      </c>
      <c r="L281">
        <f>IF(K281="Wirksam",SUM(G281:H281)-I281,IF(K281="","","n.a."))</f>
        <v/>
      </c>
    </row>
    <row r="282">
      <c r="K282">
        <f>IF(COUNTA(C282:J282)=0,"",IF(OR(C282&lt;&gt;'[Steuerung.xlsx]Steuerung'!$F$6,D282&lt;1,D282&gt;12),"Periode prüfen",IF(D282&lt;='[Steuerung.xlsx]Steuerung'!$F$8,"IST gesperrt",IF(OR(E282="",F282="",COUNT(G282:I282)&lt;&gt;3),"Angaben fehlen","Wirksam"))))</f>
        <v/>
      </c>
      <c r="L282">
        <f>IF(K282="Wirksam",SUM(G282:H282)-I282,IF(K282="","","n.a."))</f>
        <v/>
      </c>
    </row>
    <row r="283">
      <c r="K283">
        <f>IF(COUNTA(C283:J283)=0,"",IF(OR(C283&lt;&gt;'[Steuerung.xlsx]Steuerung'!$F$6,D283&lt;1,D283&gt;12),"Periode prüfen",IF(D283&lt;='[Steuerung.xlsx]Steuerung'!$F$8,"IST gesperrt",IF(OR(E283="",F283="",COUNT(G283:I283)&lt;&gt;3),"Angaben fehlen","Wirksam"))))</f>
        <v/>
      </c>
      <c r="L283">
        <f>IF(K283="Wirksam",SUM(G283:H283)-I283,IF(K283="","","n.a."))</f>
        <v/>
      </c>
    </row>
    <row r="284">
      <c r="K284">
        <f>IF(COUNTA(C284:J284)=0,"",IF(OR(C284&lt;&gt;'[Steuerung.xlsx]Steuerung'!$F$6,D284&lt;1,D284&gt;12),"Periode prüfen",IF(D284&lt;='[Steuerung.xlsx]Steuerung'!$F$8,"IST gesperrt",IF(OR(E284="",F284="",COUNT(G284:I284)&lt;&gt;3),"Angaben fehlen","Wirksam"))))</f>
        <v/>
      </c>
      <c r="L284">
        <f>IF(K284="Wirksam",SUM(G284:H284)-I284,IF(K284="","","n.a."))</f>
        <v/>
      </c>
    </row>
    <row r="285">
      <c r="K285">
        <f>IF(COUNTA(C285:J285)=0,"",IF(OR(C285&lt;&gt;'[Steuerung.xlsx]Steuerung'!$F$6,D285&lt;1,D285&gt;12),"Periode prüfen",IF(D285&lt;='[Steuerung.xlsx]Steuerung'!$F$8,"IST gesperrt",IF(OR(E285="",F285="",COUNT(G285:I285)&lt;&gt;3),"Angaben fehlen","Wirksam"))))</f>
        <v/>
      </c>
      <c r="L285">
        <f>IF(K285="Wirksam",SUM(G285:H285)-I285,IF(K285="","","n.a."))</f>
        <v/>
      </c>
    </row>
    <row r="286">
      <c r="K286">
        <f>IF(COUNTA(C286:J286)=0,"",IF(OR(C286&lt;&gt;'[Steuerung.xlsx]Steuerung'!$F$6,D286&lt;1,D286&gt;12),"Periode prüfen",IF(D286&lt;='[Steuerung.xlsx]Steuerung'!$F$8,"IST gesperrt",IF(OR(E286="",F286="",COUNT(G286:I286)&lt;&gt;3),"Angaben fehlen","Wirksam"))))</f>
        <v/>
      </c>
      <c r="L286">
        <f>IF(K286="Wirksam",SUM(G286:H286)-I286,IF(K286="","","n.a."))</f>
        <v/>
      </c>
    </row>
    <row r="287">
      <c r="K287">
        <f>IF(COUNTA(C287:J287)=0,"",IF(OR(C287&lt;&gt;'[Steuerung.xlsx]Steuerung'!$F$6,D287&lt;1,D287&gt;12),"Periode prüfen",IF(D287&lt;='[Steuerung.xlsx]Steuerung'!$F$8,"IST gesperrt",IF(OR(E287="",F287="",COUNT(G287:I287)&lt;&gt;3),"Angaben fehlen","Wirksam"))))</f>
        <v/>
      </c>
      <c r="L287">
        <f>IF(K287="Wirksam",SUM(G287:H287)-I287,IF(K287="","","n.a."))</f>
        <v/>
      </c>
    </row>
    <row r="288">
      <c r="K288">
        <f>IF(COUNTA(C288:J288)=0,"",IF(OR(C288&lt;&gt;'[Steuerung.xlsx]Steuerung'!$F$6,D288&lt;1,D288&gt;12),"Periode prüfen",IF(D288&lt;='[Steuerung.xlsx]Steuerung'!$F$8,"IST gesperrt",IF(OR(E288="",F288="",COUNT(G288:I288)&lt;&gt;3),"Angaben fehlen","Wirksam"))))</f>
        <v/>
      </c>
      <c r="L288">
        <f>IF(K288="Wirksam",SUM(G288:H288)-I288,IF(K288="","","n.a."))</f>
        <v/>
      </c>
    </row>
    <row r="289">
      <c r="K289">
        <f>IF(COUNTA(C289:J289)=0,"",IF(OR(C289&lt;&gt;'[Steuerung.xlsx]Steuerung'!$F$6,D289&lt;1,D289&gt;12),"Periode prüfen",IF(D289&lt;='[Steuerung.xlsx]Steuerung'!$F$8,"IST gesperrt",IF(OR(E289="",F289="",COUNT(G289:I289)&lt;&gt;3),"Angaben fehlen","Wirksam"))))</f>
        <v/>
      </c>
      <c r="L289">
        <f>IF(K289="Wirksam",SUM(G289:H289)-I289,IF(K289="","","n.a."))</f>
        <v/>
      </c>
    </row>
    <row r="290">
      <c r="K290">
        <f>IF(COUNTA(C290:J290)=0,"",IF(OR(C290&lt;&gt;'[Steuerung.xlsx]Steuerung'!$F$6,D290&lt;1,D290&gt;12),"Periode prüfen",IF(D290&lt;='[Steuerung.xlsx]Steuerung'!$F$8,"IST gesperrt",IF(OR(E290="",F290="",COUNT(G290:I290)&lt;&gt;3),"Angaben fehlen","Wirksam"))))</f>
        <v/>
      </c>
      <c r="L290">
        <f>IF(K290="Wirksam",SUM(G290:H290)-I290,IF(K290="","","n.a."))</f>
        <v/>
      </c>
    </row>
    <row r="291">
      <c r="K291">
        <f>IF(COUNTA(C291:J291)=0,"",IF(OR(C291&lt;&gt;'[Steuerung.xlsx]Steuerung'!$F$6,D291&lt;1,D291&gt;12),"Periode prüfen",IF(D291&lt;='[Steuerung.xlsx]Steuerung'!$F$8,"IST gesperrt",IF(OR(E291="",F291="",COUNT(G291:I291)&lt;&gt;3),"Angaben fehlen","Wirksam"))))</f>
        <v/>
      </c>
      <c r="L291">
        <f>IF(K291="Wirksam",SUM(G291:H291)-I291,IF(K291="","","n.a."))</f>
        <v/>
      </c>
    </row>
    <row r="292">
      <c r="K292">
        <f>IF(COUNTA(C292:J292)=0,"",IF(OR(C292&lt;&gt;'[Steuerung.xlsx]Steuerung'!$F$6,D292&lt;1,D292&gt;12),"Periode prüfen",IF(D292&lt;='[Steuerung.xlsx]Steuerung'!$F$8,"IST gesperrt",IF(OR(E292="",F292="",COUNT(G292:I292)&lt;&gt;3),"Angaben fehlen","Wirksam"))))</f>
        <v/>
      </c>
      <c r="L292">
        <f>IF(K292="Wirksam",SUM(G292:H292)-I292,IF(K292="","","n.a."))</f>
        <v/>
      </c>
    </row>
    <row r="293">
      <c r="K293">
        <f>IF(COUNTA(C293:J293)=0,"",IF(OR(C293&lt;&gt;'[Steuerung.xlsx]Steuerung'!$F$6,D293&lt;1,D293&gt;12),"Periode prüfen",IF(D293&lt;='[Steuerung.xlsx]Steuerung'!$F$8,"IST gesperrt",IF(OR(E293="",F293="",COUNT(G293:I293)&lt;&gt;3),"Angaben fehlen","Wirksam"))))</f>
        <v/>
      </c>
      <c r="L293">
        <f>IF(K293="Wirksam",SUM(G293:H293)-I293,IF(K293="","","n.a."))</f>
        <v/>
      </c>
    </row>
    <row r="294">
      <c r="K294">
        <f>IF(COUNTA(C294:J294)=0,"",IF(OR(C294&lt;&gt;'[Steuerung.xlsx]Steuerung'!$F$6,D294&lt;1,D294&gt;12),"Periode prüfen",IF(D294&lt;='[Steuerung.xlsx]Steuerung'!$F$8,"IST gesperrt",IF(OR(E294="",F294="",COUNT(G294:I294)&lt;&gt;3),"Angaben fehlen","Wirksam"))))</f>
        <v/>
      </c>
      <c r="L294">
        <f>IF(K294="Wirksam",SUM(G294:H294)-I294,IF(K294="","","n.a."))</f>
        <v/>
      </c>
    </row>
    <row r="295">
      <c r="K295">
        <f>IF(COUNTA(C295:J295)=0,"",IF(OR(C295&lt;&gt;'[Steuerung.xlsx]Steuerung'!$F$6,D295&lt;1,D295&gt;12),"Periode prüfen",IF(D295&lt;='[Steuerung.xlsx]Steuerung'!$F$8,"IST gesperrt",IF(OR(E295="",F295="",COUNT(G295:I295)&lt;&gt;3),"Angaben fehlen","Wirksam"))))</f>
        <v/>
      </c>
      <c r="L295">
        <f>IF(K295="Wirksam",SUM(G295:H295)-I295,IF(K295="","","n.a."))</f>
        <v/>
      </c>
    </row>
    <row r="296">
      <c r="K296">
        <f>IF(COUNTA(C296:J296)=0,"",IF(OR(C296&lt;&gt;'[Steuerung.xlsx]Steuerung'!$F$6,D296&lt;1,D296&gt;12),"Periode prüfen",IF(D296&lt;='[Steuerung.xlsx]Steuerung'!$F$8,"IST gesperrt",IF(OR(E296="",F296="",COUNT(G296:I296)&lt;&gt;3),"Angaben fehlen","Wirksam"))))</f>
        <v/>
      </c>
      <c r="L296">
        <f>IF(K296="Wirksam",SUM(G296:H296)-I296,IF(K296="","","n.a."))</f>
        <v/>
      </c>
    </row>
    <row r="297">
      <c r="K297">
        <f>IF(COUNTA(C297:J297)=0,"",IF(OR(C297&lt;&gt;'[Steuerung.xlsx]Steuerung'!$F$6,D297&lt;1,D297&gt;12),"Periode prüfen",IF(D297&lt;='[Steuerung.xlsx]Steuerung'!$F$8,"IST gesperrt",IF(OR(E297="",F297="",COUNT(G297:I297)&lt;&gt;3),"Angaben fehlen","Wirksam"))))</f>
        <v/>
      </c>
      <c r="L297">
        <f>IF(K297="Wirksam",SUM(G297:H297)-I297,IF(K297="","","n.a."))</f>
        <v/>
      </c>
    </row>
    <row r="298">
      <c r="K298">
        <f>IF(COUNTA(C298:J298)=0,"",IF(OR(C298&lt;&gt;'[Steuerung.xlsx]Steuerung'!$F$6,D298&lt;1,D298&gt;12),"Periode prüfen",IF(D298&lt;='[Steuerung.xlsx]Steuerung'!$F$8,"IST gesperrt",IF(OR(E298="",F298="",COUNT(G298:I298)&lt;&gt;3),"Angaben fehlen","Wirksam"))))</f>
        <v/>
      </c>
      <c r="L298">
        <f>IF(K298="Wirksam",SUM(G298:H298)-I298,IF(K298="","","n.a."))</f>
        <v/>
      </c>
    </row>
    <row r="299">
      <c r="K299">
        <f>IF(COUNTA(C299:J299)=0,"",IF(OR(C299&lt;&gt;'[Steuerung.xlsx]Steuerung'!$F$6,D299&lt;1,D299&gt;12),"Periode prüfen",IF(D299&lt;='[Steuerung.xlsx]Steuerung'!$F$8,"IST gesperrt",IF(OR(E299="",F299="",COUNT(G299:I299)&lt;&gt;3),"Angaben fehlen","Wirksam"))))</f>
        <v/>
      </c>
      <c r="L299">
        <f>IF(K299="Wirksam",SUM(G299:H299)-I299,IF(K299="","","n.a."))</f>
        <v/>
      </c>
    </row>
    <row r="300">
      <c r="K300">
        <f>IF(COUNTA(C300:J300)=0,"",IF(OR(C300&lt;&gt;'[Steuerung.xlsx]Steuerung'!$F$6,D300&lt;1,D300&gt;12),"Periode prüfen",IF(D300&lt;='[Steuerung.xlsx]Steuerung'!$F$8,"IST gesperrt",IF(OR(E300="",F300="",COUNT(G300:I300)&lt;&gt;3),"Angaben fehlen","Wirksam"))))</f>
        <v/>
      </c>
      <c r="L300">
        <f>IF(K300="Wirksam",SUM(G300:H300)-I300,IF(K300="","","n.a."))</f>
        <v/>
      </c>
    </row>
    <row r="301">
      <c r="K301">
        <f>IF(COUNTA(C301:J301)=0,"",IF(OR(C301&lt;&gt;'[Steuerung.xlsx]Steuerung'!$F$6,D301&lt;1,D301&gt;12),"Periode prüfen",IF(D301&lt;='[Steuerung.xlsx]Steuerung'!$F$8,"IST gesperrt",IF(OR(E301="",F301="",COUNT(G301:I301)&lt;&gt;3),"Angaben fehlen","Wirksam"))))</f>
        <v/>
      </c>
      <c r="L301">
        <f>IF(K301="Wirksam",SUM(G301:H301)-I301,IF(K301="","","n.a."))</f>
        <v/>
      </c>
    </row>
    <row r="302">
      <c r="K302">
        <f>IF(COUNTA(C302:J302)=0,"",IF(OR(C302&lt;&gt;'[Steuerung.xlsx]Steuerung'!$F$6,D302&lt;1,D302&gt;12),"Periode prüfen",IF(D302&lt;='[Steuerung.xlsx]Steuerung'!$F$8,"IST gesperrt",IF(OR(E302="",F302="",COUNT(G302:I302)&lt;&gt;3),"Angaben fehlen","Wirksam"))))</f>
        <v/>
      </c>
      <c r="L302">
        <f>IF(K302="Wirksam",SUM(G302:H302)-I302,IF(K302="","","n.a."))</f>
        <v/>
      </c>
    </row>
    <row r="303">
      <c r="K303">
        <f>IF(COUNTA(C303:J303)=0,"",IF(OR(C303&lt;&gt;'[Steuerung.xlsx]Steuerung'!$F$6,D303&lt;1,D303&gt;12),"Periode prüfen",IF(D303&lt;='[Steuerung.xlsx]Steuerung'!$F$8,"IST gesperrt",IF(OR(E303="",F303="",COUNT(G303:I303)&lt;&gt;3),"Angaben fehlen","Wirksam"))))</f>
        <v/>
      </c>
      <c r="L303">
        <f>IF(K303="Wirksam",SUM(G303:H303)-I303,IF(K303="","","n.a."))</f>
        <v/>
      </c>
    </row>
    <row r="304">
      <c r="K304">
        <f>IF(COUNTA(C304:J304)=0,"",IF(OR(C304&lt;&gt;'[Steuerung.xlsx]Steuerung'!$F$6,D304&lt;1,D304&gt;12),"Periode prüfen",IF(D304&lt;='[Steuerung.xlsx]Steuerung'!$F$8,"IST gesperrt",IF(OR(E304="",F304="",COUNT(G304:I304)&lt;&gt;3),"Angaben fehlen","Wirksam"))))</f>
        <v/>
      </c>
      <c r="L304">
        <f>IF(K304="Wirksam",SUM(G304:H304)-I304,IF(K304="","","n.a."))</f>
        <v/>
      </c>
    </row>
    <row r="305">
      <c r="K305">
        <f>IF(COUNTA(C305:J305)=0,"",IF(OR(C305&lt;&gt;'[Steuerung.xlsx]Steuerung'!$F$6,D305&lt;1,D305&gt;12),"Periode prüfen",IF(D305&lt;='[Steuerung.xlsx]Steuerung'!$F$8,"IST gesperrt",IF(OR(E305="",F305="",COUNT(G305:I305)&lt;&gt;3),"Angaben fehlen","Wirksam"))))</f>
        <v/>
      </c>
      <c r="L305">
        <f>IF(K305="Wirksam",SUM(G305:H305)-I305,IF(K305="","","n.a."))</f>
        <v/>
      </c>
    </row>
    <row r="306">
      <c r="K306">
        <f>IF(COUNTA(C306:J306)=0,"",IF(OR(C306&lt;&gt;'[Steuerung.xlsx]Steuerung'!$F$6,D306&lt;1,D306&gt;12),"Periode prüfen",IF(D306&lt;='[Steuerung.xlsx]Steuerung'!$F$8,"IST gesperrt",IF(OR(E306="",F306="",COUNT(G306:I306)&lt;&gt;3),"Angaben fehlen","Wirksam"))))</f>
        <v/>
      </c>
      <c r="L306">
        <f>IF(K306="Wirksam",SUM(G306:H306)-I306,IF(K306="","","n.a."))</f>
        <v/>
      </c>
    </row>
    <row r="307">
      <c r="K307">
        <f>IF(COUNTA(C307:J307)=0,"",IF(OR(C307&lt;&gt;'[Steuerung.xlsx]Steuerung'!$F$6,D307&lt;1,D307&gt;12),"Periode prüfen",IF(D307&lt;='[Steuerung.xlsx]Steuerung'!$F$8,"IST gesperrt",IF(OR(E307="",F307="",COUNT(G307:I307)&lt;&gt;3),"Angaben fehlen","Wirksam"))))</f>
        <v/>
      </c>
      <c r="L307">
        <f>IF(K307="Wirksam",SUM(G307:H307)-I307,IF(K307="","","n.a."))</f>
        <v/>
      </c>
    </row>
    <row r="308">
      <c r="K308">
        <f>IF(COUNTA(C308:J308)=0,"",IF(OR(C308&lt;&gt;'[Steuerung.xlsx]Steuerung'!$F$6,D308&lt;1,D308&gt;12),"Periode prüfen",IF(D308&lt;='[Steuerung.xlsx]Steuerung'!$F$8,"IST gesperrt",IF(OR(E308="",F308="",COUNT(G308:I308)&lt;&gt;3),"Angaben fehlen","Wirksam"))))</f>
        <v/>
      </c>
      <c r="L308">
        <f>IF(K308="Wirksam",SUM(G308:H308)-I308,IF(K308="","","n.a."))</f>
        <v/>
      </c>
    </row>
    <row r="309">
      <c r="K309">
        <f>IF(COUNTA(C309:J309)=0,"",IF(OR(C309&lt;&gt;'[Steuerung.xlsx]Steuerung'!$F$6,D309&lt;1,D309&gt;12),"Periode prüfen",IF(D309&lt;='[Steuerung.xlsx]Steuerung'!$F$8,"IST gesperrt",IF(OR(E309="",F309="",COUNT(G309:I309)&lt;&gt;3),"Angaben fehlen","Wirksam"))))</f>
        <v/>
      </c>
      <c r="L309">
        <f>IF(K309="Wirksam",SUM(G309:H309)-I309,IF(K309="","","n.a."))</f>
        <v/>
      </c>
    </row>
    <row r="310">
      <c r="K310">
        <f>IF(COUNTA(C310:J310)=0,"",IF(OR(C310&lt;&gt;'[Steuerung.xlsx]Steuerung'!$F$6,D310&lt;1,D310&gt;12),"Periode prüfen",IF(D310&lt;='[Steuerung.xlsx]Steuerung'!$F$8,"IST gesperrt",IF(OR(E310="",F310="",COUNT(G310:I310)&lt;&gt;3),"Angaben fehlen","Wirksam"))))</f>
        <v/>
      </c>
      <c r="L310">
        <f>IF(K310="Wirksam",SUM(G310:H310)-I310,IF(K310="","","n.a."))</f>
        <v/>
      </c>
    </row>
    <row r="311">
      <c r="K311">
        <f>IF(COUNTA(C311:J311)=0,"",IF(OR(C311&lt;&gt;'[Steuerung.xlsx]Steuerung'!$F$6,D311&lt;1,D311&gt;12),"Periode prüfen",IF(D311&lt;='[Steuerung.xlsx]Steuerung'!$F$8,"IST gesperrt",IF(OR(E311="",F311="",COUNT(G311:I311)&lt;&gt;3),"Angaben fehlen","Wirksam"))))</f>
        <v/>
      </c>
      <c r="L311">
        <f>IF(K311="Wirksam",SUM(G311:H311)-I311,IF(K311="","","n.a."))</f>
        <v/>
      </c>
    </row>
    <row r="312">
      <c r="K312">
        <f>IF(COUNTA(C312:J312)=0,"",IF(OR(C312&lt;&gt;'[Steuerung.xlsx]Steuerung'!$F$6,D312&lt;1,D312&gt;12),"Periode prüfen",IF(D312&lt;='[Steuerung.xlsx]Steuerung'!$F$8,"IST gesperrt",IF(OR(E312="",F312="",COUNT(G312:I312)&lt;&gt;3),"Angaben fehlen","Wirksam"))))</f>
        <v/>
      </c>
      <c r="L312">
        <f>IF(K312="Wirksam",SUM(G312:H312)-I312,IF(K312="","","n.a."))</f>
        <v/>
      </c>
    </row>
    <row r="313">
      <c r="K313">
        <f>IF(COUNTA(C313:J313)=0,"",IF(OR(C313&lt;&gt;'[Steuerung.xlsx]Steuerung'!$F$6,D313&lt;1,D313&gt;12),"Periode prüfen",IF(D313&lt;='[Steuerung.xlsx]Steuerung'!$F$8,"IST gesperrt",IF(OR(E313="",F313="",COUNT(G313:I313)&lt;&gt;3),"Angaben fehlen","Wirksam"))))</f>
        <v/>
      </c>
      <c r="L313">
        <f>IF(K313="Wirksam",SUM(G313:H313)-I313,IF(K313="","","n.a."))</f>
        <v/>
      </c>
    </row>
    <row r="314">
      <c r="K314">
        <f>IF(COUNTA(C314:J314)=0,"",IF(OR(C314&lt;&gt;'[Steuerung.xlsx]Steuerung'!$F$6,D314&lt;1,D314&gt;12),"Periode prüfen",IF(D314&lt;='[Steuerung.xlsx]Steuerung'!$F$8,"IST gesperrt",IF(OR(E314="",F314="",COUNT(G314:I314)&lt;&gt;3),"Angaben fehlen","Wirksam"))))</f>
        <v/>
      </c>
      <c r="L314">
        <f>IF(K314="Wirksam",SUM(G314:H314)-I314,IF(K314="","","n.a."))</f>
        <v/>
      </c>
    </row>
    <row r="315">
      <c r="K315">
        <f>IF(COUNTA(C315:J315)=0,"",IF(OR(C315&lt;&gt;'[Steuerung.xlsx]Steuerung'!$F$6,D315&lt;1,D315&gt;12),"Periode prüfen",IF(D315&lt;='[Steuerung.xlsx]Steuerung'!$F$8,"IST gesperrt",IF(OR(E315="",F315="",COUNT(G315:I315)&lt;&gt;3),"Angaben fehlen","Wirksam"))))</f>
        <v/>
      </c>
      <c r="L315">
        <f>IF(K315="Wirksam",SUM(G315:H315)-I315,IF(K315="","","n.a."))</f>
        <v/>
      </c>
    </row>
    <row r="316">
      <c r="K316">
        <f>IF(COUNTA(C316:J316)=0,"",IF(OR(C316&lt;&gt;'[Steuerung.xlsx]Steuerung'!$F$6,D316&lt;1,D316&gt;12),"Periode prüfen",IF(D316&lt;='[Steuerung.xlsx]Steuerung'!$F$8,"IST gesperrt",IF(OR(E316="",F316="",COUNT(G316:I316)&lt;&gt;3),"Angaben fehlen","Wirksam"))))</f>
        <v/>
      </c>
      <c r="L316">
        <f>IF(K316="Wirksam",SUM(G316:H316)-I316,IF(K316="","","n.a."))</f>
        <v/>
      </c>
    </row>
    <row r="317">
      <c r="K317">
        <f>IF(COUNTA(C317:J317)=0,"",IF(OR(C317&lt;&gt;'[Steuerung.xlsx]Steuerung'!$F$6,D317&lt;1,D317&gt;12),"Periode prüfen",IF(D317&lt;='[Steuerung.xlsx]Steuerung'!$F$8,"IST gesperrt",IF(OR(E317="",F317="",COUNT(G317:I317)&lt;&gt;3),"Angaben fehlen","Wirksam"))))</f>
        <v/>
      </c>
      <c r="L317">
        <f>IF(K317="Wirksam",SUM(G317:H317)-I317,IF(K317="","","n.a."))</f>
        <v/>
      </c>
    </row>
    <row r="318">
      <c r="K318">
        <f>IF(COUNTA(C318:J318)=0,"",IF(OR(C318&lt;&gt;'[Steuerung.xlsx]Steuerung'!$F$6,D318&lt;1,D318&gt;12),"Periode prüfen",IF(D318&lt;='[Steuerung.xlsx]Steuerung'!$F$8,"IST gesperrt",IF(OR(E318="",F318="",COUNT(G318:I318)&lt;&gt;3),"Angaben fehlen","Wirksam"))))</f>
        <v/>
      </c>
      <c r="L318">
        <f>IF(K318="Wirksam",SUM(G318:H318)-I318,IF(K318="","","n.a."))</f>
        <v/>
      </c>
    </row>
    <row r="319">
      <c r="K319">
        <f>IF(COUNTA(C319:J319)=0,"",IF(OR(C319&lt;&gt;'[Steuerung.xlsx]Steuerung'!$F$6,D319&lt;1,D319&gt;12),"Periode prüfen",IF(D319&lt;='[Steuerung.xlsx]Steuerung'!$F$8,"IST gesperrt",IF(OR(E319="",F319="",COUNT(G319:I319)&lt;&gt;3),"Angaben fehlen","Wirksam"))))</f>
        <v/>
      </c>
      <c r="L319">
        <f>IF(K319="Wirksam",SUM(G319:H319)-I319,IF(K319="","","n.a."))</f>
        <v/>
      </c>
    </row>
    <row r="320">
      <c r="K320">
        <f>IF(COUNTA(C320:J320)=0,"",IF(OR(C320&lt;&gt;'[Steuerung.xlsx]Steuerung'!$F$6,D320&lt;1,D320&gt;12),"Periode prüfen",IF(D320&lt;='[Steuerung.xlsx]Steuerung'!$F$8,"IST gesperrt",IF(OR(E320="",F320="",COUNT(G320:I320)&lt;&gt;3),"Angaben fehlen","Wirksam"))))</f>
        <v/>
      </c>
      <c r="L320">
        <f>IF(K320="Wirksam",SUM(G320:H320)-I320,IF(K320="","","n.a."))</f>
        <v/>
      </c>
    </row>
    <row r="321">
      <c r="K321">
        <f>IF(COUNTA(C321:J321)=0,"",IF(OR(C321&lt;&gt;'[Steuerung.xlsx]Steuerung'!$F$6,D321&lt;1,D321&gt;12),"Periode prüfen",IF(D321&lt;='[Steuerung.xlsx]Steuerung'!$F$8,"IST gesperrt",IF(OR(E321="",F321="",COUNT(G321:I321)&lt;&gt;3),"Angaben fehlen","Wirksam"))))</f>
        <v/>
      </c>
      <c r="L321">
        <f>IF(K321="Wirksam",SUM(G321:H321)-I321,IF(K321="","","n.a."))</f>
        <v/>
      </c>
    </row>
    <row r="322">
      <c r="K322">
        <f>IF(COUNTA(C322:J322)=0,"",IF(OR(C322&lt;&gt;'[Steuerung.xlsx]Steuerung'!$F$6,D322&lt;1,D322&gt;12),"Periode prüfen",IF(D322&lt;='[Steuerung.xlsx]Steuerung'!$F$8,"IST gesperrt",IF(OR(E322="",F322="",COUNT(G322:I322)&lt;&gt;3),"Angaben fehlen","Wirksam"))))</f>
        <v/>
      </c>
      <c r="L322">
        <f>IF(K322="Wirksam",SUM(G322:H322)-I322,IF(K322="","","n.a."))</f>
        <v/>
      </c>
    </row>
    <row r="323">
      <c r="K323">
        <f>IF(COUNTA(C323:J323)=0,"",IF(OR(C323&lt;&gt;'[Steuerung.xlsx]Steuerung'!$F$6,D323&lt;1,D323&gt;12),"Periode prüfen",IF(D323&lt;='[Steuerung.xlsx]Steuerung'!$F$8,"IST gesperrt",IF(OR(E323="",F323="",COUNT(G323:I323)&lt;&gt;3),"Angaben fehlen","Wirksam"))))</f>
        <v/>
      </c>
      <c r="L323">
        <f>IF(K323="Wirksam",SUM(G323:H323)-I323,IF(K323="","","n.a."))</f>
        <v/>
      </c>
    </row>
    <row r="324">
      <c r="K324">
        <f>IF(COUNTA(C324:J324)=0,"",IF(OR(C324&lt;&gt;'[Steuerung.xlsx]Steuerung'!$F$6,D324&lt;1,D324&gt;12),"Periode prüfen",IF(D324&lt;='[Steuerung.xlsx]Steuerung'!$F$8,"IST gesperrt",IF(OR(E324="",F324="",COUNT(G324:I324)&lt;&gt;3),"Angaben fehlen","Wirksam"))))</f>
        <v/>
      </c>
      <c r="L324">
        <f>IF(K324="Wirksam",SUM(G324:H324)-I324,IF(K324="","","n.a."))</f>
        <v/>
      </c>
    </row>
    <row r="325">
      <c r="K325">
        <f>IF(COUNTA(C325:J325)=0,"",IF(OR(C325&lt;&gt;'[Steuerung.xlsx]Steuerung'!$F$6,D325&lt;1,D325&gt;12),"Periode prüfen",IF(D325&lt;='[Steuerung.xlsx]Steuerung'!$F$8,"IST gesperrt",IF(OR(E325="",F325="",COUNT(G325:I325)&lt;&gt;3),"Angaben fehlen","Wirksam"))))</f>
        <v/>
      </c>
      <c r="L325">
        <f>IF(K325="Wirksam",SUM(G325:H325)-I325,IF(K325="","","n.a."))</f>
        <v/>
      </c>
    </row>
    <row r="326">
      <c r="K326">
        <f>IF(COUNTA(C326:J326)=0,"",IF(OR(C326&lt;&gt;'[Steuerung.xlsx]Steuerung'!$F$6,D326&lt;1,D326&gt;12),"Periode prüfen",IF(D326&lt;='[Steuerung.xlsx]Steuerung'!$F$8,"IST gesperrt",IF(OR(E326="",F326="",COUNT(G326:I326)&lt;&gt;3),"Angaben fehlen","Wirksam"))))</f>
        <v/>
      </c>
      <c r="L326">
        <f>IF(K326="Wirksam",SUM(G326:H326)-I326,IF(K326="","","n.a."))</f>
        <v/>
      </c>
    </row>
    <row r="327">
      <c r="K327">
        <f>IF(COUNTA(C327:J327)=0,"",IF(OR(C327&lt;&gt;'[Steuerung.xlsx]Steuerung'!$F$6,D327&lt;1,D327&gt;12),"Periode prüfen",IF(D327&lt;='[Steuerung.xlsx]Steuerung'!$F$8,"IST gesperrt",IF(OR(E327="",F327="",COUNT(G327:I327)&lt;&gt;3),"Angaben fehlen","Wirksam"))))</f>
        <v/>
      </c>
      <c r="L327">
        <f>IF(K327="Wirksam",SUM(G327:H327)-I327,IF(K327="","","n.a."))</f>
        <v/>
      </c>
    </row>
    <row r="328">
      <c r="K328">
        <f>IF(COUNTA(C328:J328)=0,"",IF(OR(C328&lt;&gt;'[Steuerung.xlsx]Steuerung'!$F$6,D328&lt;1,D328&gt;12),"Periode prüfen",IF(D328&lt;='[Steuerung.xlsx]Steuerung'!$F$8,"IST gesperrt",IF(OR(E328="",F328="",COUNT(G328:I328)&lt;&gt;3),"Angaben fehlen","Wirksam"))))</f>
        <v/>
      </c>
      <c r="L328">
        <f>IF(K328="Wirksam",SUM(G328:H328)-I328,IF(K328="","","n.a."))</f>
        <v/>
      </c>
    </row>
    <row r="329">
      <c r="K329">
        <f>IF(COUNTA(C329:J329)=0,"",IF(OR(C329&lt;&gt;'[Steuerung.xlsx]Steuerung'!$F$6,D329&lt;1,D329&gt;12),"Periode prüfen",IF(D329&lt;='[Steuerung.xlsx]Steuerung'!$F$8,"IST gesperrt",IF(OR(E329="",F329="",COUNT(G329:I329)&lt;&gt;3),"Angaben fehlen","Wirksam"))))</f>
        <v/>
      </c>
      <c r="L329">
        <f>IF(K329="Wirksam",SUM(G329:H329)-I329,IF(K329="","","n.a."))</f>
        <v/>
      </c>
    </row>
    <row r="330">
      <c r="K330">
        <f>IF(COUNTA(C330:J330)=0,"",IF(OR(C330&lt;&gt;'[Steuerung.xlsx]Steuerung'!$F$6,D330&lt;1,D330&gt;12),"Periode prüfen",IF(D330&lt;='[Steuerung.xlsx]Steuerung'!$F$8,"IST gesperrt",IF(OR(E330="",F330="",COUNT(G330:I330)&lt;&gt;3),"Angaben fehlen","Wirksam"))))</f>
        <v/>
      </c>
      <c r="L330">
        <f>IF(K330="Wirksam",SUM(G330:H330)-I330,IF(K330="","","n.a."))</f>
        <v/>
      </c>
    </row>
    <row r="331">
      <c r="K331">
        <f>IF(COUNTA(C331:J331)=0,"",IF(OR(C331&lt;&gt;'[Steuerung.xlsx]Steuerung'!$F$6,D331&lt;1,D331&gt;12),"Periode prüfen",IF(D331&lt;='[Steuerung.xlsx]Steuerung'!$F$8,"IST gesperrt",IF(OR(E331="",F331="",COUNT(G331:I331)&lt;&gt;3),"Angaben fehlen","Wirksam"))))</f>
        <v/>
      </c>
      <c r="L331">
        <f>IF(K331="Wirksam",SUM(G331:H331)-I331,IF(K331="","","n.a."))</f>
        <v/>
      </c>
    </row>
    <row r="332">
      <c r="K332">
        <f>IF(COUNTA(C332:J332)=0,"",IF(OR(C332&lt;&gt;'[Steuerung.xlsx]Steuerung'!$F$6,D332&lt;1,D332&gt;12),"Periode prüfen",IF(D332&lt;='[Steuerung.xlsx]Steuerung'!$F$8,"IST gesperrt",IF(OR(E332="",F332="",COUNT(G332:I332)&lt;&gt;3),"Angaben fehlen","Wirksam"))))</f>
        <v/>
      </c>
      <c r="L332">
        <f>IF(K332="Wirksam",SUM(G332:H332)-I332,IF(K332="","","n.a."))</f>
        <v/>
      </c>
    </row>
    <row r="333">
      <c r="K333">
        <f>IF(COUNTA(C333:J333)=0,"",IF(OR(C333&lt;&gt;'[Steuerung.xlsx]Steuerung'!$F$6,D333&lt;1,D333&gt;12),"Periode prüfen",IF(D333&lt;='[Steuerung.xlsx]Steuerung'!$F$8,"IST gesperrt",IF(OR(E333="",F333="",COUNT(G333:I333)&lt;&gt;3),"Angaben fehlen","Wirksam"))))</f>
        <v/>
      </c>
      <c r="L333">
        <f>IF(K333="Wirksam",SUM(G333:H333)-I333,IF(K333="","","n.a."))</f>
        <v/>
      </c>
    </row>
    <row r="334">
      <c r="K334">
        <f>IF(COUNTA(C334:J334)=0,"",IF(OR(C334&lt;&gt;'[Steuerung.xlsx]Steuerung'!$F$6,D334&lt;1,D334&gt;12),"Periode prüfen",IF(D334&lt;='[Steuerung.xlsx]Steuerung'!$F$8,"IST gesperrt",IF(OR(E334="",F334="",COUNT(G334:I334)&lt;&gt;3),"Angaben fehlen","Wirksam"))))</f>
        <v/>
      </c>
      <c r="L334">
        <f>IF(K334="Wirksam",SUM(G334:H334)-I334,IF(K334="","","n.a."))</f>
        <v/>
      </c>
    </row>
    <row r="335">
      <c r="K335">
        <f>IF(COUNTA(C335:J335)=0,"",IF(OR(C335&lt;&gt;'[Steuerung.xlsx]Steuerung'!$F$6,D335&lt;1,D335&gt;12),"Periode prüfen",IF(D335&lt;='[Steuerung.xlsx]Steuerung'!$F$8,"IST gesperrt",IF(OR(E335="",F335="",COUNT(G335:I335)&lt;&gt;3),"Angaben fehlen","Wirksam"))))</f>
        <v/>
      </c>
      <c r="L335">
        <f>IF(K335="Wirksam",SUM(G335:H335)-I335,IF(K335="","","n.a."))</f>
        <v/>
      </c>
    </row>
    <row r="336">
      <c r="K336">
        <f>IF(COUNTA(C336:J336)=0,"",IF(OR(C336&lt;&gt;'[Steuerung.xlsx]Steuerung'!$F$6,D336&lt;1,D336&gt;12),"Periode prüfen",IF(D336&lt;='[Steuerung.xlsx]Steuerung'!$F$8,"IST gesperrt",IF(OR(E336="",F336="",COUNT(G336:I336)&lt;&gt;3),"Angaben fehlen","Wirksam"))))</f>
        <v/>
      </c>
      <c r="L336">
        <f>IF(K336="Wirksam",SUM(G336:H336)-I336,IF(K336="","","n.a."))</f>
        <v/>
      </c>
    </row>
    <row r="337">
      <c r="K337">
        <f>IF(COUNTA(C337:J337)=0,"",IF(OR(C337&lt;&gt;'[Steuerung.xlsx]Steuerung'!$F$6,D337&lt;1,D337&gt;12),"Periode prüfen",IF(D337&lt;='[Steuerung.xlsx]Steuerung'!$F$8,"IST gesperrt",IF(OR(E337="",F337="",COUNT(G337:I337)&lt;&gt;3),"Angaben fehlen","Wirksam"))))</f>
        <v/>
      </c>
      <c r="L337">
        <f>IF(K337="Wirksam",SUM(G337:H337)-I337,IF(K337="","","n.a."))</f>
        <v/>
      </c>
    </row>
    <row r="338">
      <c r="K338">
        <f>IF(COUNTA(C338:J338)=0,"",IF(OR(C338&lt;&gt;'[Steuerung.xlsx]Steuerung'!$F$6,D338&lt;1,D338&gt;12),"Periode prüfen",IF(D338&lt;='[Steuerung.xlsx]Steuerung'!$F$8,"IST gesperrt",IF(OR(E338="",F338="",COUNT(G338:I338)&lt;&gt;3),"Angaben fehlen","Wirksam"))))</f>
        <v/>
      </c>
      <c r="L338">
        <f>IF(K338="Wirksam",SUM(G338:H338)-I338,IF(K338="","","n.a."))</f>
        <v/>
      </c>
    </row>
    <row r="339">
      <c r="K339">
        <f>IF(COUNTA(C339:J339)=0,"",IF(OR(C339&lt;&gt;'[Steuerung.xlsx]Steuerung'!$F$6,D339&lt;1,D339&gt;12),"Periode prüfen",IF(D339&lt;='[Steuerung.xlsx]Steuerung'!$F$8,"IST gesperrt",IF(OR(E339="",F339="",COUNT(G339:I339)&lt;&gt;3),"Angaben fehlen","Wirksam"))))</f>
        <v/>
      </c>
      <c r="L339">
        <f>IF(K339="Wirksam",SUM(G339:H339)-I339,IF(K339="","","n.a."))</f>
        <v/>
      </c>
    </row>
    <row r="340">
      <c r="K340">
        <f>IF(COUNTA(C340:J340)=0,"",IF(OR(C340&lt;&gt;'[Steuerung.xlsx]Steuerung'!$F$6,D340&lt;1,D340&gt;12),"Periode prüfen",IF(D340&lt;='[Steuerung.xlsx]Steuerung'!$F$8,"IST gesperrt",IF(OR(E340="",F340="",COUNT(G340:I340)&lt;&gt;3),"Angaben fehlen","Wirksam"))))</f>
        <v/>
      </c>
      <c r="L340">
        <f>IF(K340="Wirksam",SUM(G340:H340)-I340,IF(K340="","","n.a."))</f>
        <v/>
      </c>
    </row>
    <row r="341">
      <c r="K341">
        <f>IF(COUNTA(C341:J341)=0,"",IF(OR(C341&lt;&gt;'[Steuerung.xlsx]Steuerung'!$F$6,D341&lt;1,D341&gt;12),"Periode prüfen",IF(D341&lt;='[Steuerung.xlsx]Steuerung'!$F$8,"IST gesperrt",IF(OR(E341="",F341="",COUNT(G341:I341)&lt;&gt;3),"Angaben fehlen","Wirksam"))))</f>
        <v/>
      </c>
      <c r="L341">
        <f>IF(K341="Wirksam",SUM(G341:H341)-I341,IF(K341="","","n.a."))</f>
        <v/>
      </c>
    </row>
    <row r="342">
      <c r="K342">
        <f>IF(COUNTA(C342:J342)=0,"",IF(OR(C342&lt;&gt;'[Steuerung.xlsx]Steuerung'!$F$6,D342&lt;1,D342&gt;12),"Periode prüfen",IF(D342&lt;='[Steuerung.xlsx]Steuerung'!$F$8,"IST gesperrt",IF(OR(E342="",F342="",COUNT(G342:I342)&lt;&gt;3),"Angaben fehlen","Wirksam"))))</f>
        <v/>
      </c>
      <c r="L342">
        <f>IF(K342="Wirksam",SUM(G342:H342)-I342,IF(K342="","","n.a."))</f>
        <v/>
      </c>
    </row>
    <row r="343">
      <c r="K343">
        <f>IF(COUNTA(C343:J343)=0,"",IF(OR(C343&lt;&gt;'[Steuerung.xlsx]Steuerung'!$F$6,D343&lt;1,D343&gt;12),"Periode prüfen",IF(D343&lt;='[Steuerung.xlsx]Steuerung'!$F$8,"IST gesperrt",IF(OR(E343="",F343="",COUNT(G343:I343)&lt;&gt;3),"Angaben fehlen","Wirksam"))))</f>
        <v/>
      </c>
      <c r="L343">
        <f>IF(K343="Wirksam",SUM(G343:H343)-I343,IF(K343="","","n.a."))</f>
        <v/>
      </c>
    </row>
    <row r="344">
      <c r="K344">
        <f>IF(COUNTA(C344:J344)=0,"",IF(OR(C344&lt;&gt;'[Steuerung.xlsx]Steuerung'!$F$6,D344&lt;1,D344&gt;12),"Periode prüfen",IF(D344&lt;='[Steuerung.xlsx]Steuerung'!$F$8,"IST gesperrt",IF(OR(E344="",F344="",COUNT(G344:I344)&lt;&gt;3),"Angaben fehlen","Wirksam"))))</f>
        <v/>
      </c>
      <c r="L344">
        <f>IF(K344="Wirksam",SUM(G344:H344)-I344,IF(K344="","","n.a."))</f>
        <v/>
      </c>
    </row>
    <row r="345">
      <c r="K345">
        <f>IF(COUNTA(C345:J345)=0,"",IF(OR(C345&lt;&gt;'[Steuerung.xlsx]Steuerung'!$F$6,D345&lt;1,D345&gt;12),"Periode prüfen",IF(D345&lt;='[Steuerung.xlsx]Steuerung'!$F$8,"IST gesperrt",IF(OR(E345="",F345="",COUNT(G345:I345)&lt;&gt;3),"Angaben fehlen","Wirksam"))))</f>
        <v/>
      </c>
      <c r="L345">
        <f>IF(K345="Wirksam",SUM(G345:H345)-I345,IF(K345="","","n.a."))</f>
        <v/>
      </c>
    </row>
    <row r="346">
      <c r="K346">
        <f>IF(COUNTA(C346:J346)=0,"",IF(OR(C346&lt;&gt;'[Steuerung.xlsx]Steuerung'!$F$6,D346&lt;1,D346&gt;12),"Periode prüfen",IF(D346&lt;='[Steuerung.xlsx]Steuerung'!$F$8,"IST gesperrt",IF(OR(E346="",F346="",COUNT(G346:I346)&lt;&gt;3),"Angaben fehlen","Wirksam"))))</f>
        <v/>
      </c>
      <c r="L346">
        <f>IF(K346="Wirksam",SUM(G346:H346)-I346,IF(K346="","","n.a."))</f>
        <v/>
      </c>
    </row>
    <row r="347">
      <c r="K347">
        <f>IF(COUNTA(C347:J347)=0,"",IF(OR(C347&lt;&gt;'[Steuerung.xlsx]Steuerung'!$F$6,D347&lt;1,D347&gt;12),"Periode prüfen",IF(D347&lt;='[Steuerung.xlsx]Steuerung'!$F$8,"IST gesperrt",IF(OR(E347="",F347="",COUNT(G347:I347)&lt;&gt;3),"Angaben fehlen","Wirksam"))))</f>
        <v/>
      </c>
      <c r="L347">
        <f>IF(K347="Wirksam",SUM(G347:H347)-I347,IF(K347="","","n.a."))</f>
        <v/>
      </c>
    </row>
    <row r="348">
      <c r="K348">
        <f>IF(COUNTA(C348:J348)=0,"",IF(OR(C348&lt;&gt;'[Steuerung.xlsx]Steuerung'!$F$6,D348&lt;1,D348&gt;12),"Periode prüfen",IF(D348&lt;='[Steuerung.xlsx]Steuerung'!$F$8,"IST gesperrt",IF(OR(E348="",F348="",COUNT(G348:I348)&lt;&gt;3),"Angaben fehlen","Wirksam"))))</f>
        <v/>
      </c>
      <c r="L348">
        <f>IF(K348="Wirksam",SUM(G348:H348)-I348,IF(K348="","","n.a."))</f>
        <v/>
      </c>
    </row>
    <row r="349">
      <c r="K349">
        <f>IF(COUNTA(C349:J349)=0,"",IF(OR(C349&lt;&gt;'[Steuerung.xlsx]Steuerung'!$F$6,D349&lt;1,D349&gt;12),"Periode prüfen",IF(D349&lt;='[Steuerung.xlsx]Steuerung'!$F$8,"IST gesperrt",IF(OR(E349="",F349="",COUNT(G349:I349)&lt;&gt;3),"Angaben fehlen","Wirksam"))))</f>
        <v/>
      </c>
      <c r="L349">
        <f>IF(K349="Wirksam",SUM(G349:H349)-I349,IF(K349="","","n.a."))</f>
        <v/>
      </c>
    </row>
    <row r="350">
      <c r="K350">
        <f>IF(COUNTA(C350:J350)=0,"",IF(OR(C350&lt;&gt;'[Steuerung.xlsx]Steuerung'!$F$6,D350&lt;1,D350&gt;12),"Periode prüfen",IF(D350&lt;='[Steuerung.xlsx]Steuerung'!$F$8,"IST gesperrt",IF(OR(E350="",F350="",COUNT(G350:I350)&lt;&gt;3),"Angaben fehlen","Wirksam"))))</f>
        <v/>
      </c>
      <c r="L350">
        <f>IF(K350="Wirksam",SUM(G350:H350)-I350,IF(K350="","","n.a."))</f>
        <v/>
      </c>
    </row>
    <row r="351">
      <c r="K351">
        <f>IF(COUNTA(C351:J351)=0,"",IF(OR(C351&lt;&gt;'[Steuerung.xlsx]Steuerung'!$F$6,D351&lt;1,D351&gt;12),"Periode prüfen",IF(D351&lt;='[Steuerung.xlsx]Steuerung'!$F$8,"IST gesperrt",IF(OR(E351="",F351="",COUNT(G351:I351)&lt;&gt;3),"Angaben fehlen","Wirksam"))))</f>
        <v/>
      </c>
      <c r="L351">
        <f>IF(K351="Wirksam",SUM(G351:H351)-I351,IF(K351="","","n.a."))</f>
        <v/>
      </c>
    </row>
    <row r="352">
      <c r="K352">
        <f>IF(COUNTA(C352:J352)=0,"",IF(OR(C352&lt;&gt;'[Steuerung.xlsx]Steuerung'!$F$6,D352&lt;1,D352&gt;12),"Periode prüfen",IF(D352&lt;='[Steuerung.xlsx]Steuerung'!$F$8,"IST gesperrt",IF(OR(E352="",F352="",COUNT(G352:I352)&lt;&gt;3),"Angaben fehlen","Wirksam"))))</f>
        <v/>
      </c>
      <c r="L352">
        <f>IF(K352="Wirksam",SUM(G352:H352)-I352,IF(K352="","","n.a."))</f>
        <v/>
      </c>
    </row>
    <row r="353">
      <c r="K353">
        <f>IF(COUNTA(C353:J353)=0,"",IF(OR(C353&lt;&gt;'[Steuerung.xlsx]Steuerung'!$F$6,D353&lt;1,D353&gt;12),"Periode prüfen",IF(D353&lt;='[Steuerung.xlsx]Steuerung'!$F$8,"IST gesperrt",IF(OR(E353="",F353="",COUNT(G353:I353)&lt;&gt;3),"Angaben fehlen","Wirksam"))))</f>
        <v/>
      </c>
      <c r="L353">
        <f>IF(K353="Wirksam",SUM(G353:H353)-I353,IF(K353="","","n.a."))</f>
        <v/>
      </c>
    </row>
    <row r="354">
      <c r="K354">
        <f>IF(COUNTA(C354:J354)=0,"",IF(OR(C354&lt;&gt;'[Steuerung.xlsx]Steuerung'!$F$6,D354&lt;1,D354&gt;12),"Periode prüfen",IF(D354&lt;='[Steuerung.xlsx]Steuerung'!$F$8,"IST gesperrt",IF(OR(E354="",F354="",COUNT(G354:I354)&lt;&gt;3),"Angaben fehlen","Wirksam"))))</f>
        <v/>
      </c>
      <c r="L354">
        <f>IF(K354="Wirksam",SUM(G354:H354)-I354,IF(K354="","","n.a."))</f>
        <v/>
      </c>
    </row>
    <row r="355">
      <c r="K355">
        <f>IF(COUNTA(C355:J355)=0,"",IF(OR(C355&lt;&gt;'[Steuerung.xlsx]Steuerung'!$F$6,D355&lt;1,D355&gt;12),"Periode prüfen",IF(D355&lt;='[Steuerung.xlsx]Steuerung'!$F$8,"IST gesperrt",IF(OR(E355="",F355="",COUNT(G355:I355)&lt;&gt;3),"Angaben fehlen","Wirksam"))))</f>
        <v/>
      </c>
      <c r="L355">
        <f>IF(K355="Wirksam",SUM(G355:H355)-I355,IF(K355="","","n.a."))</f>
        <v/>
      </c>
    </row>
    <row r="356">
      <c r="K356">
        <f>IF(COUNTA(C356:J356)=0,"",IF(OR(C356&lt;&gt;'[Steuerung.xlsx]Steuerung'!$F$6,D356&lt;1,D356&gt;12),"Periode prüfen",IF(D356&lt;='[Steuerung.xlsx]Steuerung'!$F$8,"IST gesperrt",IF(OR(E356="",F356="",COUNT(G356:I356)&lt;&gt;3),"Angaben fehlen","Wirksam"))))</f>
        <v/>
      </c>
      <c r="L356">
        <f>IF(K356="Wirksam",SUM(G356:H356)-I356,IF(K356="","","n.a."))</f>
        <v/>
      </c>
    </row>
    <row r="357">
      <c r="K357">
        <f>IF(COUNTA(C357:J357)=0,"",IF(OR(C357&lt;&gt;'[Steuerung.xlsx]Steuerung'!$F$6,D357&lt;1,D357&gt;12),"Periode prüfen",IF(D357&lt;='[Steuerung.xlsx]Steuerung'!$F$8,"IST gesperrt",IF(OR(E357="",F357="",COUNT(G357:I357)&lt;&gt;3),"Angaben fehlen","Wirksam"))))</f>
        <v/>
      </c>
      <c r="L357">
        <f>IF(K357="Wirksam",SUM(G357:H357)-I357,IF(K357="","","n.a."))</f>
        <v/>
      </c>
    </row>
    <row r="358">
      <c r="K358">
        <f>IF(COUNTA(C358:J358)=0,"",IF(OR(C358&lt;&gt;'[Steuerung.xlsx]Steuerung'!$F$6,D358&lt;1,D358&gt;12),"Periode prüfen",IF(D358&lt;='[Steuerung.xlsx]Steuerung'!$F$8,"IST gesperrt",IF(OR(E358="",F358="",COUNT(G358:I358)&lt;&gt;3),"Angaben fehlen","Wirksam"))))</f>
        <v/>
      </c>
      <c r="L358">
        <f>IF(K358="Wirksam",SUM(G358:H358)-I358,IF(K358="","","n.a."))</f>
        <v/>
      </c>
    </row>
    <row r="359">
      <c r="K359">
        <f>IF(COUNTA(C359:J359)=0,"",IF(OR(C359&lt;&gt;'[Steuerung.xlsx]Steuerung'!$F$6,D359&lt;1,D359&gt;12),"Periode prüfen",IF(D359&lt;='[Steuerung.xlsx]Steuerung'!$F$8,"IST gesperrt",IF(OR(E359="",F359="",COUNT(G359:I359)&lt;&gt;3),"Angaben fehlen","Wirksam"))))</f>
        <v/>
      </c>
      <c r="L359">
        <f>IF(K359="Wirksam",SUM(G359:H359)-I359,IF(K359="","","n.a."))</f>
        <v/>
      </c>
    </row>
    <row r="360">
      <c r="K360">
        <f>IF(COUNTA(C360:J360)=0,"",IF(OR(C360&lt;&gt;'[Steuerung.xlsx]Steuerung'!$F$6,D360&lt;1,D360&gt;12),"Periode prüfen",IF(D360&lt;='[Steuerung.xlsx]Steuerung'!$F$8,"IST gesperrt",IF(OR(E360="",F360="",COUNT(G360:I360)&lt;&gt;3),"Angaben fehlen","Wirksam"))))</f>
        <v/>
      </c>
      <c r="L360">
        <f>IF(K360="Wirksam",SUM(G360:H360)-I360,IF(K360="","","n.a."))</f>
        <v/>
      </c>
    </row>
    <row r="361">
      <c r="K361">
        <f>IF(COUNTA(C361:J361)=0,"",IF(OR(C361&lt;&gt;'[Steuerung.xlsx]Steuerung'!$F$6,D361&lt;1,D361&gt;12),"Periode prüfen",IF(D361&lt;='[Steuerung.xlsx]Steuerung'!$F$8,"IST gesperrt",IF(OR(E361="",F361="",COUNT(G361:I361)&lt;&gt;3),"Angaben fehlen","Wirksam"))))</f>
        <v/>
      </c>
      <c r="L361">
        <f>IF(K361="Wirksam",SUM(G361:H361)-I361,IF(K361="","","n.a."))</f>
        <v/>
      </c>
    </row>
    <row r="362">
      <c r="K362">
        <f>IF(COUNTA(C362:J362)=0,"",IF(OR(C362&lt;&gt;'[Steuerung.xlsx]Steuerung'!$F$6,D362&lt;1,D362&gt;12),"Periode prüfen",IF(D362&lt;='[Steuerung.xlsx]Steuerung'!$F$8,"IST gesperrt",IF(OR(E362="",F362="",COUNT(G362:I362)&lt;&gt;3),"Angaben fehlen","Wirksam"))))</f>
        <v/>
      </c>
      <c r="L362">
        <f>IF(K362="Wirksam",SUM(G362:H362)-I362,IF(K362="","","n.a."))</f>
        <v/>
      </c>
    </row>
    <row r="363">
      <c r="K363">
        <f>IF(COUNTA(C363:J363)=0,"",IF(OR(C363&lt;&gt;'[Steuerung.xlsx]Steuerung'!$F$6,D363&lt;1,D363&gt;12),"Periode prüfen",IF(D363&lt;='[Steuerung.xlsx]Steuerung'!$F$8,"IST gesperrt",IF(OR(E363="",F363="",COUNT(G363:I363)&lt;&gt;3),"Angaben fehlen","Wirksam"))))</f>
        <v/>
      </c>
      <c r="L363">
        <f>IF(K363="Wirksam",SUM(G363:H363)-I363,IF(K363="","","n.a."))</f>
        <v/>
      </c>
    </row>
    <row r="364">
      <c r="K364">
        <f>IF(COUNTA(C364:J364)=0,"",IF(OR(C364&lt;&gt;'[Steuerung.xlsx]Steuerung'!$F$6,D364&lt;1,D364&gt;12),"Periode prüfen",IF(D364&lt;='[Steuerung.xlsx]Steuerung'!$F$8,"IST gesperrt",IF(OR(E364="",F364="",COUNT(G364:I364)&lt;&gt;3),"Angaben fehlen","Wirksam"))))</f>
        <v/>
      </c>
      <c r="L364">
        <f>IF(K364="Wirksam",SUM(G364:H364)-I364,IF(K364="","","n.a."))</f>
        <v/>
      </c>
    </row>
    <row r="365">
      <c r="K365">
        <f>IF(COUNTA(C365:J365)=0,"",IF(OR(C365&lt;&gt;'[Steuerung.xlsx]Steuerung'!$F$6,D365&lt;1,D365&gt;12),"Periode prüfen",IF(D365&lt;='[Steuerung.xlsx]Steuerung'!$F$8,"IST gesperrt",IF(OR(E365="",F365="",COUNT(G365:I365)&lt;&gt;3),"Angaben fehlen","Wirksam"))))</f>
        <v/>
      </c>
      <c r="L365">
        <f>IF(K365="Wirksam",SUM(G365:H365)-I365,IF(K365="","","n.a."))</f>
        <v/>
      </c>
    </row>
    <row r="366">
      <c r="K366">
        <f>IF(COUNTA(C366:J366)=0,"",IF(OR(C366&lt;&gt;'[Steuerung.xlsx]Steuerung'!$F$6,D366&lt;1,D366&gt;12),"Periode prüfen",IF(D366&lt;='[Steuerung.xlsx]Steuerung'!$F$8,"IST gesperrt",IF(OR(E366="",F366="",COUNT(G366:I366)&lt;&gt;3),"Angaben fehlen","Wirksam"))))</f>
        <v/>
      </c>
      <c r="L366">
        <f>IF(K366="Wirksam",SUM(G366:H366)-I366,IF(K366="","","n.a."))</f>
        <v/>
      </c>
    </row>
    <row r="367">
      <c r="K367">
        <f>IF(COUNTA(C367:J367)=0,"",IF(OR(C367&lt;&gt;'[Steuerung.xlsx]Steuerung'!$F$6,D367&lt;1,D367&gt;12),"Periode prüfen",IF(D367&lt;='[Steuerung.xlsx]Steuerung'!$F$8,"IST gesperrt",IF(OR(E367="",F367="",COUNT(G367:I367)&lt;&gt;3),"Angaben fehlen","Wirksam"))))</f>
        <v/>
      </c>
      <c r="L367">
        <f>IF(K367="Wirksam",SUM(G367:H367)-I367,IF(K367="","","n.a."))</f>
        <v/>
      </c>
    </row>
    <row r="368">
      <c r="K368">
        <f>IF(COUNTA(C368:J368)=0,"",IF(OR(C368&lt;&gt;'[Steuerung.xlsx]Steuerung'!$F$6,D368&lt;1,D368&gt;12),"Periode prüfen",IF(D368&lt;='[Steuerung.xlsx]Steuerung'!$F$8,"IST gesperrt",IF(OR(E368="",F368="",COUNT(G368:I368)&lt;&gt;3),"Angaben fehlen","Wirksam"))))</f>
        <v/>
      </c>
      <c r="L368">
        <f>IF(K368="Wirksam",SUM(G368:H368)-I368,IF(K368="","","n.a."))</f>
        <v/>
      </c>
    </row>
    <row r="369">
      <c r="K369">
        <f>IF(COUNTA(C369:J369)=0,"",IF(OR(C369&lt;&gt;'[Steuerung.xlsx]Steuerung'!$F$6,D369&lt;1,D369&gt;12),"Periode prüfen",IF(D369&lt;='[Steuerung.xlsx]Steuerung'!$F$8,"IST gesperrt",IF(OR(E369="",F369="",COUNT(G369:I369)&lt;&gt;3),"Angaben fehlen","Wirksam"))))</f>
        <v/>
      </c>
      <c r="L369">
        <f>IF(K369="Wirksam",SUM(G369:H369)-I369,IF(K369="","","n.a."))</f>
        <v/>
      </c>
    </row>
    <row r="370">
      <c r="K370">
        <f>IF(COUNTA(C370:J370)=0,"",IF(OR(C370&lt;&gt;'[Steuerung.xlsx]Steuerung'!$F$6,D370&lt;1,D370&gt;12),"Periode prüfen",IF(D370&lt;='[Steuerung.xlsx]Steuerung'!$F$8,"IST gesperrt",IF(OR(E370="",F370="",COUNT(G370:I370)&lt;&gt;3),"Angaben fehlen","Wirksam"))))</f>
        <v/>
      </c>
      <c r="L370">
        <f>IF(K370="Wirksam",SUM(G370:H370)-I370,IF(K370="","","n.a."))</f>
        <v/>
      </c>
    </row>
    <row r="371">
      <c r="K371">
        <f>IF(COUNTA(C371:J371)=0,"",IF(OR(C371&lt;&gt;'[Steuerung.xlsx]Steuerung'!$F$6,D371&lt;1,D371&gt;12),"Periode prüfen",IF(D371&lt;='[Steuerung.xlsx]Steuerung'!$F$8,"IST gesperrt",IF(OR(E371="",F371="",COUNT(G371:I371)&lt;&gt;3),"Angaben fehlen","Wirksam"))))</f>
        <v/>
      </c>
      <c r="L371">
        <f>IF(K371="Wirksam",SUM(G371:H371)-I371,IF(K371="","","n.a."))</f>
        <v/>
      </c>
    </row>
    <row r="372">
      <c r="K372">
        <f>IF(COUNTA(C372:J372)=0,"",IF(OR(C372&lt;&gt;'[Steuerung.xlsx]Steuerung'!$F$6,D372&lt;1,D372&gt;12),"Periode prüfen",IF(D372&lt;='[Steuerung.xlsx]Steuerung'!$F$8,"IST gesperrt",IF(OR(E372="",F372="",COUNT(G372:I372)&lt;&gt;3),"Angaben fehlen","Wirksam"))))</f>
        <v/>
      </c>
      <c r="L372">
        <f>IF(K372="Wirksam",SUM(G372:H372)-I372,IF(K372="","","n.a."))</f>
        <v/>
      </c>
    </row>
    <row r="373">
      <c r="K373">
        <f>IF(COUNTA(C373:J373)=0,"",IF(OR(C373&lt;&gt;'[Steuerung.xlsx]Steuerung'!$F$6,D373&lt;1,D373&gt;12),"Periode prüfen",IF(D373&lt;='[Steuerung.xlsx]Steuerung'!$F$8,"IST gesperrt",IF(OR(E373="",F373="",COUNT(G373:I373)&lt;&gt;3),"Angaben fehlen","Wirksam"))))</f>
        <v/>
      </c>
      <c r="L373">
        <f>IF(K373="Wirksam",SUM(G373:H373)-I373,IF(K373="","","n.a."))</f>
        <v/>
      </c>
    </row>
    <row r="374">
      <c r="K374">
        <f>IF(COUNTA(C374:J374)=0,"",IF(OR(C374&lt;&gt;'[Steuerung.xlsx]Steuerung'!$F$6,D374&lt;1,D374&gt;12),"Periode prüfen",IF(D374&lt;='[Steuerung.xlsx]Steuerung'!$F$8,"IST gesperrt",IF(OR(E374="",F374="",COUNT(G374:I374)&lt;&gt;3),"Angaben fehlen","Wirksam"))))</f>
        <v/>
      </c>
      <c r="L374">
        <f>IF(K374="Wirksam",SUM(G374:H374)-I374,IF(K374="","","n.a."))</f>
        <v/>
      </c>
    </row>
    <row r="375">
      <c r="K375">
        <f>IF(COUNTA(C375:J375)=0,"",IF(OR(C375&lt;&gt;'[Steuerung.xlsx]Steuerung'!$F$6,D375&lt;1,D375&gt;12),"Periode prüfen",IF(D375&lt;='[Steuerung.xlsx]Steuerung'!$F$8,"IST gesperrt",IF(OR(E375="",F375="",COUNT(G375:I375)&lt;&gt;3),"Angaben fehlen","Wirksam"))))</f>
        <v/>
      </c>
      <c r="L375">
        <f>IF(K375="Wirksam",SUM(G375:H375)-I375,IF(K375="","","n.a."))</f>
        <v/>
      </c>
    </row>
    <row r="376">
      <c r="K376">
        <f>IF(COUNTA(C376:J376)=0,"",IF(OR(C376&lt;&gt;'[Steuerung.xlsx]Steuerung'!$F$6,D376&lt;1,D376&gt;12),"Periode prüfen",IF(D376&lt;='[Steuerung.xlsx]Steuerung'!$F$8,"IST gesperrt",IF(OR(E376="",F376="",COUNT(G376:I376)&lt;&gt;3),"Angaben fehlen","Wirksam"))))</f>
        <v/>
      </c>
      <c r="L376">
        <f>IF(K376="Wirksam",SUM(G376:H376)-I376,IF(K376="","","n.a."))</f>
        <v/>
      </c>
    </row>
    <row r="377">
      <c r="K377">
        <f>IF(COUNTA(C377:J377)=0,"",IF(OR(C377&lt;&gt;'[Steuerung.xlsx]Steuerung'!$F$6,D377&lt;1,D377&gt;12),"Periode prüfen",IF(D377&lt;='[Steuerung.xlsx]Steuerung'!$F$8,"IST gesperrt",IF(OR(E377="",F377="",COUNT(G377:I377)&lt;&gt;3),"Angaben fehlen","Wirksam"))))</f>
        <v/>
      </c>
      <c r="L377">
        <f>IF(K377="Wirksam",SUM(G377:H377)-I377,IF(K377="","","n.a."))</f>
        <v/>
      </c>
    </row>
    <row r="378">
      <c r="K378">
        <f>IF(COUNTA(C378:J378)=0,"",IF(OR(C378&lt;&gt;'[Steuerung.xlsx]Steuerung'!$F$6,D378&lt;1,D378&gt;12),"Periode prüfen",IF(D378&lt;='[Steuerung.xlsx]Steuerung'!$F$8,"IST gesperrt",IF(OR(E378="",F378="",COUNT(G378:I378)&lt;&gt;3),"Angaben fehlen","Wirksam"))))</f>
        <v/>
      </c>
      <c r="L378">
        <f>IF(K378="Wirksam",SUM(G378:H378)-I378,IF(K378="","","n.a."))</f>
        <v/>
      </c>
    </row>
    <row r="379">
      <c r="K379">
        <f>IF(COUNTA(C379:J379)=0,"",IF(OR(C379&lt;&gt;'[Steuerung.xlsx]Steuerung'!$F$6,D379&lt;1,D379&gt;12),"Periode prüfen",IF(D379&lt;='[Steuerung.xlsx]Steuerung'!$F$8,"IST gesperrt",IF(OR(E379="",F379="",COUNT(G379:I379)&lt;&gt;3),"Angaben fehlen","Wirksam"))))</f>
        <v/>
      </c>
      <c r="L379">
        <f>IF(K379="Wirksam",SUM(G379:H379)-I379,IF(K379="","","n.a."))</f>
        <v/>
      </c>
    </row>
    <row r="380">
      <c r="K380">
        <f>IF(COUNTA(C380:J380)=0,"",IF(OR(C380&lt;&gt;'[Steuerung.xlsx]Steuerung'!$F$6,D380&lt;1,D380&gt;12),"Periode prüfen",IF(D380&lt;='[Steuerung.xlsx]Steuerung'!$F$8,"IST gesperrt",IF(OR(E380="",F380="",COUNT(G380:I380)&lt;&gt;3),"Angaben fehlen","Wirksam"))))</f>
        <v/>
      </c>
      <c r="L380">
        <f>IF(K380="Wirksam",SUM(G380:H380)-I380,IF(K380="","","n.a."))</f>
        <v/>
      </c>
    </row>
    <row r="381">
      <c r="K381">
        <f>IF(COUNTA(C381:J381)=0,"",IF(OR(C381&lt;&gt;'[Steuerung.xlsx]Steuerung'!$F$6,D381&lt;1,D381&gt;12),"Periode prüfen",IF(D381&lt;='[Steuerung.xlsx]Steuerung'!$F$8,"IST gesperrt",IF(OR(E381="",F381="",COUNT(G381:I381)&lt;&gt;3),"Angaben fehlen","Wirksam"))))</f>
        <v/>
      </c>
      <c r="L381">
        <f>IF(K381="Wirksam",SUM(G381:H381)-I381,IF(K381="","","n.a."))</f>
        <v/>
      </c>
    </row>
    <row r="382">
      <c r="K382">
        <f>IF(COUNTA(C382:J382)=0,"",IF(OR(C382&lt;&gt;'[Steuerung.xlsx]Steuerung'!$F$6,D382&lt;1,D382&gt;12),"Periode prüfen",IF(D382&lt;='[Steuerung.xlsx]Steuerung'!$F$8,"IST gesperrt",IF(OR(E382="",F382="",COUNT(G382:I382)&lt;&gt;3),"Angaben fehlen","Wirksam"))))</f>
        <v/>
      </c>
      <c r="L382">
        <f>IF(K382="Wirksam",SUM(G382:H382)-I382,IF(K382="","","n.a."))</f>
        <v/>
      </c>
    </row>
    <row r="383">
      <c r="K383">
        <f>IF(COUNTA(C383:J383)=0,"",IF(OR(C383&lt;&gt;'[Steuerung.xlsx]Steuerung'!$F$6,D383&lt;1,D383&gt;12),"Periode prüfen",IF(D383&lt;='[Steuerung.xlsx]Steuerung'!$F$8,"IST gesperrt",IF(OR(E383="",F383="",COUNT(G383:I383)&lt;&gt;3),"Angaben fehlen","Wirksam"))))</f>
        <v/>
      </c>
      <c r="L383">
        <f>IF(K383="Wirksam",SUM(G383:H383)-I383,IF(K383="","","n.a."))</f>
        <v/>
      </c>
    </row>
    <row r="384">
      <c r="K384">
        <f>IF(COUNTA(C384:J384)=0,"",IF(OR(C384&lt;&gt;'[Steuerung.xlsx]Steuerung'!$F$6,D384&lt;1,D384&gt;12),"Periode prüfen",IF(D384&lt;='[Steuerung.xlsx]Steuerung'!$F$8,"IST gesperrt",IF(OR(E384="",F384="",COUNT(G384:I384)&lt;&gt;3),"Angaben fehlen","Wirksam"))))</f>
        <v/>
      </c>
      <c r="L384">
        <f>IF(K384="Wirksam",SUM(G384:H384)-I384,IF(K384="","","n.a."))</f>
        <v/>
      </c>
    </row>
    <row r="385">
      <c r="K385">
        <f>IF(COUNTA(C385:J385)=0,"",IF(OR(C385&lt;&gt;'[Steuerung.xlsx]Steuerung'!$F$6,D385&lt;1,D385&gt;12),"Periode prüfen",IF(D385&lt;='[Steuerung.xlsx]Steuerung'!$F$8,"IST gesperrt",IF(OR(E385="",F385="",COUNT(G385:I385)&lt;&gt;3),"Angaben fehlen","Wirksam"))))</f>
        <v/>
      </c>
      <c r="L385">
        <f>IF(K385="Wirksam",SUM(G385:H385)-I385,IF(K385="","","n.a."))</f>
        <v/>
      </c>
    </row>
    <row r="386">
      <c r="K386">
        <f>IF(COUNTA(C386:J386)=0,"",IF(OR(C386&lt;&gt;'[Steuerung.xlsx]Steuerung'!$F$6,D386&lt;1,D386&gt;12),"Periode prüfen",IF(D386&lt;='[Steuerung.xlsx]Steuerung'!$F$8,"IST gesperrt",IF(OR(E386="",F386="",COUNT(G386:I386)&lt;&gt;3),"Angaben fehlen","Wirksam"))))</f>
        <v/>
      </c>
      <c r="L386">
        <f>IF(K386="Wirksam",SUM(G386:H386)-I386,IF(K386="","","n.a."))</f>
        <v/>
      </c>
    </row>
    <row r="387">
      <c r="K387">
        <f>IF(COUNTA(C387:J387)=0,"",IF(OR(C387&lt;&gt;'[Steuerung.xlsx]Steuerung'!$F$6,D387&lt;1,D387&gt;12),"Periode prüfen",IF(D387&lt;='[Steuerung.xlsx]Steuerung'!$F$8,"IST gesperrt",IF(OR(E387="",F387="",COUNT(G387:I387)&lt;&gt;3),"Angaben fehlen","Wirksam"))))</f>
        <v/>
      </c>
      <c r="L387">
        <f>IF(K387="Wirksam",SUM(G387:H387)-I387,IF(K387="","","n.a."))</f>
        <v/>
      </c>
    </row>
    <row r="388">
      <c r="K388">
        <f>IF(COUNTA(C388:J388)=0,"",IF(OR(C388&lt;&gt;'[Steuerung.xlsx]Steuerung'!$F$6,D388&lt;1,D388&gt;12),"Periode prüfen",IF(D388&lt;='[Steuerung.xlsx]Steuerung'!$F$8,"IST gesperrt",IF(OR(E388="",F388="",COUNT(G388:I388)&lt;&gt;3),"Angaben fehlen","Wirksam"))))</f>
        <v/>
      </c>
      <c r="L388">
        <f>IF(K388="Wirksam",SUM(G388:H388)-I388,IF(K388="","","n.a."))</f>
        <v/>
      </c>
    </row>
    <row r="389">
      <c r="K389">
        <f>IF(COUNTA(C389:J389)=0,"",IF(OR(C389&lt;&gt;'[Steuerung.xlsx]Steuerung'!$F$6,D389&lt;1,D389&gt;12),"Periode prüfen",IF(D389&lt;='[Steuerung.xlsx]Steuerung'!$F$8,"IST gesperrt",IF(OR(E389="",F389="",COUNT(G389:I389)&lt;&gt;3),"Angaben fehlen","Wirksam"))))</f>
        <v/>
      </c>
      <c r="L389">
        <f>IF(K389="Wirksam",SUM(G389:H389)-I389,IF(K389="","","n.a."))</f>
        <v/>
      </c>
    </row>
    <row r="390">
      <c r="K390">
        <f>IF(COUNTA(C390:J390)=0,"",IF(OR(C390&lt;&gt;'[Steuerung.xlsx]Steuerung'!$F$6,D390&lt;1,D390&gt;12),"Periode prüfen",IF(D390&lt;='[Steuerung.xlsx]Steuerung'!$F$8,"IST gesperrt",IF(OR(E390="",F390="",COUNT(G390:I390)&lt;&gt;3),"Angaben fehlen","Wirksam"))))</f>
        <v/>
      </c>
      <c r="L390">
        <f>IF(K390="Wirksam",SUM(G390:H390)-I390,IF(K390="","","n.a."))</f>
        <v/>
      </c>
    </row>
    <row r="391">
      <c r="K391">
        <f>IF(COUNTA(C391:J391)=0,"",IF(OR(C391&lt;&gt;'[Steuerung.xlsx]Steuerung'!$F$6,D391&lt;1,D391&gt;12),"Periode prüfen",IF(D391&lt;='[Steuerung.xlsx]Steuerung'!$F$8,"IST gesperrt",IF(OR(E391="",F391="",COUNT(G391:I391)&lt;&gt;3),"Angaben fehlen","Wirksam"))))</f>
        <v/>
      </c>
      <c r="L391">
        <f>IF(K391="Wirksam",SUM(G391:H391)-I391,IF(K391="","","n.a."))</f>
        <v/>
      </c>
    </row>
    <row r="392">
      <c r="K392">
        <f>IF(COUNTA(C392:J392)=0,"",IF(OR(C392&lt;&gt;'[Steuerung.xlsx]Steuerung'!$F$6,D392&lt;1,D392&gt;12),"Periode prüfen",IF(D392&lt;='[Steuerung.xlsx]Steuerung'!$F$8,"IST gesperrt",IF(OR(E392="",F392="",COUNT(G392:I392)&lt;&gt;3),"Angaben fehlen","Wirksam"))))</f>
        <v/>
      </c>
      <c r="L392">
        <f>IF(K392="Wirksam",SUM(G392:H392)-I392,IF(K392="","","n.a."))</f>
        <v/>
      </c>
    </row>
    <row r="393">
      <c r="K393">
        <f>IF(COUNTA(C393:J393)=0,"",IF(OR(C393&lt;&gt;'[Steuerung.xlsx]Steuerung'!$F$6,D393&lt;1,D393&gt;12),"Periode prüfen",IF(D393&lt;='[Steuerung.xlsx]Steuerung'!$F$8,"IST gesperrt",IF(OR(E393="",F393="",COUNT(G393:I393)&lt;&gt;3),"Angaben fehlen","Wirksam"))))</f>
        <v/>
      </c>
      <c r="L393">
        <f>IF(K393="Wirksam",SUM(G393:H393)-I393,IF(K393="","","n.a."))</f>
        <v/>
      </c>
    </row>
    <row r="394">
      <c r="K394">
        <f>IF(COUNTA(C394:J394)=0,"",IF(OR(C394&lt;&gt;'[Steuerung.xlsx]Steuerung'!$F$6,D394&lt;1,D394&gt;12),"Periode prüfen",IF(D394&lt;='[Steuerung.xlsx]Steuerung'!$F$8,"IST gesperrt",IF(OR(E394="",F394="",COUNT(G394:I394)&lt;&gt;3),"Angaben fehlen","Wirksam"))))</f>
        <v/>
      </c>
      <c r="L394">
        <f>IF(K394="Wirksam",SUM(G394:H394)-I394,IF(K394="","","n.a."))</f>
        <v/>
      </c>
    </row>
    <row r="395">
      <c r="K395">
        <f>IF(COUNTA(C395:J395)=0,"",IF(OR(C395&lt;&gt;'[Steuerung.xlsx]Steuerung'!$F$6,D395&lt;1,D395&gt;12),"Periode prüfen",IF(D395&lt;='[Steuerung.xlsx]Steuerung'!$F$8,"IST gesperrt",IF(OR(E395="",F395="",COUNT(G395:I395)&lt;&gt;3),"Angaben fehlen","Wirksam"))))</f>
        <v/>
      </c>
      <c r="L395">
        <f>IF(K395="Wirksam",SUM(G395:H395)-I395,IF(K395="","","n.a."))</f>
        <v/>
      </c>
    </row>
    <row r="396">
      <c r="K396">
        <f>IF(COUNTA(C396:J396)=0,"",IF(OR(C396&lt;&gt;'[Steuerung.xlsx]Steuerung'!$F$6,D396&lt;1,D396&gt;12),"Periode prüfen",IF(D396&lt;='[Steuerung.xlsx]Steuerung'!$F$8,"IST gesperrt",IF(OR(E396="",F396="",COUNT(G396:I396)&lt;&gt;3),"Angaben fehlen","Wirksam"))))</f>
        <v/>
      </c>
      <c r="L396">
        <f>IF(K396="Wirksam",SUM(G396:H396)-I396,IF(K396="","","n.a."))</f>
        <v/>
      </c>
    </row>
    <row r="397">
      <c r="K397">
        <f>IF(COUNTA(C397:J397)=0,"",IF(OR(C397&lt;&gt;'[Steuerung.xlsx]Steuerung'!$F$6,D397&lt;1,D397&gt;12),"Periode prüfen",IF(D397&lt;='[Steuerung.xlsx]Steuerung'!$F$8,"IST gesperrt",IF(OR(E397="",F397="",COUNT(G397:I397)&lt;&gt;3),"Angaben fehlen","Wirksam"))))</f>
        <v/>
      </c>
      <c r="L397">
        <f>IF(K397="Wirksam",SUM(G397:H397)-I397,IF(K397="","","n.a."))</f>
        <v/>
      </c>
    </row>
    <row r="398">
      <c r="K398">
        <f>IF(COUNTA(C398:J398)=0,"",IF(OR(C398&lt;&gt;'[Steuerung.xlsx]Steuerung'!$F$6,D398&lt;1,D398&gt;12),"Periode prüfen",IF(D398&lt;='[Steuerung.xlsx]Steuerung'!$F$8,"IST gesperrt",IF(OR(E398="",F398="",COUNT(G398:I398)&lt;&gt;3),"Angaben fehlen","Wirksam"))))</f>
        <v/>
      </c>
      <c r="L398">
        <f>IF(K398="Wirksam",SUM(G398:H398)-I398,IF(K398="","","n.a."))</f>
        <v/>
      </c>
    </row>
    <row r="399">
      <c r="K399">
        <f>IF(COUNTA(C399:J399)=0,"",IF(OR(C399&lt;&gt;'[Steuerung.xlsx]Steuerung'!$F$6,D399&lt;1,D399&gt;12),"Periode prüfen",IF(D399&lt;='[Steuerung.xlsx]Steuerung'!$F$8,"IST gesperrt",IF(OR(E399="",F399="",COUNT(G399:I399)&lt;&gt;3),"Angaben fehlen","Wirksam"))))</f>
        <v/>
      </c>
      <c r="L399">
        <f>IF(K399="Wirksam",SUM(G399:H399)-I399,IF(K399="","","n.a."))</f>
        <v/>
      </c>
    </row>
    <row r="400">
      <c r="K400">
        <f>IF(COUNTA(C400:J400)=0,"",IF(OR(C400&lt;&gt;'[Steuerung.xlsx]Steuerung'!$F$6,D400&lt;1,D400&gt;12),"Periode prüfen",IF(D400&lt;='[Steuerung.xlsx]Steuerung'!$F$8,"IST gesperrt",IF(OR(E400="",F400="",COUNT(G400:I400)&lt;&gt;3),"Angaben fehlen","Wirksam"))))</f>
        <v/>
      </c>
      <c r="L400">
        <f>IF(K400="Wirksam",SUM(G400:H400)-I400,IF(K400="","","n.a."))</f>
        <v/>
      </c>
    </row>
    <row r="401">
      <c r="K401">
        <f>IF(COUNTA(C401:J401)=0,"",IF(OR(C401&lt;&gt;'[Steuerung.xlsx]Steuerung'!$F$6,D401&lt;1,D401&gt;12),"Periode prüfen",IF(D401&lt;='[Steuerung.xlsx]Steuerung'!$F$8,"IST gesperrt",IF(OR(E401="",F401="",COUNT(G401:I401)&lt;&gt;3),"Angaben fehlen","Wirksam"))))</f>
        <v/>
      </c>
      <c r="L401">
        <f>IF(K401="Wirksam",SUM(G401:H401)-I401,IF(K401="","","n.a."))</f>
        <v/>
      </c>
    </row>
    <row r="402">
      <c r="K402">
        <f>IF(COUNTA(C402:J402)=0,"",IF(OR(C402&lt;&gt;'[Steuerung.xlsx]Steuerung'!$F$6,D402&lt;1,D402&gt;12),"Periode prüfen",IF(D402&lt;='[Steuerung.xlsx]Steuerung'!$F$8,"IST gesperrt",IF(OR(E402="",F402="",COUNT(G402:I402)&lt;&gt;3),"Angaben fehlen","Wirksam"))))</f>
        <v/>
      </c>
      <c r="L402">
        <f>IF(K402="Wirksam",SUM(G402:H402)-I402,IF(K402="","","n.a."))</f>
        <v/>
      </c>
    </row>
    <row r="403">
      <c r="K403">
        <f>IF(COUNTA(C403:J403)=0,"",IF(OR(C403&lt;&gt;'[Steuerung.xlsx]Steuerung'!$F$6,D403&lt;1,D403&gt;12),"Periode prüfen",IF(D403&lt;='[Steuerung.xlsx]Steuerung'!$F$8,"IST gesperrt",IF(OR(E403="",F403="",COUNT(G403:I403)&lt;&gt;3),"Angaben fehlen","Wirksam"))))</f>
        <v/>
      </c>
      <c r="L403">
        <f>IF(K403="Wirksam",SUM(G403:H403)-I403,IF(K403="","","n.a."))</f>
        <v/>
      </c>
    </row>
    <row r="404">
      <c r="K404">
        <f>IF(COUNTA(C404:J404)=0,"",IF(OR(C404&lt;&gt;'[Steuerung.xlsx]Steuerung'!$F$6,D404&lt;1,D404&gt;12),"Periode prüfen",IF(D404&lt;='[Steuerung.xlsx]Steuerung'!$F$8,"IST gesperrt",IF(OR(E404="",F404="",COUNT(G404:I404)&lt;&gt;3),"Angaben fehlen","Wirksam"))))</f>
        <v/>
      </c>
      <c r="L404">
        <f>IF(K404="Wirksam",SUM(G404:H404)-I404,IF(K404="","","n.a."))</f>
        <v/>
      </c>
    </row>
    <row r="405">
      <c r="K405">
        <f>IF(COUNTA(C405:J405)=0,"",IF(OR(C405&lt;&gt;'[Steuerung.xlsx]Steuerung'!$F$6,D405&lt;1,D405&gt;12),"Periode prüfen",IF(D405&lt;='[Steuerung.xlsx]Steuerung'!$F$8,"IST gesperrt",IF(OR(E405="",F405="",COUNT(G405:I405)&lt;&gt;3),"Angaben fehlen","Wirksam"))))</f>
        <v/>
      </c>
      <c r="L405">
        <f>IF(K405="Wirksam",SUM(G405:H405)-I405,IF(K405="","","n.a."))</f>
        <v/>
      </c>
    </row>
    <row r="406">
      <c r="K406">
        <f>IF(COUNTA(C406:J406)=0,"",IF(OR(C406&lt;&gt;'[Steuerung.xlsx]Steuerung'!$F$6,D406&lt;1,D406&gt;12),"Periode prüfen",IF(D406&lt;='[Steuerung.xlsx]Steuerung'!$F$8,"IST gesperrt",IF(OR(E406="",F406="",COUNT(G406:I406)&lt;&gt;3),"Angaben fehlen","Wirksam"))))</f>
        <v/>
      </c>
      <c r="L406">
        <f>IF(K406="Wirksam",SUM(G406:H406)-I406,IF(K406="","","n.a."))</f>
        <v/>
      </c>
    </row>
    <row r="407">
      <c r="K407">
        <f>IF(COUNTA(C407:J407)=0,"",IF(OR(C407&lt;&gt;'[Steuerung.xlsx]Steuerung'!$F$6,D407&lt;1,D407&gt;12),"Periode prüfen",IF(D407&lt;='[Steuerung.xlsx]Steuerung'!$F$8,"IST gesperrt",IF(OR(E407="",F407="",COUNT(G407:I407)&lt;&gt;3),"Angaben fehlen","Wirksam"))))</f>
        <v/>
      </c>
      <c r="L407">
        <f>IF(K407="Wirksam",SUM(G407:H407)-I407,IF(K407="","","n.a."))</f>
        <v/>
      </c>
    </row>
    <row r="408">
      <c r="K408">
        <f>IF(COUNTA(C408:J408)=0,"",IF(OR(C408&lt;&gt;'[Steuerung.xlsx]Steuerung'!$F$6,D408&lt;1,D408&gt;12),"Periode prüfen",IF(D408&lt;='[Steuerung.xlsx]Steuerung'!$F$8,"IST gesperrt",IF(OR(E408="",F408="",COUNT(G408:I408)&lt;&gt;3),"Angaben fehlen","Wirksam"))))</f>
        <v/>
      </c>
      <c r="L408">
        <f>IF(K408="Wirksam",SUM(G408:H408)-I408,IF(K408="","","n.a."))</f>
        <v/>
      </c>
    </row>
    <row r="409">
      <c r="K409">
        <f>IF(COUNTA(C409:J409)=0,"",IF(OR(C409&lt;&gt;'[Steuerung.xlsx]Steuerung'!$F$6,D409&lt;1,D409&gt;12),"Periode prüfen",IF(D409&lt;='[Steuerung.xlsx]Steuerung'!$F$8,"IST gesperrt",IF(OR(E409="",F409="",COUNT(G409:I409)&lt;&gt;3),"Angaben fehlen","Wirksam"))))</f>
        <v/>
      </c>
      <c r="L409">
        <f>IF(K409="Wirksam",SUM(G409:H409)-I409,IF(K409="","","n.a."))</f>
        <v/>
      </c>
    </row>
    <row r="410">
      <c r="K410">
        <f>IF(COUNTA(C410:J410)=0,"",IF(OR(C410&lt;&gt;'[Steuerung.xlsx]Steuerung'!$F$6,D410&lt;1,D410&gt;12),"Periode prüfen",IF(D410&lt;='[Steuerung.xlsx]Steuerung'!$F$8,"IST gesperrt",IF(OR(E410="",F410="",COUNT(G410:I410)&lt;&gt;3),"Angaben fehlen","Wirksam"))))</f>
        <v/>
      </c>
      <c r="L410">
        <f>IF(K410="Wirksam",SUM(G410:H410)-I410,IF(K410="","","n.a."))</f>
        <v/>
      </c>
    </row>
    <row r="411">
      <c r="K411">
        <f>IF(COUNTA(C411:J411)=0,"",IF(OR(C411&lt;&gt;'[Steuerung.xlsx]Steuerung'!$F$6,D411&lt;1,D411&gt;12),"Periode prüfen",IF(D411&lt;='[Steuerung.xlsx]Steuerung'!$F$8,"IST gesperrt",IF(OR(E411="",F411="",COUNT(G411:I411)&lt;&gt;3),"Angaben fehlen","Wirksam"))))</f>
        <v/>
      </c>
      <c r="L411">
        <f>IF(K411="Wirksam",SUM(G411:H411)-I411,IF(K411="","","n.a."))</f>
        <v/>
      </c>
    </row>
    <row r="412">
      <c r="K412">
        <f>IF(COUNTA(C412:J412)=0,"",IF(OR(C412&lt;&gt;'[Steuerung.xlsx]Steuerung'!$F$6,D412&lt;1,D412&gt;12),"Periode prüfen",IF(D412&lt;='[Steuerung.xlsx]Steuerung'!$F$8,"IST gesperrt",IF(OR(E412="",F412="",COUNT(G412:I412)&lt;&gt;3),"Angaben fehlen","Wirksam"))))</f>
        <v/>
      </c>
      <c r="L412">
        <f>IF(K412="Wirksam",SUM(G412:H412)-I412,IF(K412="","","n.a."))</f>
        <v/>
      </c>
    </row>
    <row r="413">
      <c r="K413">
        <f>IF(COUNTA(C413:J413)=0,"",IF(OR(C413&lt;&gt;'[Steuerung.xlsx]Steuerung'!$F$6,D413&lt;1,D413&gt;12),"Periode prüfen",IF(D413&lt;='[Steuerung.xlsx]Steuerung'!$F$8,"IST gesperrt",IF(OR(E413="",F413="",COUNT(G413:I413)&lt;&gt;3),"Angaben fehlen","Wirksam"))))</f>
        <v/>
      </c>
      <c r="L413">
        <f>IF(K413="Wirksam",SUM(G413:H413)-I413,IF(K413="","","n.a."))</f>
        <v/>
      </c>
    </row>
    <row r="414">
      <c r="K414">
        <f>IF(COUNTA(C414:J414)=0,"",IF(OR(C414&lt;&gt;'[Steuerung.xlsx]Steuerung'!$F$6,D414&lt;1,D414&gt;12),"Periode prüfen",IF(D414&lt;='[Steuerung.xlsx]Steuerung'!$F$8,"IST gesperrt",IF(OR(E414="",F414="",COUNT(G414:I414)&lt;&gt;3),"Angaben fehlen","Wirksam"))))</f>
        <v/>
      </c>
      <c r="L414">
        <f>IF(K414="Wirksam",SUM(G414:H414)-I414,IF(K414="","","n.a."))</f>
        <v/>
      </c>
    </row>
    <row r="415">
      <c r="K415">
        <f>IF(COUNTA(C415:J415)=0,"",IF(OR(C415&lt;&gt;'[Steuerung.xlsx]Steuerung'!$F$6,D415&lt;1,D415&gt;12),"Periode prüfen",IF(D415&lt;='[Steuerung.xlsx]Steuerung'!$F$8,"IST gesperrt",IF(OR(E415="",F415="",COUNT(G415:I415)&lt;&gt;3),"Angaben fehlen","Wirksam"))))</f>
        <v/>
      </c>
      <c r="L415">
        <f>IF(K415="Wirksam",SUM(G415:H415)-I415,IF(K415="","","n.a."))</f>
        <v/>
      </c>
    </row>
    <row r="416">
      <c r="K416">
        <f>IF(COUNTA(C416:J416)=0,"",IF(OR(C416&lt;&gt;'[Steuerung.xlsx]Steuerung'!$F$6,D416&lt;1,D416&gt;12),"Periode prüfen",IF(D416&lt;='[Steuerung.xlsx]Steuerung'!$F$8,"IST gesperrt",IF(OR(E416="",F416="",COUNT(G416:I416)&lt;&gt;3),"Angaben fehlen","Wirksam"))))</f>
        <v/>
      </c>
      <c r="L416">
        <f>IF(K416="Wirksam",SUM(G416:H416)-I416,IF(K416="","","n.a."))</f>
        <v/>
      </c>
    </row>
    <row r="417">
      <c r="K417">
        <f>IF(COUNTA(C417:J417)=0,"",IF(OR(C417&lt;&gt;'[Steuerung.xlsx]Steuerung'!$F$6,D417&lt;1,D417&gt;12),"Periode prüfen",IF(D417&lt;='[Steuerung.xlsx]Steuerung'!$F$8,"IST gesperrt",IF(OR(E417="",F417="",COUNT(G417:I417)&lt;&gt;3),"Angaben fehlen","Wirksam"))))</f>
        <v/>
      </c>
      <c r="L417">
        <f>IF(K417="Wirksam",SUM(G417:H417)-I417,IF(K417="","","n.a."))</f>
        <v/>
      </c>
    </row>
    <row r="418">
      <c r="K418">
        <f>IF(COUNTA(C418:J418)=0,"",IF(OR(C418&lt;&gt;'[Steuerung.xlsx]Steuerung'!$F$6,D418&lt;1,D418&gt;12),"Periode prüfen",IF(D418&lt;='[Steuerung.xlsx]Steuerung'!$F$8,"IST gesperrt",IF(OR(E418="",F418="",COUNT(G418:I418)&lt;&gt;3),"Angaben fehlen","Wirksam"))))</f>
        <v/>
      </c>
      <c r="L418">
        <f>IF(K418="Wirksam",SUM(G418:H418)-I418,IF(K418="","","n.a."))</f>
        <v/>
      </c>
    </row>
    <row r="419">
      <c r="K419">
        <f>IF(COUNTA(C419:J419)=0,"",IF(OR(C419&lt;&gt;'[Steuerung.xlsx]Steuerung'!$F$6,D419&lt;1,D419&gt;12),"Periode prüfen",IF(D419&lt;='[Steuerung.xlsx]Steuerung'!$F$8,"IST gesperrt",IF(OR(E419="",F419="",COUNT(G419:I419)&lt;&gt;3),"Angaben fehlen","Wirksam"))))</f>
        <v/>
      </c>
      <c r="L419">
        <f>IF(K419="Wirksam",SUM(G419:H419)-I419,IF(K419="","","n.a."))</f>
        <v/>
      </c>
    </row>
    <row r="420">
      <c r="K420">
        <f>IF(COUNTA(C420:J420)=0,"",IF(OR(C420&lt;&gt;'[Steuerung.xlsx]Steuerung'!$F$6,D420&lt;1,D420&gt;12),"Periode prüfen",IF(D420&lt;='[Steuerung.xlsx]Steuerung'!$F$8,"IST gesperrt",IF(OR(E420="",F420="",COUNT(G420:I420)&lt;&gt;3),"Angaben fehlen","Wirksam"))))</f>
        <v/>
      </c>
      <c r="L420">
        <f>IF(K420="Wirksam",SUM(G420:H420)-I420,IF(K420="","","n.a."))</f>
        <v/>
      </c>
    </row>
    <row r="421">
      <c r="K421">
        <f>IF(COUNTA(C421:J421)=0,"",IF(OR(C421&lt;&gt;'[Steuerung.xlsx]Steuerung'!$F$6,D421&lt;1,D421&gt;12),"Periode prüfen",IF(D421&lt;='[Steuerung.xlsx]Steuerung'!$F$8,"IST gesperrt",IF(OR(E421="",F421="",COUNT(G421:I421)&lt;&gt;3),"Angaben fehlen","Wirksam"))))</f>
        <v/>
      </c>
      <c r="L421">
        <f>IF(K421="Wirksam",SUM(G421:H421)-I421,IF(K421="","","n.a."))</f>
        <v/>
      </c>
    </row>
    <row r="422">
      <c r="K422">
        <f>IF(COUNTA(C422:J422)=0,"",IF(OR(C422&lt;&gt;'[Steuerung.xlsx]Steuerung'!$F$6,D422&lt;1,D422&gt;12),"Periode prüfen",IF(D422&lt;='[Steuerung.xlsx]Steuerung'!$F$8,"IST gesperrt",IF(OR(E422="",F422="",COUNT(G422:I422)&lt;&gt;3),"Angaben fehlen","Wirksam"))))</f>
        <v/>
      </c>
      <c r="L422">
        <f>IF(K422="Wirksam",SUM(G422:H422)-I422,IF(K422="","","n.a."))</f>
        <v/>
      </c>
    </row>
    <row r="423">
      <c r="K423">
        <f>IF(COUNTA(C423:J423)=0,"",IF(OR(C423&lt;&gt;'[Steuerung.xlsx]Steuerung'!$F$6,D423&lt;1,D423&gt;12),"Periode prüfen",IF(D423&lt;='[Steuerung.xlsx]Steuerung'!$F$8,"IST gesperrt",IF(OR(E423="",F423="",COUNT(G423:I423)&lt;&gt;3),"Angaben fehlen","Wirksam"))))</f>
        <v/>
      </c>
      <c r="L423">
        <f>IF(K423="Wirksam",SUM(G423:H423)-I423,IF(K423="","","n.a."))</f>
        <v/>
      </c>
    </row>
    <row r="424">
      <c r="K424">
        <f>IF(COUNTA(C424:J424)=0,"",IF(OR(C424&lt;&gt;'[Steuerung.xlsx]Steuerung'!$F$6,D424&lt;1,D424&gt;12),"Periode prüfen",IF(D424&lt;='[Steuerung.xlsx]Steuerung'!$F$8,"IST gesperrt",IF(OR(E424="",F424="",COUNT(G424:I424)&lt;&gt;3),"Angaben fehlen","Wirksam"))))</f>
        <v/>
      </c>
      <c r="L424">
        <f>IF(K424="Wirksam",SUM(G424:H424)-I424,IF(K424="","","n.a."))</f>
        <v/>
      </c>
    </row>
    <row r="425">
      <c r="K425">
        <f>IF(COUNTA(C425:J425)=0,"",IF(OR(C425&lt;&gt;'[Steuerung.xlsx]Steuerung'!$F$6,D425&lt;1,D425&gt;12),"Periode prüfen",IF(D425&lt;='[Steuerung.xlsx]Steuerung'!$F$8,"IST gesperrt",IF(OR(E425="",F425="",COUNT(G425:I425)&lt;&gt;3),"Angaben fehlen","Wirksam"))))</f>
        <v/>
      </c>
      <c r="L425">
        <f>IF(K425="Wirksam",SUM(G425:H425)-I425,IF(K425="","","n.a."))</f>
        <v/>
      </c>
    </row>
    <row r="426">
      <c r="K426">
        <f>IF(COUNTA(C426:J426)=0,"",IF(OR(C426&lt;&gt;'[Steuerung.xlsx]Steuerung'!$F$6,D426&lt;1,D426&gt;12),"Periode prüfen",IF(D426&lt;='[Steuerung.xlsx]Steuerung'!$F$8,"IST gesperrt",IF(OR(E426="",F426="",COUNT(G426:I426)&lt;&gt;3),"Angaben fehlen","Wirksam"))))</f>
        <v/>
      </c>
      <c r="L426">
        <f>IF(K426="Wirksam",SUM(G426:H426)-I426,IF(K426="","","n.a."))</f>
        <v/>
      </c>
    </row>
    <row r="427">
      <c r="K427">
        <f>IF(COUNTA(C427:J427)=0,"",IF(OR(C427&lt;&gt;'[Steuerung.xlsx]Steuerung'!$F$6,D427&lt;1,D427&gt;12),"Periode prüfen",IF(D427&lt;='[Steuerung.xlsx]Steuerung'!$F$8,"IST gesperrt",IF(OR(E427="",F427="",COUNT(G427:I427)&lt;&gt;3),"Angaben fehlen","Wirksam"))))</f>
        <v/>
      </c>
      <c r="L427">
        <f>IF(K427="Wirksam",SUM(G427:H427)-I427,IF(K427="","","n.a."))</f>
        <v/>
      </c>
    </row>
    <row r="428">
      <c r="K428">
        <f>IF(COUNTA(C428:J428)=0,"",IF(OR(C428&lt;&gt;'[Steuerung.xlsx]Steuerung'!$F$6,D428&lt;1,D428&gt;12),"Periode prüfen",IF(D428&lt;='[Steuerung.xlsx]Steuerung'!$F$8,"IST gesperrt",IF(OR(E428="",F428="",COUNT(G428:I428)&lt;&gt;3),"Angaben fehlen","Wirksam"))))</f>
        <v/>
      </c>
      <c r="L428">
        <f>IF(K428="Wirksam",SUM(G428:H428)-I428,IF(K428="","","n.a."))</f>
        <v/>
      </c>
    </row>
    <row r="429">
      <c r="K429">
        <f>IF(COUNTA(C429:J429)=0,"",IF(OR(C429&lt;&gt;'[Steuerung.xlsx]Steuerung'!$F$6,D429&lt;1,D429&gt;12),"Periode prüfen",IF(D429&lt;='[Steuerung.xlsx]Steuerung'!$F$8,"IST gesperrt",IF(OR(E429="",F429="",COUNT(G429:I429)&lt;&gt;3),"Angaben fehlen","Wirksam"))))</f>
        <v/>
      </c>
      <c r="L429">
        <f>IF(K429="Wirksam",SUM(G429:H429)-I429,IF(K429="","","n.a."))</f>
        <v/>
      </c>
    </row>
    <row r="430">
      <c r="K430">
        <f>IF(COUNTA(C430:J430)=0,"",IF(OR(C430&lt;&gt;'[Steuerung.xlsx]Steuerung'!$F$6,D430&lt;1,D430&gt;12),"Periode prüfen",IF(D430&lt;='[Steuerung.xlsx]Steuerung'!$F$8,"IST gesperrt",IF(OR(E430="",F430="",COUNT(G430:I430)&lt;&gt;3),"Angaben fehlen","Wirksam"))))</f>
        <v/>
      </c>
      <c r="L430">
        <f>IF(K430="Wirksam",SUM(G430:H430)-I430,IF(K430="","","n.a."))</f>
        <v/>
      </c>
    </row>
    <row r="431">
      <c r="K431">
        <f>IF(COUNTA(C431:J431)=0,"",IF(OR(C431&lt;&gt;'[Steuerung.xlsx]Steuerung'!$F$6,D431&lt;1,D431&gt;12),"Periode prüfen",IF(D431&lt;='[Steuerung.xlsx]Steuerung'!$F$8,"IST gesperrt",IF(OR(E431="",F431="",COUNT(G431:I431)&lt;&gt;3),"Angaben fehlen","Wirksam"))))</f>
        <v/>
      </c>
      <c r="L431">
        <f>IF(K431="Wirksam",SUM(G431:H431)-I431,IF(K431="","","n.a."))</f>
        <v/>
      </c>
    </row>
    <row r="432">
      <c r="K432">
        <f>IF(COUNTA(C432:J432)=0,"",IF(OR(C432&lt;&gt;'[Steuerung.xlsx]Steuerung'!$F$6,D432&lt;1,D432&gt;12),"Periode prüfen",IF(D432&lt;='[Steuerung.xlsx]Steuerung'!$F$8,"IST gesperrt",IF(OR(E432="",F432="",COUNT(G432:I432)&lt;&gt;3),"Angaben fehlen","Wirksam"))))</f>
        <v/>
      </c>
      <c r="L432">
        <f>IF(K432="Wirksam",SUM(G432:H432)-I432,IF(K432="","","n.a."))</f>
        <v/>
      </c>
    </row>
    <row r="433">
      <c r="K433">
        <f>IF(COUNTA(C433:J433)=0,"",IF(OR(C433&lt;&gt;'[Steuerung.xlsx]Steuerung'!$F$6,D433&lt;1,D433&gt;12),"Periode prüfen",IF(D433&lt;='[Steuerung.xlsx]Steuerung'!$F$8,"IST gesperrt",IF(OR(E433="",F433="",COUNT(G433:I433)&lt;&gt;3),"Angaben fehlen","Wirksam"))))</f>
        <v/>
      </c>
      <c r="L433">
        <f>IF(K433="Wirksam",SUM(G433:H433)-I433,IF(K433="","","n.a."))</f>
        <v/>
      </c>
    </row>
    <row r="434">
      <c r="K434">
        <f>IF(COUNTA(C434:J434)=0,"",IF(OR(C434&lt;&gt;'[Steuerung.xlsx]Steuerung'!$F$6,D434&lt;1,D434&gt;12),"Periode prüfen",IF(D434&lt;='[Steuerung.xlsx]Steuerung'!$F$8,"IST gesperrt",IF(OR(E434="",F434="",COUNT(G434:I434)&lt;&gt;3),"Angaben fehlen","Wirksam"))))</f>
        <v/>
      </c>
      <c r="L434">
        <f>IF(K434="Wirksam",SUM(G434:H434)-I434,IF(K434="","","n.a."))</f>
        <v/>
      </c>
    </row>
    <row r="435">
      <c r="K435">
        <f>IF(COUNTA(C435:J435)=0,"",IF(OR(C435&lt;&gt;'[Steuerung.xlsx]Steuerung'!$F$6,D435&lt;1,D435&gt;12),"Periode prüfen",IF(D435&lt;='[Steuerung.xlsx]Steuerung'!$F$8,"IST gesperrt",IF(OR(E435="",F435="",COUNT(G435:I435)&lt;&gt;3),"Angaben fehlen","Wirksam"))))</f>
        <v/>
      </c>
      <c r="L435">
        <f>IF(K435="Wirksam",SUM(G435:H435)-I435,IF(K435="","","n.a."))</f>
        <v/>
      </c>
    </row>
    <row r="436">
      <c r="K436">
        <f>IF(COUNTA(C436:J436)=0,"",IF(OR(C436&lt;&gt;'[Steuerung.xlsx]Steuerung'!$F$6,D436&lt;1,D436&gt;12),"Periode prüfen",IF(D436&lt;='[Steuerung.xlsx]Steuerung'!$F$8,"IST gesperrt",IF(OR(E436="",F436="",COUNT(G436:I436)&lt;&gt;3),"Angaben fehlen","Wirksam"))))</f>
        <v/>
      </c>
      <c r="L436">
        <f>IF(K436="Wirksam",SUM(G436:H436)-I436,IF(K436="","","n.a."))</f>
        <v/>
      </c>
    </row>
    <row r="437">
      <c r="K437">
        <f>IF(COUNTA(C437:J437)=0,"",IF(OR(C437&lt;&gt;'[Steuerung.xlsx]Steuerung'!$F$6,D437&lt;1,D437&gt;12),"Periode prüfen",IF(D437&lt;='[Steuerung.xlsx]Steuerung'!$F$8,"IST gesperrt",IF(OR(E437="",F437="",COUNT(G437:I437)&lt;&gt;3),"Angaben fehlen","Wirksam"))))</f>
        <v/>
      </c>
      <c r="L437">
        <f>IF(K437="Wirksam",SUM(G437:H437)-I437,IF(K437="","","n.a."))</f>
        <v/>
      </c>
    </row>
    <row r="438">
      <c r="K438">
        <f>IF(COUNTA(C438:J438)=0,"",IF(OR(C438&lt;&gt;'[Steuerung.xlsx]Steuerung'!$F$6,D438&lt;1,D438&gt;12),"Periode prüfen",IF(D438&lt;='[Steuerung.xlsx]Steuerung'!$F$8,"IST gesperrt",IF(OR(E438="",F438="",COUNT(G438:I438)&lt;&gt;3),"Angaben fehlen","Wirksam"))))</f>
        <v/>
      </c>
      <c r="L438">
        <f>IF(K438="Wirksam",SUM(G438:H438)-I438,IF(K438="","","n.a."))</f>
        <v/>
      </c>
    </row>
    <row r="439">
      <c r="K439">
        <f>IF(COUNTA(C439:J439)=0,"",IF(OR(C439&lt;&gt;'[Steuerung.xlsx]Steuerung'!$F$6,D439&lt;1,D439&gt;12),"Periode prüfen",IF(D439&lt;='[Steuerung.xlsx]Steuerung'!$F$8,"IST gesperrt",IF(OR(E439="",F439="",COUNT(G439:I439)&lt;&gt;3),"Angaben fehlen","Wirksam"))))</f>
        <v/>
      </c>
      <c r="L439">
        <f>IF(K439="Wirksam",SUM(G439:H439)-I439,IF(K439="","","n.a."))</f>
        <v/>
      </c>
    </row>
    <row r="440">
      <c r="K440">
        <f>IF(COUNTA(C440:J440)=0,"",IF(OR(C440&lt;&gt;'[Steuerung.xlsx]Steuerung'!$F$6,D440&lt;1,D440&gt;12),"Periode prüfen",IF(D440&lt;='[Steuerung.xlsx]Steuerung'!$F$8,"IST gesperrt",IF(OR(E440="",F440="",COUNT(G440:I440)&lt;&gt;3),"Angaben fehlen","Wirksam"))))</f>
        <v/>
      </c>
      <c r="L440">
        <f>IF(K440="Wirksam",SUM(G440:H440)-I440,IF(K440="","","n.a."))</f>
        <v/>
      </c>
    </row>
    <row r="441">
      <c r="K441">
        <f>IF(COUNTA(C441:J441)=0,"",IF(OR(C441&lt;&gt;'[Steuerung.xlsx]Steuerung'!$F$6,D441&lt;1,D441&gt;12),"Periode prüfen",IF(D441&lt;='[Steuerung.xlsx]Steuerung'!$F$8,"IST gesperrt",IF(OR(E441="",F441="",COUNT(G441:I441)&lt;&gt;3),"Angaben fehlen","Wirksam"))))</f>
        <v/>
      </c>
      <c r="L441">
        <f>IF(K441="Wirksam",SUM(G441:H441)-I441,IF(K441="","","n.a."))</f>
        <v/>
      </c>
    </row>
    <row r="442">
      <c r="K442">
        <f>IF(COUNTA(C442:J442)=0,"",IF(OR(C442&lt;&gt;'[Steuerung.xlsx]Steuerung'!$F$6,D442&lt;1,D442&gt;12),"Periode prüfen",IF(D442&lt;='[Steuerung.xlsx]Steuerung'!$F$8,"IST gesperrt",IF(OR(E442="",F442="",COUNT(G442:I442)&lt;&gt;3),"Angaben fehlen","Wirksam"))))</f>
        <v/>
      </c>
      <c r="L442">
        <f>IF(K442="Wirksam",SUM(G442:H442)-I442,IF(K442="","","n.a."))</f>
        <v/>
      </c>
    </row>
    <row r="443">
      <c r="K443">
        <f>IF(COUNTA(C443:J443)=0,"",IF(OR(C443&lt;&gt;'[Steuerung.xlsx]Steuerung'!$F$6,D443&lt;1,D443&gt;12),"Periode prüfen",IF(D443&lt;='[Steuerung.xlsx]Steuerung'!$F$8,"IST gesperrt",IF(OR(E443="",F443="",COUNT(G443:I443)&lt;&gt;3),"Angaben fehlen","Wirksam"))))</f>
        <v/>
      </c>
      <c r="L443">
        <f>IF(K443="Wirksam",SUM(G443:H443)-I443,IF(K443="","","n.a."))</f>
        <v/>
      </c>
    </row>
    <row r="444">
      <c r="K444">
        <f>IF(COUNTA(C444:J444)=0,"",IF(OR(C444&lt;&gt;'[Steuerung.xlsx]Steuerung'!$F$6,D444&lt;1,D444&gt;12),"Periode prüfen",IF(D444&lt;='[Steuerung.xlsx]Steuerung'!$F$8,"IST gesperrt",IF(OR(E444="",F444="",COUNT(G444:I444)&lt;&gt;3),"Angaben fehlen","Wirksam"))))</f>
        <v/>
      </c>
      <c r="L444">
        <f>IF(K444="Wirksam",SUM(G444:H444)-I444,IF(K444="","","n.a."))</f>
        <v/>
      </c>
    </row>
    <row r="445">
      <c r="K445">
        <f>IF(COUNTA(C445:J445)=0,"",IF(OR(C445&lt;&gt;'[Steuerung.xlsx]Steuerung'!$F$6,D445&lt;1,D445&gt;12),"Periode prüfen",IF(D445&lt;='[Steuerung.xlsx]Steuerung'!$F$8,"IST gesperrt",IF(OR(E445="",F445="",COUNT(G445:I445)&lt;&gt;3),"Angaben fehlen","Wirksam"))))</f>
        <v/>
      </c>
      <c r="L445">
        <f>IF(K445="Wirksam",SUM(G445:H445)-I445,IF(K445="","","n.a."))</f>
        <v/>
      </c>
    </row>
    <row r="446">
      <c r="K446">
        <f>IF(COUNTA(C446:J446)=0,"",IF(OR(C446&lt;&gt;'[Steuerung.xlsx]Steuerung'!$F$6,D446&lt;1,D446&gt;12),"Periode prüfen",IF(D446&lt;='[Steuerung.xlsx]Steuerung'!$F$8,"IST gesperrt",IF(OR(E446="",F446="",COUNT(G446:I446)&lt;&gt;3),"Angaben fehlen","Wirksam"))))</f>
        <v/>
      </c>
      <c r="L446">
        <f>IF(K446="Wirksam",SUM(G446:H446)-I446,IF(K446="","","n.a."))</f>
        <v/>
      </c>
    </row>
    <row r="447">
      <c r="K447">
        <f>IF(COUNTA(C447:J447)=0,"",IF(OR(C447&lt;&gt;'[Steuerung.xlsx]Steuerung'!$F$6,D447&lt;1,D447&gt;12),"Periode prüfen",IF(D447&lt;='[Steuerung.xlsx]Steuerung'!$F$8,"IST gesperrt",IF(OR(E447="",F447="",COUNT(G447:I447)&lt;&gt;3),"Angaben fehlen","Wirksam"))))</f>
        <v/>
      </c>
      <c r="L447">
        <f>IF(K447="Wirksam",SUM(G447:H447)-I447,IF(K447="","","n.a."))</f>
        <v/>
      </c>
    </row>
    <row r="448">
      <c r="K448">
        <f>IF(COUNTA(C448:J448)=0,"",IF(OR(C448&lt;&gt;'[Steuerung.xlsx]Steuerung'!$F$6,D448&lt;1,D448&gt;12),"Periode prüfen",IF(D448&lt;='[Steuerung.xlsx]Steuerung'!$F$8,"IST gesperrt",IF(OR(E448="",F448="",COUNT(G448:I448)&lt;&gt;3),"Angaben fehlen","Wirksam"))))</f>
        <v/>
      </c>
      <c r="L448">
        <f>IF(K448="Wirksam",SUM(G448:H448)-I448,IF(K448="","","n.a."))</f>
        <v/>
      </c>
    </row>
    <row r="449">
      <c r="K449">
        <f>IF(COUNTA(C449:J449)=0,"",IF(OR(C449&lt;&gt;'[Steuerung.xlsx]Steuerung'!$F$6,D449&lt;1,D449&gt;12),"Periode prüfen",IF(D449&lt;='[Steuerung.xlsx]Steuerung'!$F$8,"IST gesperrt",IF(OR(E449="",F449="",COUNT(G449:I449)&lt;&gt;3),"Angaben fehlen","Wirksam"))))</f>
        <v/>
      </c>
      <c r="L449">
        <f>IF(K449="Wirksam",SUM(G449:H449)-I449,IF(K449="","","n.a."))</f>
        <v/>
      </c>
    </row>
    <row r="450">
      <c r="K450">
        <f>IF(COUNTA(C450:J450)=0,"",IF(OR(C450&lt;&gt;'[Steuerung.xlsx]Steuerung'!$F$6,D450&lt;1,D450&gt;12),"Periode prüfen",IF(D450&lt;='[Steuerung.xlsx]Steuerung'!$F$8,"IST gesperrt",IF(OR(E450="",F450="",COUNT(G450:I450)&lt;&gt;3),"Angaben fehlen","Wirksam"))))</f>
        <v/>
      </c>
      <c r="L450">
        <f>IF(K450="Wirksam",SUM(G450:H450)-I450,IF(K450="","","n.a."))</f>
        <v/>
      </c>
    </row>
    <row r="451">
      <c r="K451">
        <f>IF(COUNTA(C451:J451)=0,"",IF(OR(C451&lt;&gt;'[Steuerung.xlsx]Steuerung'!$F$6,D451&lt;1,D451&gt;12),"Periode prüfen",IF(D451&lt;='[Steuerung.xlsx]Steuerung'!$F$8,"IST gesperrt",IF(OR(E451="",F451="",COUNT(G451:I451)&lt;&gt;3),"Angaben fehlen","Wirksam"))))</f>
        <v/>
      </c>
      <c r="L451">
        <f>IF(K451="Wirksam",SUM(G451:H451)-I451,IF(K451="","","n.a."))</f>
        <v/>
      </c>
    </row>
    <row r="452">
      <c r="K452">
        <f>IF(COUNTA(C452:J452)=0,"",IF(OR(C452&lt;&gt;'[Steuerung.xlsx]Steuerung'!$F$6,D452&lt;1,D452&gt;12),"Periode prüfen",IF(D452&lt;='[Steuerung.xlsx]Steuerung'!$F$8,"IST gesperrt",IF(OR(E452="",F452="",COUNT(G452:I452)&lt;&gt;3),"Angaben fehlen","Wirksam"))))</f>
        <v/>
      </c>
      <c r="L452">
        <f>IF(K452="Wirksam",SUM(G452:H452)-I452,IF(K452="","","n.a."))</f>
        <v/>
      </c>
    </row>
    <row r="453">
      <c r="K453">
        <f>IF(COUNTA(C453:J453)=0,"",IF(OR(C453&lt;&gt;'[Steuerung.xlsx]Steuerung'!$F$6,D453&lt;1,D453&gt;12),"Periode prüfen",IF(D453&lt;='[Steuerung.xlsx]Steuerung'!$F$8,"IST gesperrt",IF(OR(E453="",F453="",COUNT(G453:I453)&lt;&gt;3),"Angaben fehlen","Wirksam"))))</f>
        <v/>
      </c>
      <c r="L453">
        <f>IF(K453="Wirksam",SUM(G453:H453)-I453,IF(K453="","","n.a."))</f>
        <v/>
      </c>
    </row>
    <row r="454">
      <c r="K454">
        <f>IF(COUNTA(C454:J454)=0,"",IF(OR(C454&lt;&gt;'[Steuerung.xlsx]Steuerung'!$F$6,D454&lt;1,D454&gt;12),"Periode prüfen",IF(D454&lt;='[Steuerung.xlsx]Steuerung'!$F$8,"IST gesperrt",IF(OR(E454="",F454="",COUNT(G454:I454)&lt;&gt;3),"Angaben fehlen","Wirksam"))))</f>
        <v/>
      </c>
      <c r="L454">
        <f>IF(K454="Wirksam",SUM(G454:H454)-I454,IF(K454="","","n.a."))</f>
        <v/>
      </c>
    </row>
    <row r="455">
      <c r="K455">
        <f>IF(COUNTA(C455:J455)=0,"",IF(OR(C455&lt;&gt;'[Steuerung.xlsx]Steuerung'!$F$6,D455&lt;1,D455&gt;12),"Periode prüfen",IF(D455&lt;='[Steuerung.xlsx]Steuerung'!$F$8,"IST gesperrt",IF(OR(E455="",F455="",COUNT(G455:I455)&lt;&gt;3),"Angaben fehlen","Wirksam"))))</f>
        <v/>
      </c>
      <c r="L455">
        <f>IF(K455="Wirksam",SUM(G455:H455)-I455,IF(K455="","","n.a."))</f>
        <v/>
      </c>
    </row>
    <row r="456">
      <c r="K456">
        <f>IF(COUNTA(C456:J456)=0,"",IF(OR(C456&lt;&gt;'[Steuerung.xlsx]Steuerung'!$F$6,D456&lt;1,D456&gt;12),"Periode prüfen",IF(D456&lt;='[Steuerung.xlsx]Steuerung'!$F$8,"IST gesperrt",IF(OR(E456="",F456="",COUNT(G456:I456)&lt;&gt;3),"Angaben fehlen","Wirksam"))))</f>
        <v/>
      </c>
      <c r="L456">
        <f>IF(K456="Wirksam",SUM(G456:H456)-I456,IF(K456="","","n.a."))</f>
        <v/>
      </c>
    </row>
    <row r="457">
      <c r="K457">
        <f>IF(COUNTA(C457:J457)=0,"",IF(OR(C457&lt;&gt;'[Steuerung.xlsx]Steuerung'!$F$6,D457&lt;1,D457&gt;12),"Periode prüfen",IF(D457&lt;='[Steuerung.xlsx]Steuerung'!$F$8,"IST gesperrt",IF(OR(E457="",F457="",COUNT(G457:I457)&lt;&gt;3),"Angaben fehlen","Wirksam"))))</f>
        <v/>
      </c>
      <c r="L457">
        <f>IF(K457="Wirksam",SUM(G457:H457)-I457,IF(K457="","","n.a."))</f>
        <v/>
      </c>
    </row>
    <row r="458">
      <c r="K458">
        <f>IF(COUNTA(C458:J458)=0,"",IF(OR(C458&lt;&gt;'[Steuerung.xlsx]Steuerung'!$F$6,D458&lt;1,D458&gt;12),"Periode prüfen",IF(D458&lt;='[Steuerung.xlsx]Steuerung'!$F$8,"IST gesperrt",IF(OR(E458="",F458="",COUNT(G458:I458)&lt;&gt;3),"Angaben fehlen","Wirksam"))))</f>
        <v/>
      </c>
      <c r="L458">
        <f>IF(K458="Wirksam",SUM(G458:H458)-I458,IF(K458="","","n.a."))</f>
        <v/>
      </c>
    </row>
    <row r="459">
      <c r="K459">
        <f>IF(COUNTA(C459:J459)=0,"",IF(OR(C459&lt;&gt;'[Steuerung.xlsx]Steuerung'!$F$6,D459&lt;1,D459&gt;12),"Periode prüfen",IF(D459&lt;='[Steuerung.xlsx]Steuerung'!$F$8,"IST gesperrt",IF(OR(E459="",F459="",COUNT(G459:I459)&lt;&gt;3),"Angaben fehlen","Wirksam"))))</f>
        <v/>
      </c>
      <c r="L459">
        <f>IF(K459="Wirksam",SUM(G459:H459)-I459,IF(K459="","","n.a."))</f>
        <v/>
      </c>
    </row>
    <row r="460">
      <c r="K460">
        <f>IF(COUNTA(C460:J460)=0,"",IF(OR(C460&lt;&gt;'[Steuerung.xlsx]Steuerung'!$F$6,D460&lt;1,D460&gt;12),"Periode prüfen",IF(D460&lt;='[Steuerung.xlsx]Steuerung'!$F$8,"IST gesperrt",IF(OR(E460="",F460="",COUNT(G460:I460)&lt;&gt;3),"Angaben fehlen","Wirksam"))))</f>
        <v/>
      </c>
      <c r="L460">
        <f>IF(K460="Wirksam",SUM(G460:H460)-I460,IF(K460="","","n.a."))</f>
        <v/>
      </c>
    </row>
    <row r="461">
      <c r="K461">
        <f>IF(COUNTA(C461:J461)=0,"",IF(OR(C461&lt;&gt;'[Steuerung.xlsx]Steuerung'!$F$6,D461&lt;1,D461&gt;12),"Periode prüfen",IF(D461&lt;='[Steuerung.xlsx]Steuerung'!$F$8,"IST gesperrt",IF(OR(E461="",F461="",COUNT(G461:I461)&lt;&gt;3),"Angaben fehlen","Wirksam"))))</f>
        <v/>
      </c>
      <c r="L461">
        <f>IF(K461="Wirksam",SUM(G461:H461)-I461,IF(K461="","","n.a."))</f>
        <v/>
      </c>
    </row>
    <row r="462">
      <c r="K462">
        <f>IF(COUNTA(C462:J462)=0,"",IF(OR(C462&lt;&gt;'[Steuerung.xlsx]Steuerung'!$F$6,D462&lt;1,D462&gt;12),"Periode prüfen",IF(D462&lt;='[Steuerung.xlsx]Steuerung'!$F$8,"IST gesperrt",IF(OR(E462="",F462="",COUNT(G462:I462)&lt;&gt;3),"Angaben fehlen","Wirksam"))))</f>
        <v/>
      </c>
      <c r="L462">
        <f>IF(K462="Wirksam",SUM(G462:H462)-I462,IF(K462="","","n.a."))</f>
        <v/>
      </c>
    </row>
    <row r="463">
      <c r="K463">
        <f>IF(COUNTA(C463:J463)=0,"",IF(OR(C463&lt;&gt;'[Steuerung.xlsx]Steuerung'!$F$6,D463&lt;1,D463&gt;12),"Periode prüfen",IF(D463&lt;='[Steuerung.xlsx]Steuerung'!$F$8,"IST gesperrt",IF(OR(E463="",F463="",COUNT(G463:I463)&lt;&gt;3),"Angaben fehlen","Wirksam"))))</f>
        <v/>
      </c>
      <c r="L463">
        <f>IF(K463="Wirksam",SUM(G463:H463)-I463,IF(K463="","","n.a."))</f>
        <v/>
      </c>
    </row>
    <row r="464">
      <c r="K464">
        <f>IF(COUNTA(C464:J464)=0,"",IF(OR(C464&lt;&gt;'[Steuerung.xlsx]Steuerung'!$F$6,D464&lt;1,D464&gt;12),"Periode prüfen",IF(D464&lt;='[Steuerung.xlsx]Steuerung'!$F$8,"IST gesperrt",IF(OR(E464="",F464="",COUNT(G464:I464)&lt;&gt;3),"Angaben fehlen","Wirksam"))))</f>
        <v/>
      </c>
      <c r="L464">
        <f>IF(K464="Wirksam",SUM(G464:H464)-I464,IF(K464="","","n.a."))</f>
        <v/>
      </c>
    </row>
    <row r="465">
      <c r="K465">
        <f>IF(COUNTA(C465:J465)=0,"",IF(OR(C465&lt;&gt;'[Steuerung.xlsx]Steuerung'!$F$6,D465&lt;1,D465&gt;12),"Periode prüfen",IF(D465&lt;='[Steuerung.xlsx]Steuerung'!$F$8,"IST gesperrt",IF(OR(E465="",F465="",COUNT(G465:I465)&lt;&gt;3),"Angaben fehlen","Wirksam"))))</f>
        <v/>
      </c>
      <c r="L465">
        <f>IF(K465="Wirksam",SUM(G465:H465)-I465,IF(K465="","","n.a."))</f>
        <v/>
      </c>
    </row>
    <row r="466">
      <c r="K466">
        <f>IF(COUNTA(C466:J466)=0,"",IF(OR(C466&lt;&gt;'[Steuerung.xlsx]Steuerung'!$F$6,D466&lt;1,D466&gt;12),"Periode prüfen",IF(D466&lt;='[Steuerung.xlsx]Steuerung'!$F$8,"IST gesperrt",IF(OR(E466="",F466="",COUNT(G466:I466)&lt;&gt;3),"Angaben fehlen","Wirksam"))))</f>
        <v/>
      </c>
      <c r="L466">
        <f>IF(K466="Wirksam",SUM(G466:H466)-I466,IF(K466="","","n.a."))</f>
        <v/>
      </c>
    </row>
    <row r="467">
      <c r="K467">
        <f>IF(COUNTA(C467:J467)=0,"",IF(OR(C467&lt;&gt;'[Steuerung.xlsx]Steuerung'!$F$6,D467&lt;1,D467&gt;12),"Periode prüfen",IF(D467&lt;='[Steuerung.xlsx]Steuerung'!$F$8,"IST gesperrt",IF(OR(E467="",F467="",COUNT(G467:I467)&lt;&gt;3),"Angaben fehlen","Wirksam"))))</f>
        <v/>
      </c>
      <c r="L467">
        <f>IF(K467="Wirksam",SUM(G467:H467)-I467,IF(K467="","","n.a."))</f>
        <v/>
      </c>
    </row>
    <row r="468">
      <c r="K468">
        <f>IF(COUNTA(C468:J468)=0,"",IF(OR(C468&lt;&gt;'[Steuerung.xlsx]Steuerung'!$F$6,D468&lt;1,D468&gt;12),"Periode prüfen",IF(D468&lt;='[Steuerung.xlsx]Steuerung'!$F$8,"IST gesperrt",IF(OR(E468="",F468="",COUNT(G468:I468)&lt;&gt;3),"Angaben fehlen","Wirksam"))))</f>
        <v/>
      </c>
      <c r="L468">
        <f>IF(K468="Wirksam",SUM(G468:H468)-I468,IF(K468="","","n.a."))</f>
        <v/>
      </c>
    </row>
    <row r="469">
      <c r="K469">
        <f>IF(COUNTA(C469:J469)=0,"",IF(OR(C469&lt;&gt;'[Steuerung.xlsx]Steuerung'!$F$6,D469&lt;1,D469&gt;12),"Periode prüfen",IF(D469&lt;='[Steuerung.xlsx]Steuerung'!$F$8,"IST gesperrt",IF(OR(E469="",F469="",COUNT(G469:I469)&lt;&gt;3),"Angaben fehlen","Wirksam"))))</f>
        <v/>
      </c>
      <c r="L469">
        <f>IF(K469="Wirksam",SUM(G469:H469)-I469,IF(K469="","","n.a."))</f>
        <v/>
      </c>
    </row>
    <row r="470">
      <c r="K470">
        <f>IF(COUNTA(C470:J470)=0,"",IF(OR(C470&lt;&gt;'[Steuerung.xlsx]Steuerung'!$F$6,D470&lt;1,D470&gt;12),"Periode prüfen",IF(D470&lt;='[Steuerung.xlsx]Steuerung'!$F$8,"IST gesperrt",IF(OR(E470="",F470="",COUNT(G470:I470)&lt;&gt;3),"Angaben fehlen","Wirksam"))))</f>
        <v/>
      </c>
      <c r="L470">
        <f>IF(K470="Wirksam",SUM(G470:H470)-I470,IF(K470="","","n.a."))</f>
        <v/>
      </c>
    </row>
    <row r="471">
      <c r="K471">
        <f>IF(COUNTA(C471:J471)=0,"",IF(OR(C471&lt;&gt;'[Steuerung.xlsx]Steuerung'!$F$6,D471&lt;1,D471&gt;12),"Periode prüfen",IF(D471&lt;='[Steuerung.xlsx]Steuerung'!$F$8,"IST gesperrt",IF(OR(E471="",F471="",COUNT(G471:I471)&lt;&gt;3),"Angaben fehlen","Wirksam"))))</f>
        <v/>
      </c>
      <c r="L471">
        <f>IF(K471="Wirksam",SUM(G471:H471)-I471,IF(K471="","","n.a."))</f>
        <v/>
      </c>
    </row>
    <row r="472">
      <c r="K472">
        <f>IF(COUNTA(C472:J472)=0,"",IF(OR(C472&lt;&gt;'[Steuerung.xlsx]Steuerung'!$F$6,D472&lt;1,D472&gt;12),"Periode prüfen",IF(D472&lt;='[Steuerung.xlsx]Steuerung'!$F$8,"IST gesperrt",IF(OR(E472="",F472="",COUNT(G472:I472)&lt;&gt;3),"Angaben fehlen","Wirksam"))))</f>
        <v/>
      </c>
      <c r="L472">
        <f>IF(K472="Wirksam",SUM(G472:H472)-I472,IF(K472="","","n.a."))</f>
        <v/>
      </c>
    </row>
    <row r="473">
      <c r="K473">
        <f>IF(COUNTA(C473:J473)=0,"",IF(OR(C473&lt;&gt;'[Steuerung.xlsx]Steuerung'!$F$6,D473&lt;1,D473&gt;12),"Periode prüfen",IF(D473&lt;='[Steuerung.xlsx]Steuerung'!$F$8,"IST gesperrt",IF(OR(E473="",F473="",COUNT(G473:I473)&lt;&gt;3),"Angaben fehlen","Wirksam"))))</f>
        <v/>
      </c>
      <c r="L473">
        <f>IF(K473="Wirksam",SUM(G473:H473)-I473,IF(K473="","","n.a."))</f>
        <v/>
      </c>
    </row>
    <row r="474">
      <c r="K474">
        <f>IF(COUNTA(C474:J474)=0,"",IF(OR(C474&lt;&gt;'[Steuerung.xlsx]Steuerung'!$F$6,D474&lt;1,D474&gt;12),"Periode prüfen",IF(D474&lt;='[Steuerung.xlsx]Steuerung'!$F$8,"IST gesperrt",IF(OR(E474="",F474="",COUNT(G474:I474)&lt;&gt;3),"Angaben fehlen","Wirksam"))))</f>
        <v/>
      </c>
      <c r="L474">
        <f>IF(K474="Wirksam",SUM(G474:H474)-I474,IF(K474="","","n.a."))</f>
        <v/>
      </c>
    </row>
    <row r="475">
      <c r="K475">
        <f>IF(COUNTA(C475:J475)=0,"",IF(OR(C475&lt;&gt;'[Steuerung.xlsx]Steuerung'!$F$6,D475&lt;1,D475&gt;12),"Periode prüfen",IF(D475&lt;='[Steuerung.xlsx]Steuerung'!$F$8,"IST gesperrt",IF(OR(E475="",F475="",COUNT(G475:I475)&lt;&gt;3),"Angaben fehlen","Wirksam"))))</f>
        <v/>
      </c>
      <c r="L475">
        <f>IF(K475="Wirksam",SUM(G475:H475)-I475,IF(K475="","","n.a."))</f>
        <v/>
      </c>
    </row>
    <row r="476">
      <c r="K476">
        <f>IF(COUNTA(C476:J476)=0,"",IF(OR(C476&lt;&gt;'[Steuerung.xlsx]Steuerung'!$F$6,D476&lt;1,D476&gt;12),"Periode prüfen",IF(D476&lt;='[Steuerung.xlsx]Steuerung'!$F$8,"IST gesperrt",IF(OR(E476="",F476="",COUNT(G476:I476)&lt;&gt;3),"Angaben fehlen","Wirksam"))))</f>
        <v/>
      </c>
      <c r="L476">
        <f>IF(K476="Wirksam",SUM(G476:H476)-I476,IF(K476="","","n.a."))</f>
        <v/>
      </c>
    </row>
    <row r="477">
      <c r="K477">
        <f>IF(COUNTA(C477:J477)=0,"",IF(OR(C477&lt;&gt;'[Steuerung.xlsx]Steuerung'!$F$6,D477&lt;1,D477&gt;12),"Periode prüfen",IF(D477&lt;='[Steuerung.xlsx]Steuerung'!$F$8,"IST gesperrt",IF(OR(E477="",F477="",COUNT(G477:I477)&lt;&gt;3),"Angaben fehlen","Wirksam"))))</f>
        <v/>
      </c>
      <c r="L477">
        <f>IF(K477="Wirksam",SUM(G477:H477)-I477,IF(K477="","","n.a."))</f>
        <v/>
      </c>
    </row>
    <row r="478">
      <c r="K478">
        <f>IF(COUNTA(C478:J478)=0,"",IF(OR(C478&lt;&gt;'[Steuerung.xlsx]Steuerung'!$F$6,D478&lt;1,D478&gt;12),"Periode prüfen",IF(D478&lt;='[Steuerung.xlsx]Steuerung'!$F$8,"IST gesperrt",IF(OR(E478="",F478="",COUNT(G478:I478)&lt;&gt;3),"Angaben fehlen","Wirksam"))))</f>
        <v/>
      </c>
      <c r="L478">
        <f>IF(K478="Wirksam",SUM(G478:H478)-I478,IF(K478="","","n.a."))</f>
        <v/>
      </c>
    </row>
    <row r="479">
      <c r="K479">
        <f>IF(COUNTA(C479:J479)=0,"",IF(OR(C479&lt;&gt;'[Steuerung.xlsx]Steuerung'!$F$6,D479&lt;1,D479&gt;12),"Periode prüfen",IF(D479&lt;='[Steuerung.xlsx]Steuerung'!$F$8,"IST gesperrt",IF(OR(E479="",F479="",COUNT(G479:I479)&lt;&gt;3),"Angaben fehlen","Wirksam"))))</f>
        <v/>
      </c>
      <c r="L479">
        <f>IF(K479="Wirksam",SUM(G479:H479)-I479,IF(K479="","","n.a."))</f>
        <v/>
      </c>
    </row>
    <row r="480">
      <c r="K480">
        <f>IF(COUNTA(C480:J480)=0,"",IF(OR(C480&lt;&gt;'[Steuerung.xlsx]Steuerung'!$F$6,D480&lt;1,D480&gt;12),"Periode prüfen",IF(D480&lt;='[Steuerung.xlsx]Steuerung'!$F$8,"IST gesperrt",IF(OR(E480="",F480="",COUNT(G480:I480)&lt;&gt;3),"Angaben fehlen","Wirksam"))))</f>
        <v/>
      </c>
      <c r="L480">
        <f>IF(K480="Wirksam",SUM(G480:H480)-I480,IF(K480="","","n.a."))</f>
        <v/>
      </c>
    </row>
    <row r="481">
      <c r="K481">
        <f>IF(COUNTA(C481:J481)=0,"",IF(OR(C481&lt;&gt;'[Steuerung.xlsx]Steuerung'!$F$6,D481&lt;1,D481&gt;12),"Periode prüfen",IF(D481&lt;='[Steuerung.xlsx]Steuerung'!$F$8,"IST gesperrt",IF(OR(E481="",F481="",COUNT(G481:I481)&lt;&gt;3),"Angaben fehlen","Wirksam"))))</f>
        <v/>
      </c>
      <c r="L481">
        <f>IF(K481="Wirksam",SUM(G481:H481)-I481,IF(K481="","","n.a."))</f>
        <v/>
      </c>
    </row>
    <row r="482">
      <c r="K482">
        <f>IF(COUNTA(C482:J482)=0,"",IF(OR(C482&lt;&gt;'[Steuerung.xlsx]Steuerung'!$F$6,D482&lt;1,D482&gt;12),"Periode prüfen",IF(D482&lt;='[Steuerung.xlsx]Steuerung'!$F$8,"IST gesperrt",IF(OR(E482="",F482="",COUNT(G482:I482)&lt;&gt;3),"Angaben fehlen","Wirksam"))))</f>
        <v/>
      </c>
      <c r="L482">
        <f>IF(K482="Wirksam",SUM(G482:H482)-I482,IF(K482="","","n.a."))</f>
        <v/>
      </c>
    </row>
    <row r="483">
      <c r="K483">
        <f>IF(COUNTA(C483:J483)=0,"",IF(OR(C483&lt;&gt;'[Steuerung.xlsx]Steuerung'!$F$6,D483&lt;1,D483&gt;12),"Periode prüfen",IF(D483&lt;='[Steuerung.xlsx]Steuerung'!$F$8,"IST gesperrt",IF(OR(E483="",F483="",COUNT(G483:I483)&lt;&gt;3),"Angaben fehlen","Wirksam"))))</f>
        <v/>
      </c>
      <c r="L483">
        <f>IF(K483="Wirksam",SUM(G483:H483)-I483,IF(K483="","","n.a."))</f>
        <v/>
      </c>
    </row>
    <row r="484">
      <c r="K484">
        <f>IF(COUNTA(C484:J484)=0,"",IF(OR(C484&lt;&gt;'[Steuerung.xlsx]Steuerung'!$F$6,D484&lt;1,D484&gt;12),"Periode prüfen",IF(D484&lt;='[Steuerung.xlsx]Steuerung'!$F$8,"IST gesperrt",IF(OR(E484="",F484="",COUNT(G484:I484)&lt;&gt;3),"Angaben fehlen","Wirksam"))))</f>
        <v/>
      </c>
      <c r="L484">
        <f>IF(K484="Wirksam",SUM(G484:H484)-I484,IF(K484="","","n.a."))</f>
        <v/>
      </c>
    </row>
    <row r="485">
      <c r="K485">
        <f>IF(COUNTA(C485:J485)=0,"",IF(OR(C485&lt;&gt;'[Steuerung.xlsx]Steuerung'!$F$6,D485&lt;1,D485&gt;12),"Periode prüfen",IF(D485&lt;='[Steuerung.xlsx]Steuerung'!$F$8,"IST gesperrt",IF(OR(E485="",F485="",COUNT(G485:I485)&lt;&gt;3),"Angaben fehlen","Wirksam"))))</f>
        <v/>
      </c>
      <c r="L485">
        <f>IF(K485="Wirksam",SUM(G485:H485)-I485,IF(K485="","","n.a."))</f>
        <v/>
      </c>
    </row>
    <row r="486">
      <c r="K486">
        <f>IF(COUNTA(C486:J486)=0,"",IF(OR(C486&lt;&gt;'[Steuerung.xlsx]Steuerung'!$F$6,D486&lt;1,D486&gt;12),"Periode prüfen",IF(D486&lt;='[Steuerung.xlsx]Steuerung'!$F$8,"IST gesperrt",IF(OR(E486="",F486="",COUNT(G486:I486)&lt;&gt;3),"Angaben fehlen","Wirksam"))))</f>
        <v/>
      </c>
      <c r="L486">
        <f>IF(K486="Wirksam",SUM(G486:H486)-I486,IF(K486="","","n.a."))</f>
        <v/>
      </c>
    </row>
    <row r="487">
      <c r="K487">
        <f>IF(COUNTA(C487:J487)=0,"",IF(OR(C487&lt;&gt;'[Steuerung.xlsx]Steuerung'!$F$6,D487&lt;1,D487&gt;12),"Periode prüfen",IF(D487&lt;='[Steuerung.xlsx]Steuerung'!$F$8,"IST gesperrt",IF(OR(E487="",F487="",COUNT(G487:I487)&lt;&gt;3),"Angaben fehlen","Wirksam"))))</f>
        <v/>
      </c>
      <c r="L487">
        <f>IF(K487="Wirksam",SUM(G487:H487)-I487,IF(K487="","","n.a."))</f>
        <v/>
      </c>
    </row>
    <row r="488">
      <c r="K488">
        <f>IF(COUNTA(C488:J488)=0,"",IF(OR(C488&lt;&gt;'[Steuerung.xlsx]Steuerung'!$F$6,D488&lt;1,D488&gt;12),"Periode prüfen",IF(D488&lt;='[Steuerung.xlsx]Steuerung'!$F$8,"IST gesperrt",IF(OR(E488="",F488="",COUNT(G488:I488)&lt;&gt;3),"Angaben fehlen","Wirksam"))))</f>
        <v/>
      </c>
      <c r="L488">
        <f>IF(K488="Wirksam",SUM(G488:H488)-I488,IF(K488="","","n.a."))</f>
        <v/>
      </c>
    </row>
    <row r="489">
      <c r="K489">
        <f>IF(COUNTA(C489:J489)=0,"",IF(OR(C489&lt;&gt;'[Steuerung.xlsx]Steuerung'!$F$6,D489&lt;1,D489&gt;12),"Periode prüfen",IF(D489&lt;='[Steuerung.xlsx]Steuerung'!$F$8,"IST gesperrt",IF(OR(E489="",F489="",COUNT(G489:I489)&lt;&gt;3),"Angaben fehlen","Wirksam"))))</f>
        <v/>
      </c>
      <c r="L489">
        <f>IF(K489="Wirksam",SUM(G489:H489)-I489,IF(K489="","","n.a."))</f>
        <v/>
      </c>
    </row>
    <row r="490">
      <c r="K490">
        <f>IF(COUNTA(C490:J490)=0,"",IF(OR(C490&lt;&gt;'[Steuerung.xlsx]Steuerung'!$F$6,D490&lt;1,D490&gt;12),"Periode prüfen",IF(D490&lt;='[Steuerung.xlsx]Steuerung'!$F$8,"IST gesperrt",IF(OR(E490="",F490="",COUNT(G490:I490)&lt;&gt;3),"Angaben fehlen","Wirksam"))))</f>
        <v/>
      </c>
      <c r="L490">
        <f>IF(K490="Wirksam",SUM(G490:H490)-I490,IF(K490="","","n.a."))</f>
        <v/>
      </c>
    </row>
    <row r="491">
      <c r="K491">
        <f>IF(COUNTA(C491:J491)=0,"",IF(OR(C491&lt;&gt;'[Steuerung.xlsx]Steuerung'!$F$6,D491&lt;1,D491&gt;12),"Periode prüfen",IF(D491&lt;='[Steuerung.xlsx]Steuerung'!$F$8,"IST gesperrt",IF(OR(E491="",F491="",COUNT(G491:I491)&lt;&gt;3),"Angaben fehlen","Wirksam"))))</f>
        <v/>
      </c>
      <c r="L491">
        <f>IF(K491="Wirksam",SUM(G491:H491)-I491,IF(K491="","","n.a."))</f>
        <v/>
      </c>
    </row>
    <row r="492">
      <c r="K492">
        <f>IF(COUNTA(C492:J492)=0,"",IF(OR(C492&lt;&gt;'[Steuerung.xlsx]Steuerung'!$F$6,D492&lt;1,D492&gt;12),"Periode prüfen",IF(D492&lt;='[Steuerung.xlsx]Steuerung'!$F$8,"IST gesperrt",IF(OR(E492="",F492="",COUNT(G492:I492)&lt;&gt;3),"Angaben fehlen","Wirksam"))))</f>
        <v/>
      </c>
      <c r="L492">
        <f>IF(K492="Wirksam",SUM(G492:H492)-I492,IF(K492="","","n.a."))</f>
        <v/>
      </c>
    </row>
    <row r="493">
      <c r="K493">
        <f>IF(COUNTA(C493:J493)=0,"",IF(OR(C493&lt;&gt;'[Steuerung.xlsx]Steuerung'!$F$6,D493&lt;1,D493&gt;12),"Periode prüfen",IF(D493&lt;='[Steuerung.xlsx]Steuerung'!$F$8,"IST gesperrt",IF(OR(E493="",F493="",COUNT(G493:I493)&lt;&gt;3),"Angaben fehlen","Wirksam"))))</f>
        <v/>
      </c>
      <c r="L493">
        <f>IF(K493="Wirksam",SUM(G493:H493)-I493,IF(K493="","","n.a."))</f>
        <v/>
      </c>
    </row>
    <row r="494">
      <c r="K494">
        <f>IF(COUNTA(C494:J494)=0,"",IF(OR(C494&lt;&gt;'[Steuerung.xlsx]Steuerung'!$F$6,D494&lt;1,D494&gt;12),"Periode prüfen",IF(D494&lt;='[Steuerung.xlsx]Steuerung'!$F$8,"IST gesperrt",IF(OR(E494="",F494="",COUNT(G494:I494)&lt;&gt;3),"Angaben fehlen","Wirksam"))))</f>
        <v/>
      </c>
      <c r="L494">
        <f>IF(K494="Wirksam",SUM(G494:H494)-I494,IF(K494="","","n.a."))</f>
        <v/>
      </c>
    </row>
    <row r="495">
      <c r="K495">
        <f>IF(COUNTA(C495:J495)=0,"",IF(OR(C495&lt;&gt;'[Steuerung.xlsx]Steuerung'!$F$6,D495&lt;1,D495&gt;12),"Periode prüfen",IF(D495&lt;='[Steuerung.xlsx]Steuerung'!$F$8,"IST gesperrt",IF(OR(E495="",F495="",COUNT(G495:I495)&lt;&gt;3),"Angaben fehlen","Wirksam"))))</f>
        <v/>
      </c>
      <c r="L495">
        <f>IF(K495="Wirksam",SUM(G495:H495)-I495,IF(K495="","","n.a."))</f>
        <v/>
      </c>
    </row>
    <row r="496">
      <c r="K496">
        <f>IF(COUNTA(C496:J496)=0,"",IF(OR(C496&lt;&gt;'[Steuerung.xlsx]Steuerung'!$F$6,D496&lt;1,D496&gt;12),"Periode prüfen",IF(D496&lt;='[Steuerung.xlsx]Steuerung'!$F$8,"IST gesperrt",IF(OR(E496="",F496="",COUNT(G496:I496)&lt;&gt;3),"Angaben fehlen","Wirksam"))))</f>
        <v/>
      </c>
      <c r="L496">
        <f>IF(K496="Wirksam",SUM(G496:H496)-I496,IF(K496="","","n.a."))</f>
        <v/>
      </c>
    </row>
    <row r="497">
      <c r="K497">
        <f>IF(COUNTA(C497:J497)=0,"",IF(OR(C497&lt;&gt;'[Steuerung.xlsx]Steuerung'!$F$6,D497&lt;1,D497&gt;12),"Periode prüfen",IF(D497&lt;='[Steuerung.xlsx]Steuerung'!$F$8,"IST gesperrt",IF(OR(E497="",F497="",COUNT(G497:I497)&lt;&gt;3),"Angaben fehlen","Wirksam"))))</f>
        <v/>
      </c>
      <c r="L497">
        <f>IF(K497="Wirksam",SUM(G497:H497)-I497,IF(K497="","","n.a."))</f>
        <v/>
      </c>
    </row>
    <row r="498">
      <c r="K498">
        <f>IF(COUNTA(C498:J498)=0,"",IF(OR(C498&lt;&gt;'[Steuerung.xlsx]Steuerung'!$F$6,D498&lt;1,D498&gt;12),"Periode prüfen",IF(D498&lt;='[Steuerung.xlsx]Steuerung'!$F$8,"IST gesperrt",IF(OR(E498="",F498="",COUNT(G498:I498)&lt;&gt;3),"Angaben fehlen","Wirksam"))))</f>
        <v/>
      </c>
      <c r="L498">
        <f>IF(K498="Wirksam",SUM(G498:H498)-I498,IF(K498="","","n.a."))</f>
        <v/>
      </c>
    </row>
    <row r="499">
      <c r="K499">
        <f>IF(COUNTA(C499:J499)=0,"",IF(OR(C499&lt;&gt;'[Steuerung.xlsx]Steuerung'!$F$6,D499&lt;1,D499&gt;12),"Periode prüfen",IF(D499&lt;='[Steuerung.xlsx]Steuerung'!$F$8,"IST gesperrt",IF(OR(E499="",F499="",COUNT(G499:I499)&lt;&gt;3),"Angaben fehlen","Wirksam"))))</f>
        <v/>
      </c>
      <c r="L499">
        <f>IF(K499="Wirksam",SUM(G499:H499)-I499,IF(K499="","","n.a."))</f>
        <v/>
      </c>
    </row>
    <row r="500">
      <c r="K500">
        <f>IF(COUNTA(C500:J500)=0,"",IF(OR(C500&lt;&gt;'[Steuerung.xlsx]Steuerung'!$F$6,D500&lt;1,D500&gt;12),"Periode prüfen",IF(D500&lt;='[Steuerung.xlsx]Steuerung'!$F$8,"IST gesperrt",IF(OR(E500="",F500="",COUNT(G500:I500)&lt;&gt;3),"Angaben fehlen","Wirksam"))))</f>
        <v/>
      </c>
      <c r="L500">
        <f>IF(K500="Wirksam",SUM(G500:H500)-I500,IF(K500="","","n.a."))</f>
        <v/>
      </c>
    </row>
    <row r="501">
      <c r="K501">
        <f>IF(COUNTA(C501:J501)=0,"",IF(OR(C501&lt;&gt;'[Steuerung.xlsx]Steuerung'!$F$6,D501&lt;1,D501&gt;12),"Periode prüfen",IF(D501&lt;='[Steuerung.xlsx]Steuerung'!$F$8,"IST gesperrt",IF(OR(E501="",F501="",COUNT(G501:I501)&lt;&gt;3),"Angaben fehlen","Wirksam"))))</f>
        <v/>
      </c>
      <c r="L501">
        <f>IF(K501="Wirksam",SUM(G501:H501)-I501,IF(K501="","","n.a."))</f>
        <v/>
      </c>
    </row>
    <row r="502">
      <c r="K502">
        <f>IF(COUNTA(C502:J502)=0,"",IF(OR(C502&lt;&gt;'[Steuerung.xlsx]Steuerung'!$F$6,D502&lt;1,D502&gt;12),"Periode prüfen",IF(D502&lt;='[Steuerung.xlsx]Steuerung'!$F$8,"IST gesperrt",IF(OR(E502="",F502="",COUNT(G502:I502)&lt;&gt;3),"Angaben fehlen","Wirksam"))))</f>
        <v/>
      </c>
      <c r="L502">
        <f>IF(K502="Wirksam",SUM(G502:H502)-I502,IF(K502="","","n.a."))</f>
        <v/>
      </c>
    </row>
    <row r="503">
      <c r="K503">
        <f>IF(COUNTA(C503:J503)=0,"",IF(OR(C503&lt;&gt;'[Steuerung.xlsx]Steuerung'!$F$6,D503&lt;1,D503&gt;12),"Periode prüfen",IF(D503&lt;='[Steuerung.xlsx]Steuerung'!$F$8,"IST gesperrt",IF(OR(E503="",F503="",COUNT(G503:I503)&lt;&gt;3),"Angaben fehlen","Wirksam"))))</f>
        <v/>
      </c>
      <c r="L503">
        <f>IF(K503="Wirksam",SUM(G503:H503)-I503,IF(K503="","","n.a."))</f>
        <v/>
      </c>
    </row>
    <row r="504">
      <c r="K504">
        <f>IF(COUNTA(C504:J504)=0,"",IF(OR(C504&lt;&gt;'[Steuerung.xlsx]Steuerung'!$F$6,D504&lt;1,D504&gt;12),"Periode prüfen",IF(D504&lt;='[Steuerung.xlsx]Steuerung'!$F$8,"IST gesperrt",IF(OR(E504="",F504="",COUNT(G504:I504)&lt;&gt;3),"Angaben fehlen","Wirksam"))))</f>
        <v/>
      </c>
      <c r="L504">
        <f>IF(K504="Wirksam",SUM(G504:H504)-I504,IF(K504="","","n.a."))</f>
        <v/>
      </c>
    </row>
    <row r="505">
      <c r="K505">
        <f>IF(COUNTA(C505:J505)=0,"",IF(OR(C505&lt;&gt;'[Steuerung.xlsx]Steuerung'!$F$6,D505&lt;1,D505&gt;12),"Periode prüfen",IF(D505&lt;='[Steuerung.xlsx]Steuerung'!$F$8,"IST gesperrt",IF(OR(E505="",F505="",COUNT(G505:I505)&lt;&gt;3),"Angaben fehlen","Wirksam"))))</f>
        <v/>
      </c>
      <c r="L505">
        <f>IF(K505="Wirksam",SUM(G505:H505)-I505,IF(K505="","","n.a."))</f>
        <v/>
      </c>
    </row>
    <row r="506">
      <c r="K506">
        <f>IF(COUNTA(C506:J506)=0,"",IF(OR(C506&lt;&gt;'[Steuerung.xlsx]Steuerung'!$F$6,D506&lt;1,D506&gt;12),"Periode prüfen",IF(D506&lt;='[Steuerung.xlsx]Steuerung'!$F$8,"IST gesperrt",IF(OR(E506="",F506="",COUNT(G506:I506)&lt;&gt;3),"Angaben fehlen","Wirksam"))))</f>
        <v/>
      </c>
      <c r="L506">
        <f>IF(K506="Wirksam",SUM(G506:H506)-I506,IF(K506="","","n.a."))</f>
        <v/>
      </c>
    </row>
    <row r="509">
      <c r="C509" t="inlineStr">
        <is>
          <t>SharePoint-Verknüpfungen (Dateien im selben Ordner)</t>
        </is>
      </c>
    </row>
    <row r="510">
      <c r="C510" t="inlineStr">
        <is>
          <t>Diese Datei</t>
        </is>
      </c>
      <c r="D510" t="inlineStr">
        <is>
          <t>FC Eingabe.xlsx</t>
        </is>
      </c>
    </row>
    <row r="511">
      <c r="C511" t="inlineStr">
        <is>
          <t>Liest aus</t>
        </is>
      </c>
      <c r="D511" t="inlineStr">
        <is>
          <t>Steuerung.xlsx</t>
        </is>
      </c>
      <c r="E511" t="inlineStr">
        <is>
          <t>Steuerung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C2:Q24"/>
  <sheetViews>
    <sheetView workbookViewId="0">
      <selection activeCell="A1" sqref="A1"/>
    </sheetView>
  </sheetViews>
  <sheetFormatPr baseColWidth="8" defaultRowHeight="15"/>
  <sheetData>
    <row r="2">
      <c r="C2" t="inlineStr">
        <is>
          <t>GuV und EBITDA</t>
        </is>
      </c>
    </row>
    <row r="3">
      <c r="C3" t="inlineStr">
        <is>
          <t>Importierte Monatsdaten haben Vorrang vor dem Originalexport. Quelle je Monat in Zeile 23. Aufwendungen negativ, Beträge in EUR.</t>
        </is>
      </c>
    </row>
    <row r="5">
      <c r="C5" t="inlineStr">
        <is>
          <t>Position</t>
        </is>
      </c>
      <c r="F5" t="n">
        <v>1</v>
      </c>
      <c r="G5" t="n">
        <v>2</v>
      </c>
      <c r="H5" t="n">
        <v>3</v>
      </c>
      <c r="I5" t="n">
        <v>4</v>
      </c>
      <c r="J5" t="n">
        <v>5</v>
      </c>
      <c r="K5" t="n">
        <v>6</v>
      </c>
      <c r="L5" t="n">
        <v>7</v>
      </c>
      <c r="M5" t="n">
        <v>8</v>
      </c>
      <c r="N5" t="n">
        <v>9</v>
      </c>
      <c r="O5" t="n">
        <v>10</v>
      </c>
      <c r="P5" t="n">
        <v>11</v>
      </c>
      <c r="Q5" t="n">
        <v>12</v>
      </c>
    </row>
    <row r="6">
      <c r="C6" t="inlineStr">
        <is>
          <t>Position</t>
        </is>
      </c>
      <c r="D6" t="inlineStr">
        <is>
          <t>YTD</t>
        </is>
      </c>
      <c r="E6" t="inlineStr">
        <is>
          <t>Anteil</t>
        </is>
      </c>
      <c r="F6" t="inlineStr">
        <is>
          <t>Jan</t>
        </is>
      </c>
      <c r="G6" t="inlineStr">
        <is>
          <t>Feb</t>
        </is>
      </c>
      <c r="H6" t="inlineStr">
        <is>
          <t>Mär</t>
        </is>
      </c>
      <c r="I6" t="inlineStr">
        <is>
          <t>Apr</t>
        </is>
      </c>
      <c r="J6" t="inlineStr">
        <is>
          <t>Mai</t>
        </is>
      </c>
      <c r="K6" t="inlineStr">
        <is>
          <t>Jun</t>
        </is>
      </c>
      <c r="L6" t="inlineStr">
        <is>
          <t>Jul</t>
        </is>
      </c>
      <c r="M6" t="inlineStr">
        <is>
          <t>Aug</t>
        </is>
      </c>
      <c r="N6" t="inlineStr">
        <is>
          <t>Sep</t>
        </is>
      </c>
      <c r="O6" t="inlineStr">
        <is>
          <t>Okt</t>
        </is>
      </c>
      <c r="P6" t="inlineStr">
        <is>
          <t>Nov</t>
        </is>
      </c>
      <c r="Q6" t="inlineStr">
        <is>
          <t>Dez</t>
        </is>
      </c>
    </row>
    <row r="7">
      <c r="C7" t="inlineStr">
        <is>
          <t>Umsatzerlöse</t>
        </is>
      </c>
      <c r="D7">
        <f>SUMIFS(F7:Q7,$F$5:$Q$5,"&lt;="&amp;Steuerung!$F$7)</f>
        <v/>
      </c>
      <c r="E7">
        <f>IF($D$9=0,"n.a.",D7/$D$9)</f>
        <v/>
      </c>
      <c r="F7">
        <f>IF(COUNTIFS(TVFImportMonate[Jahr],Steuerung!$F$6,TVFImportMonate[Monat],1)&gt;0,SUMIFS(TVFImportMonate[Umsatz],TVFImportMonate[Jahr],Steuerung!$F$6,TVFImportMonate[Monat],1),IF(COUNTIFS('D Finanzen'!$A$45:$A$115,Steuerung!$F$6,'D Finanzen'!$B$45:$B$115,F$5)=0,"",SUMIFS('D Finanzen'!$E$45:$E$115,'D Finanzen'!$A$45:$A$115,Steuerung!$F$6,'D Finanzen'!$B$45:$B$115,F$5,'D Finanzen'!$C$45:$C$115,10)))</f>
        <v/>
      </c>
      <c r="G7">
        <f>IF(COUNTIFS(TVFImportMonate[Jahr],Steuerung!$F$6,TVFImportMonate[Monat],2)&gt;0,SUMIFS(TVFImportMonate[Umsatz],TVFImportMonate[Jahr],Steuerung!$F$6,TVFImportMonate[Monat],2),IF(COUNTIFS('D Finanzen'!$A$45:$A$115,Steuerung!$F$6,'D Finanzen'!$B$45:$B$115,G$5)=0,"",SUMIFS('D Finanzen'!$E$45:$E$115,'D Finanzen'!$A$45:$A$115,Steuerung!$F$6,'D Finanzen'!$B$45:$B$115,G$5,'D Finanzen'!$C$45:$C$115,10)))</f>
        <v/>
      </c>
      <c r="H7">
        <f>IF(COUNTIFS(TVFImportMonate[Jahr],Steuerung!$F$6,TVFImportMonate[Monat],3)&gt;0,SUMIFS(TVFImportMonate[Umsatz],TVFImportMonate[Jahr],Steuerung!$F$6,TVFImportMonate[Monat],3),IF(COUNTIFS('D Finanzen'!$A$45:$A$115,Steuerung!$F$6,'D Finanzen'!$B$45:$B$115,H$5)=0,"",SUMIFS('D Finanzen'!$E$45:$E$115,'D Finanzen'!$A$45:$A$115,Steuerung!$F$6,'D Finanzen'!$B$45:$B$115,H$5,'D Finanzen'!$C$45:$C$115,10)))</f>
        <v/>
      </c>
      <c r="I7">
        <f>IF(COUNTIFS(TVFImportMonate[Jahr],Steuerung!$F$6,TVFImportMonate[Monat],4)&gt;0,SUMIFS(TVFImportMonate[Umsatz],TVFImportMonate[Jahr],Steuerung!$F$6,TVFImportMonate[Monat],4),IF(COUNTIFS('D Finanzen'!$A$45:$A$115,Steuerung!$F$6,'D Finanzen'!$B$45:$B$115,I$5)=0,"",SUMIFS('D Finanzen'!$E$45:$E$115,'D Finanzen'!$A$45:$A$115,Steuerung!$F$6,'D Finanzen'!$B$45:$B$115,I$5,'D Finanzen'!$C$45:$C$115,10)))</f>
        <v/>
      </c>
      <c r="J7">
        <f>IF(COUNTIFS(TVFImportMonate[Jahr],Steuerung!$F$6,TVFImportMonate[Monat],5)&gt;0,SUMIFS(TVFImportMonate[Umsatz],TVFImportMonate[Jahr],Steuerung!$F$6,TVFImportMonate[Monat],5),IF(COUNTIFS('D Finanzen'!$A$45:$A$115,Steuerung!$F$6,'D Finanzen'!$B$45:$B$115,J$5)=0,"",SUMIFS('D Finanzen'!$E$45:$E$115,'D Finanzen'!$A$45:$A$115,Steuerung!$F$6,'D Finanzen'!$B$45:$B$115,J$5,'D Finanzen'!$C$45:$C$115,10)))</f>
        <v/>
      </c>
      <c r="K7">
        <f>IF(COUNTIFS(TVFImportMonate[Jahr],Steuerung!$F$6,TVFImportMonate[Monat],6)&gt;0,SUMIFS(TVFImportMonate[Umsatz],TVFImportMonate[Jahr],Steuerung!$F$6,TVFImportMonate[Monat],6),IF(COUNTIFS('D Finanzen'!$A$45:$A$115,Steuerung!$F$6,'D Finanzen'!$B$45:$B$115,K$5)=0,"",SUMIFS('D Finanzen'!$E$45:$E$115,'D Finanzen'!$A$45:$A$115,Steuerung!$F$6,'D Finanzen'!$B$45:$B$115,K$5,'D Finanzen'!$C$45:$C$115,10)))</f>
        <v/>
      </c>
      <c r="L7">
        <f>IF(COUNTIFS(TVFImportMonate[Jahr],Steuerung!$F$6,TVFImportMonate[Monat],7)&gt;0,SUMIFS(TVFImportMonate[Umsatz],TVFImportMonate[Jahr],Steuerung!$F$6,TVFImportMonate[Monat],7),IF(COUNTIFS('D Finanzen'!$A$45:$A$115,Steuerung!$F$6,'D Finanzen'!$B$45:$B$115,L$5)=0,"",SUMIFS('D Finanzen'!$E$45:$E$115,'D Finanzen'!$A$45:$A$115,Steuerung!$F$6,'D Finanzen'!$B$45:$B$115,L$5,'D Finanzen'!$C$45:$C$115,10)))</f>
        <v/>
      </c>
      <c r="M7">
        <f>IF(COUNTIFS(TVFImportMonate[Jahr],Steuerung!$F$6,TVFImportMonate[Monat],8)&gt;0,SUMIFS(TVFImportMonate[Umsatz],TVFImportMonate[Jahr],Steuerung!$F$6,TVFImportMonate[Monat],8),IF(COUNTIFS('D Finanzen'!$A$45:$A$115,Steuerung!$F$6,'D Finanzen'!$B$45:$B$115,M$5)=0,"",SUMIFS('D Finanzen'!$E$45:$E$115,'D Finanzen'!$A$45:$A$115,Steuerung!$F$6,'D Finanzen'!$B$45:$B$115,M$5,'D Finanzen'!$C$45:$C$115,10)))</f>
        <v/>
      </c>
      <c r="N7">
        <f>IF(COUNTIFS(TVFImportMonate[Jahr],Steuerung!$F$6,TVFImportMonate[Monat],9)&gt;0,SUMIFS(TVFImportMonate[Umsatz],TVFImportMonate[Jahr],Steuerung!$F$6,TVFImportMonate[Monat],9),IF(COUNTIFS('D Finanzen'!$A$45:$A$115,Steuerung!$F$6,'D Finanzen'!$B$45:$B$115,N$5)=0,"",SUMIFS('D Finanzen'!$E$45:$E$115,'D Finanzen'!$A$45:$A$115,Steuerung!$F$6,'D Finanzen'!$B$45:$B$115,N$5,'D Finanzen'!$C$45:$C$115,10)))</f>
        <v/>
      </c>
      <c r="O7">
        <f>IF(COUNTIFS(TVFImportMonate[Jahr],Steuerung!$F$6,TVFImportMonate[Monat],10)&gt;0,SUMIFS(TVFImportMonate[Umsatz],TVFImportMonate[Jahr],Steuerung!$F$6,TVFImportMonate[Monat],10),IF(COUNTIFS('D Finanzen'!$A$45:$A$115,Steuerung!$F$6,'D Finanzen'!$B$45:$B$115,O$5)=0,"",SUMIFS('D Finanzen'!$E$45:$E$115,'D Finanzen'!$A$45:$A$115,Steuerung!$F$6,'D Finanzen'!$B$45:$B$115,O$5,'D Finanzen'!$C$45:$C$115,10)))</f>
        <v/>
      </c>
      <c r="P7">
        <f>IF(COUNTIFS(TVFImportMonate[Jahr],Steuerung!$F$6,TVFImportMonate[Monat],11)&gt;0,SUMIFS(TVFImportMonate[Umsatz],TVFImportMonate[Jahr],Steuerung!$F$6,TVFImportMonate[Monat],11),IF(COUNTIFS('D Finanzen'!$A$45:$A$115,Steuerung!$F$6,'D Finanzen'!$B$45:$B$115,P$5)=0,"",SUMIFS('D Finanzen'!$E$45:$E$115,'D Finanzen'!$A$45:$A$115,Steuerung!$F$6,'D Finanzen'!$B$45:$B$115,P$5,'D Finanzen'!$C$45:$C$115,10)))</f>
        <v/>
      </c>
      <c r="Q7">
        <f>IF(COUNTIFS(TVFImportMonate[Jahr],Steuerung!$F$6,TVFImportMonate[Monat],12)&gt;0,SUMIFS(TVFImportMonate[Umsatz],TVFImportMonate[Jahr],Steuerung!$F$6,TVFImportMonate[Monat],12),IF(COUNTIFS('D Finanzen'!$A$45:$A$115,Steuerung!$F$6,'D Finanzen'!$B$45:$B$115,Q$5)=0,"",SUMIFS('D Finanzen'!$E$45:$E$115,'D Finanzen'!$A$45:$A$115,Steuerung!$F$6,'D Finanzen'!$B$45:$B$115,Q$5,'D Finanzen'!$C$45:$C$115,10)))</f>
        <v/>
      </c>
    </row>
    <row r="8">
      <c r="C8" t="inlineStr">
        <is>
          <t>Bestandsveränderungen</t>
        </is>
      </c>
      <c r="D8">
        <f>SUMIFS(F8:Q8,$F$5:$Q$5,"&lt;="&amp;Steuerung!$F$7)</f>
        <v/>
      </c>
      <c r="E8">
        <f>IF($D$9=0,"n.a.",D8/$D$9)</f>
        <v/>
      </c>
      <c r="F8">
        <f>IF(COUNTIFS(TVFImportMonate[Jahr],Steuerung!$F$6,TVFImportMonate[Monat],1)&gt;0,SUMIFS(TVFImportMonate[Bestand],TVFImportMonate[Jahr],Steuerung!$F$6,TVFImportMonate[Monat],1),IF(COUNTIFS('D Finanzen'!$A$45:$A$115,Steuerung!$F$6,'D Finanzen'!$B$45:$B$115,F$5)=0,"",SUMIFS('D Finanzen'!$E$45:$E$115,'D Finanzen'!$A$45:$A$115,Steuerung!$F$6,'D Finanzen'!$B$45:$B$115,F$5,'D Finanzen'!$C$45:$C$115,20)))</f>
        <v/>
      </c>
      <c r="G8">
        <f>IF(COUNTIFS(TVFImportMonate[Jahr],Steuerung!$F$6,TVFImportMonate[Monat],2)&gt;0,SUMIFS(TVFImportMonate[Bestand],TVFImportMonate[Jahr],Steuerung!$F$6,TVFImportMonate[Monat],2),IF(COUNTIFS('D Finanzen'!$A$45:$A$115,Steuerung!$F$6,'D Finanzen'!$B$45:$B$115,G$5)=0,"",SUMIFS('D Finanzen'!$E$45:$E$115,'D Finanzen'!$A$45:$A$115,Steuerung!$F$6,'D Finanzen'!$B$45:$B$115,G$5,'D Finanzen'!$C$45:$C$115,20)))</f>
        <v/>
      </c>
      <c r="H8">
        <f>IF(COUNTIFS(TVFImportMonate[Jahr],Steuerung!$F$6,TVFImportMonate[Monat],3)&gt;0,SUMIFS(TVFImportMonate[Bestand],TVFImportMonate[Jahr],Steuerung!$F$6,TVFImportMonate[Monat],3),IF(COUNTIFS('D Finanzen'!$A$45:$A$115,Steuerung!$F$6,'D Finanzen'!$B$45:$B$115,H$5)=0,"",SUMIFS('D Finanzen'!$E$45:$E$115,'D Finanzen'!$A$45:$A$115,Steuerung!$F$6,'D Finanzen'!$B$45:$B$115,H$5,'D Finanzen'!$C$45:$C$115,20)))</f>
        <v/>
      </c>
      <c r="I8">
        <f>IF(COUNTIFS(TVFImportMonate[Jahr],Steuerung!$F$6,TVFImportMonate[Monat],4)&gt;0,SUMIFS(TVFImportMonate[Bestand],TVFImportMonate[Jahr],Steuerung!$F$6,TVFImportMonate[Monat],4),IF(COUNTIFS('D Finanzen'!$A$45:$A$115,Steuerung!$F$6,'D Finanzen'!$B$45:$B$115,I$5)=0,"",SUMIFS('D Finanzen'!$E$45:$E$115,'D Finanzen'!$A$45:$A$115,Steuerung!$F$6,'D Finanzen'!$B$45:$B$115,I$5,'D Finanzen'!$C$45:$C$115,20)))</f>
        <v/>
      </c>
      <c r="J8">
        <f>IF(COUNTIFS(TVFImportMonate[Jahr],Steuerung!$F$6,TVFImportMonate[Monat],5)&gt;0,SUMIFS(TVFImportMonate[Bestand],TVFImportMonate[Jahr],Steuerung!$F$6,TVFImportMonate[Monat],5),IF(COUNTIFS('D Finanzen'!$A$45:$A$115,Steuerung!$F$6,'D Finanzen'!$B$45:$B$115,J$5)=0,"",SUMIFS('D Finanzen'!$E$45:$E$115,'D Finanzen'!$A$45:$A$115,Steuerung!$F$6,'D Finanzen'!$B$45:$B$115,J$5,'D Finanzen'!$C$45:$C$115,20)))</f>
        <v/>
      </c>
      <c r="K8">
        <f>IF(COUNTIFS(TVFImportMonate[Jahr],Steuerung!$F$6,TVFImportMonate[Monat],6)&gt;0,SUMIFS(TVFImportMonate[Bestand],TVFImportMonate[Jahr],Steuerung!$F$6,TVFImportMonate[Monat],6),IF(COUNTIFS('D Finanzen'!$A$45:$A$115,Steuerung!$F$6,'D Finanzen'!$B$45:$B$115,K$5)=0,"",SUMIFS('D Finanzen'!$E$45:$E$115,'D Finanzen'!$A$45:$A$115,Steuerung!$F$6,'D Finanzen'!$B$45:$B$115,K$5,'D Finanzen'!$C$45:$C$115,20)))</f>
        <v/>
      </c>
      <c r="L8">
        <f>IF(COUNTIFS(TVFImportMonate[Jahr],Steuerung!$F$6,TVFImportMonate[Monat],7)&gt;0,SUMIFS(TVFImportMonate[Bestand],TVFImportMonate[Jahr],Steuerung!$F$6,TVFImportMonate[Monat],7),IF(COUNTIFS('D Finanzen'!$A$45:$A$115,Steuerung!$F$6,'D Finanzen'!$B$45:$B$115,L$5)=0,"",SUMIFS('D Finanzen'!$E$45:$E$115,'D Finanzen'!$A$45:$A$115,Steuerung!$F$6,'D Finanzen'!$B$45:$B$115,L$5,'D Finanzen'!$C$45:$C$115,20)))</f>
        <v/>
      </c>
      <c r="M8">
        <f>IF(COUNTIFS(TVFImportMonate[Jahr],Steuerung!$F$6,TVFImportMonate[Monat],8)&gt;0,SUMIFS(TVFImportMonate[Bestand],TVFImportMonate[Jahr],Steuerung!$F$6,TVFImportMonate[Monat],8),IF(COUNTIFS('D Finanzen'!$A$45:$A$115,Steuerung!$F$6,'D Finanzen'!$B$45:$B$115,M$5)=0,"",SUMIFS('D Finanzen'!$E$45:$E$115,'D Finanzen'!$A$45:$A$115,Steuerung!$F$6,'D Finanzen'!$B$45:$B$115,M$5,'D Finanzen'!$C$45:$C$115,20)))</f>
        <v/>
      </c>
      <c r="N8">
        <f>IF(COUNTIFS(TVFImportMonate[Jahr],Steuerung!$F$6,TVFImportMonate[Monat],9)&gt;0,SUMIFS(TVFImportMonate[Bestand],TVFImportMonate[Jahr],Steuerung!$F$6,TVFImportMonate[Monat],9),IF(COUNTIFS('D Finanzen'!$A$45:$A$115,Steuerung!$F$6,'D Finanzen'!$B$45:$B$115,N$5)=0,"",SUMIFS('D Finanzen'!$E$45:$E$115,'D Finanzen'!$A$45:$A$115,Steuerung!$F$6,'D Finanzen'!$B$45:$B$115,N$5,'D Finanzen'!$C$45:$C$115,20)))</f>
        <v/>
      </c>
      <c r="O8">
        <f>IF(COUNTIFS(TVFImportMonate[Jahr],Steuerung!$F$6,TVFImportMonate[Monat],10)&gt;0,SUMIFS(TVFImportMonate[Bestand],TVFImportMonate[Jahr],Steuerung!$F$6,TVFImportMonate[Monat],10),IF(COUNTIFS('D Finanzen'!$A$45:$A$115,Steuerung!$F$6,'D Finanzen'!$B$45:$B$115,O$5)=0,"",SUMIFS('D Finanzen'!$E$45:$E$115,'D Finanzen'!$A$45:$A$115,Steuerung!$F$6,'D Finanzen'!$B$45:$B$115,O$5,'D Finanzen'!$C$45:$C$115,20)))</f>
        <v/>
      </c>
      <c r="P8">
        <f>IF(COUNTIFS(TVFImportMonate[Jahr],Steuerung!$F$6,TVFImportMonate[Monat],11)&gt;0,SUMIFS(TVFImportMonate[Bestand],TVFImportMonate[Jahr],Steuerung!$F$6,TVFImportMonate[Monat],11),IF(COUNTIFS('D Finanzen'!$A$45:$A$115,Steuerung!$F$6,'D Finanzen'!$B$45:$B$115,P$5)=0,"",SUMIFS('D Finanzen'!$E$45:$E$115,'D Finanzen'!$A$45:$A$115,Steuerung!$F$6,'D Finanzen'!$B$45:$B$115,P$5,'D Finanzen'!$C$45:$C$115,20)))</f>
        <v/>
      </c>
      <c r="Q8">
        <f>IF(COUNTIFS(TVFImportMonate[Jahr],Steuerung!$F$6,TVFImportMonate[Monat],12)&gt;0,SUMIFS(TVFImportMonate[Bestand],TVFImportMonate[Jahr],Steuerung!$F$6,TVFImportMonate[Monat],12),IF(COUNTIFS('D Finanzen'!$A$45:$A$115,Steuerung!$F$6,'D Finanzen'!$B$45:$B$115,Q$5)=0,"",SUMIFS('D Finanzen'!$E$45:$E$115,'D Finanzen'!$A$45:$A$115,Steuerung!$F$6,'D Finanzen'!$B$45:$B$115,Q$5,'D Finanzen'!$C$45:$C$115,20)))</f>
        <v/>
      </c>
    </row>
    <row r="9">
      <c r="C9" t="inlineStr">
        <is>
          <t>Gesamtleistung</t>
        </is>
      </c>
      <c r="D9">
        <f>SUMIFS(F9:Q9,$F$5:$Q$5,"&lt;="&amp;Steuerung!$F$7)</f>
        <v/>
      </c>
      <c r="E9">
        <f>IF($D$9=0,"n.a.",D9/$D$9)</f>
        <v/>
      </c>
      <c r="F9">
        <f>IF(F7="","",SUM(F7:F8))</f>
        <v/>
      </c>
      <c r="G9">
        <f>IF(G7="","",SUM(G7:G8))</f>
        <v/>
      </c>
      <c r="H9">
        <f>IF(H7="","",SUM(H7:H8))</f>
        <v/>
      </c>
      <c r="I9">
        <f>IF(I7="","",SUM(I7:I8))</f>
        <v/>
      </c>
      <c r="J9">
        <f>IF(J7="","",SUM(J7:J8))</f>
        <v/>
      </c>
      <c r="K9">
        <f>IF(K7="","",SUM(K7:K8))</f>
        <v/>
      </c>
      <c r="L9">
        <f>IF(L7="","",SUM(L7:L8))</f>
        <v/>
      </c>
      <c r="M9">
        <f>IF(M7="","",SUM(M7:M8))</f>
        <v/>
      </c>
      <c r="N9">
        <f>IF(N7="","",SUM(N7:N8))</f>
        <v/>
      </c>
      <c r="O9">
        <f>IF(O7="","",SUM(O7:O8))</f>
        <v/>
      </c>
      <c r="P9">
        <f>IF(P7="","",SUM(P7:P8))</f>
        <v/>
      </c>
      <c r="Q9">
        <f>IF(Q7="","",SUM(Q7:Q8))</f>
        <v/>
      </c>
    </row>
    <row r="10">
      <c r="C10" t="inlineStr">
        <is>
          <t>Sonstige betriebliche Erträge</t>
        </is>
      </c>
      <c r="D10">
        <f>SUMIFS(F10:Q10,$F$5:$Q$5,"&lt;="&amp;Steuerung!$F$7)</f>
        <v/>
      </c>
      <c r="E10">
        <f>IF($D$9=0,"n.a.",D10/$D$9)</f>
        <v/>
      </c>
      <c r="F10">
        <f>IF(COUNTIFS(TVFImportMonate[Jahr],Steuerung!$F$6,TVFImportMonate[Monat],1)&gt;0,SUMIFS(TVFImportMonate[Sonstige_Ertraege],TVFImportMonate[Jahr],Steuerung!$F$6,TVFImportMonate[Monat],1),IF(COUNTIFS('D Finanzen'!$A$45:$A$115,Steuerung!$F$6,'D Finanzen'!$B$45:$B$115,F$5)=0,"",SUMIFS('D Finanzen'!$E$45:$E$115,'D Finanzen'!$A$45:$A$115,Steuerung!$F$6,'D Finanzen'!$B$45:$B$115,F$5,'D Finanzen'!$C$45:$C$115,30)))</f>
        <v/>
      </c>
      <c r="G10">
        <f>IF(COUNTIFS(TVFImportMonate[Jahr],Steuerung!$F$6,TVFImportMonate[Monat],2)&gt;0,SUMIFS(TVFImportMonate[Sonstige_Ertraege],TVFImportMonate[Jahr],Steuerung!$F$6,TVFImportMonate[Monat],2),IF(COUNTIFS('D Finanzen'!$A$45:$A$115,Steuerung!$F$6,'D Finanzen'!$B$45:$B$115,G$5)=0,"",SUMIFS('D Finanzen'!$E$45:$E$115,'D Finanzen'!$A$45:$A$115,Steuerung!$F$6,'D Finanzen'!$B$45:$B$115,G$5,'D Finanzen'!$C$45:$C$115,30)))</f>
        <v/>
      </c>
      <c r="H10">
        <f>IF(COUNTIFS(TVFImportMonate[Jahr],Steuerung!$F$6,TVFImportMonate[Monat],3)&gt;0,SUMIFS(TVFImportMonate[Sonstige_Ertraege],TVFImportMonate[Jahr],Steuerung!$F$6,TVFImportMonate[Monat],3),IF(COUNTIFS('D Finanzen'!$A$45:$A$115,Steuerung!$F$6,'D Finanzen'!$B$45:$B$115,H$5)=0,"",SUMIFS('D Finanzen'!$E$45:$E$115,'D Finanzen'!$A$45:$A$115,Steuerung!$F$6,'D Finanzen'!$B$45:$B$115,H$5,'D Finanzen'!$C$45:$C$115,30)))</f>
        <v/>
      </c>
      <c r="I10">
        <f>IF(COUNTIFS(TVFImportMonate[Jahr],Steuerung!$F$6,TVFImportMonate[Monat],4)&gt;0,SUMIFS(TVFImportMonate[Sonstige_Ertraege],TVFImportMonate[Jahr],Steuerung!$F$6,TVFImportMonate[Monat],4),IF(COUNTIFS('D Finanzen'!$A$45:$A$115,Steuerung!$F$6,'D Finanzen'!$B$45:$B$115,I$5)=0,"",SUMIFS('D Finanzen'!$E$45:$E$115,'D Finanzen'!$A$45:$A$115,Steuerung!$F$6,'D Finanzen'!$B$45:$B$115,I$5,'D Finanzen'!$C$45:$C$115,30)))</f>
        <v/>
      </c>
      <c r="J10">
        <f>IF(COUNTIFS(TVFImportMonate[Jahr],Steuerung!$F$6,TVFImportMonate[Monat],5)&gt;0,SUMIFS(TVFImportMonate[Sonstige_Ertraege],TVFImportMonate[Jahr],Steuerung!$F$6,TVFImportMonate[Monat],5),IF(COUNTIFS('D Finanzen'!$A$45:$A$115,Steuerung!$F$6,'D Finanzen'!$B$45:$B$115,J$5)=0,"",SUMIFS('D Finanzen'!$E$45:$E$115,'D Finanzen'!$A$45:$A$115,Steuerung!$F$6,'D Finanzen'!$B$45:$B$115,J$5,'D Finanzen'!$C$45:$C$115,30)))</f>
        <v/>
      </c>
      <c r="K10">
        <f>IF(COUNTIFS(TVFImportMonate[Jahr],Steuerung!$F$6,TVFImportMonate[Monat],6)&gt;0,SUMIFS(TVFImportMonate[Sonstige_Ertraege],TVFImportMonate[Jahr],Steuerung!$F$6,TVFImportMonate[Monat],6),IF(COUNTIFS('D Finanzen'!$A$45:$A$115,Steuerung!$F$6,'D Finanzen'!$B$45:$B$115,K$5)=0,"",SUMIFS('D Finanzen'!$E$45:$E$115,'D Finanzen'!$A$45:$A$115,Steuerung!$F$6,'D Finanzen'!$B$45:$B$115,K$5,'D Finanzen'!$C$45:$C$115,30)))</f>
        <v/>
      </c>
      <c r="L10">
        <f>IF(COUNTIFS(TVFImportMonate[Jahr],Steuerung!$F$6,TVFImportMonate[Monat],7)&gt;0,SUMIFS(TVFImportMonate[Sonstige_Ertraege],TVFImportMonate[Jahr],Steuerung!$F$6,TVFImportMonate[Monat],7),IF(COUNTIFS('D Finanzen'!$A$45:$A$115,Steuerung!$F$6,'D Finanzen'!$B$45:$B$115,L$5)=0,"",SUMIFS('D Finanzen'!$E$45:$E$115,'D Finanzen'!$A$45:$A$115,Steuerung!$F$6,'D Finanzen'!$B$45:$B$115,L$5,'D Finanzen'!$C$45:$C$115,30)))</f>
        <v/>
      </c>
      <c r="M10">
        <f>IF(COUNTIFS(TVFImportMonate[Jahr],Steuerung!$F$6,TVFImportMonate[Monat],8)&gt;0,SUMIFS(TVFImportMonate[Sonstige_Ertraege],TVFImportMonate[Jahr],Steuerung!$F$6,TVFImportMonate[Monat],8),IF(COUNTIFS('D Finanzen'!$A$45:$A$115,Steuerung!$F$6,'D Finanzen'!$B$45:$B$115,M$5)=0,"",SUMIFS('D Finanzen'!$E$45:$E$115,'D Finanzen'!$A$45:$A$115,Steuerung!$F$6,'D Finanzen'!$B$45:$B$115,M$5,'D Finanzen'!$C$45:$C$115,30)))</f>
        <v/>
      </c>
      <c r="N10">
        <f>IF(COUNTIFS(TVFImportMonate[Jahr],Steuerung!$F$6,TVFImportMonate[Monat],9)&gt;0,SUMIFS(TVFImportMonate[Sonstige_Ertraege],TVFImportMonate[Jahr],Steuerung!$F$6,TVFImportMonate[Monat],9),IF(COUNTIFS('D Finanzen'!$A$45:$A$115,Steuerung!$F$6,'D Finanzen'!$B$45:$B$115,N$5)=0,"",SUMIFS('D Finanzen'!$E$45:$E$115,'D Finanzen'!$A$45:$A$115,Steuerung!$F$6,'D Finanzen'!$B$45:$B$115,N$5,'D Finanzen'!$C$45:$C$115,30)))</f>
        <v/>
      </c>
      <c r="O10">
        <f>IF(COUNTIFS(TVFImportMonate[Jahr],Steuerung!$F$6,TVFImportMonate[Monat],10)&gt;0,SUMIFS(TVFImportMonate[Sonstige_Ertraege],TVFImportMonate[Jahr],Steuerung!$F$6,TVFImportMonate[Monat],10),IF(COUNTIFS('D Finanzen'!$A$45:$A$115,Steuerung!$F$6,'D Finanzen'!$B$45:$B$115,O$5)=0,"",SUMIFS('D Finanzen'!$E$45:$E$115,'D Finanzen'!$A$45:$A$115,Steuerung!$F$6,'D Finanzen'!$B$45:$B$115,O$5,'D Finanzen'!$C$45:$C$115,30)))</f>
        <v/>
      </c>
      <c r="P10">
        <f>IF(COUNTIFS(TVFImportMonate[Jahr],Steuerung!$F$6,TVFImportMonate[Monat],11)&gt;0,SUMIFS(TVFImportMonate[Sonstige_Ertraege],TVFImportMonate[Jahr],Steuerung!$F$6,TVFImportMonate[Monat],11),IF(COUNTIFS('D Finanzen'!$A$45:$A$115,Steuerung!$F$6,'D Finanzen'!$B$45:$B$115,P$5)=0,"",SUMIFS('D Finanzen'!$E$45:$E$115,'D Finanzen'!$A$45:$A$115,Steuerung!$F$6,'D Finanzen'!$B$45:$B$115,P$5,'D Finanzen'!$C$45:$C$115,30)))</f>
        <v/>
      </c>
      <c r="Q10">
        <f>IF(COUNTIFS(TVFImportMonate[Jahr],Steuerung!$F$6,TVFImportMonate[Monat],12)&gt;0,SUMIFS(TVFImportMonate[Sonstige_Ertraege],TVFImportMonate[Jahr],Steuerung!$F$6,TVFImportMonate[Monat],12),IF(COUNTIFS('D Finanzen'!$A$45:$A$115,Steuerung!$F$6,'D Finanzen'!$B$45:$B$115,Q$5)=0,"",SUMIFS('D Finanzen'!$E$45:$E$115,'D Finanzen'!$A$45:$A$115,Steuerung!$F$6,'D Finanzen'!$B$45:$B$115,Q$5,'D Finanzen'!$C$45:$C$115,30)))</f>
        <v/>
      </c>
    </row>
    <row r="11">
      <c r="C11" t="inlineStr">
        <is>
          <t>Materialaufwand</t>
        </is>
      </c>
      <c r="D11">
        <f>SUMIFS(F11:Q11,$F$5:$Q$5,"&lt;="&amp;Steuerung!$F$7)</f>
        <v/>
      </c>
      <c r="E11">
        <f>IF($D$9=0,"n.a.",D11/$D$9)</f>
        <v/>
      </c>
      <c r="F11">
        <f>IF(COUNTIFS(TVFImportMonate[Jahr],Steuerung!$F$6,TVFImportMonate[Monat],1)&gt;0,SUMIFS(TVFImportMonate[Materialaufwand],TVFImportMonate[Jahr],Steuerung!$F$6,TVFImportMonate[Monat],1),IF(COUNTIFS('D Finanzen'!$A$45:$A$115,Steuerung!$F$6,'D Finanzen'!$B$45:$B$115,F$5)=0,"",SUMIFS('D Finanzen'!$E$45:$E$115,'D Finanzen'!$A$45:$A$115,Steuerung!$F$6,'D Finanzen'!$B$45:$B$115,F$5,'D Finanzen'!$C$45:$C$115,40)))</f>
        <v/>
      </c>
      <c r="G11">
        <f>IF(COUNTIFS(TVFImportMonate[Jahr],Steuerung!$F$6,TVFImportMonate[Monat],2)&gt;0,SUMIFS(TVFImportMonate[Materialaufwand],TVFImportMonate[Jahr],Steuerung!$F$6,TVFImportMonate[Monat],2),IF(COUNTIFS('D Finanzen'!$A$45:$A$115,Steuerung!$F$6,'D Finanzen'!$B$45:$B$115,G$5)=0,"",SUMIFS('D Finanzen'!$E$45:$E$115,'D Finanzen'!$A$45:$A$115,Steuerung!$F$6,'D Finanzen'!$B$45:$B$115,G$5,'D Finanzen'!$C$45:$C$115,40)))</f>
        <v/>
      </c>
      <c r="H11">
        <f>IF(COUNTIFS(TVFImportMonate[Jahr],Steuerung!$F$6,TVFImportMonate[Monat],3)&gt;0,SUMIFS(TVFImportMonate[Materialaufwand],TVFImportMonate[Jahr],Steuerung!$F$6,TVFImportMonate[Monat],3),IF(COUNTIFS('D Finanzen'!$A$45:$A$115,Steuerung!$F$6,'D Finanzen'!$B$45:$B$115,H$5)=0,"",SUMIFS('D Finanzen'!$E$45:$E$115,'D Finanzen'!$A$45:$A$115,Steuerung!$F$6,'D Finanzen'!$B$45:$B$115,H$5,'D Finanzen'!$C$45:$C$115,40)))</f>
        <v/>
      </c>
      <c r="I11">
        <f>IF(COUNTIFS(TVFImportMonate[Jahr],Steuerung!$F$6,TVFImportMonate[Monat],4)&gt;0,SUMIFS(TVFImportMonate[Materialaufwand],TVFImportMonate[Jahr],Steuerung!$F$6,TVFImportMonate[Monat],4),IF(COUNTIFS('D Finanzen'!$A$45:$A$115,Steuerung!$F$6,'D Finanzen'!$B$45:$B$115,I$5)=0,"",SUMIFS('D Finanzen'!$E$45:$E$115,'D Finanzen'!$A$45:$A$115,Steuerung!$F$6,'D Finanzen'!$B$45:$B$115,I$5,'D Finanzen'!$C$45:$C$115,40)))</f>
        <v/>
      </c>
      <c r="J11">
        <f>IF(COUNTIFS(TVFImportMonate[Jahr],Steuerung!$F$6,TVFImportMonate[Monat],5)&gt;0,SUMIFS(TVFImportMonate[Materialaufwand],TVFImportMonate[Jahr],Steuerung!$F$6,TVFImportMonate[Monat],5),IF(COUNTIFS('D Finanzen'!$A$45:$A$115,Steuerung!$F$6,'D Finanzen'!$B$45:$B$115,J$5)=0,"",SUMIFS('D Finanzen'!$E$45:$E$115,'D Finanzen'!$A$45:$A$115,Steuerung!$F$6,'D Finanzen'!$B$45:$B$115,J$5,'D Finanzen'!$C$45:$C$115,40)))</f>
        <v/>
      </c>
      <c r="K11">
        <f>IF(COUNTIFS(TVFImportMonate[Jahr],Steuerung!$F$6,TVFImportMonate[Monat],6)&gt;0,SUMIFS(TVFImportMonate[Materialaufwand],TVFImportMonate[Jahr],Steuerung!$F$6,TVFImportMonate[Monat],6),IF(COUNTIFS('D Finanzen'!$A$45:$A$115,Steuerung!$F$6,'D Finanzen'!$B$45:$B$115,K$5)=0,"",SUMIFS('D Finanzen'!$E$45:$E$115,'D Finanzen'!$A$45:$A$115,Steuerung!$F$6,'D Finanzen'!$B$45:$B$115,K$5,'D Finanzen'!$C$45:$C$115,40)))</f>
        <v/>
      </c>
      <c r="L11">
        <f>IF(COUNTIFS(TVFImportMonate[Jahr],Steuerung!$F$6,TVFImportMonate[Monat],7)&gt;0,SUMIFS(TVFImportMonate[Materialaufwand],TVFImportMonate[Jahr],Steuerung!$F$6,TVFImportMonate[Monat],7),IF(COUNTIFS('D Finanzen'!$A$45:$A$115,Steuerung!$F$6,'D Finanzen'!$B$45:$B$115,L$5)=0,"",SUMIFS('D Finanzen'!$E$45:$E$115,'D Finanzen'!$A$45:$A$115,Steuerung!$F$6,'D Finanzen'!$B$45:$B$115,L$5,'D Finanzen'!$C$45:$C$115,40)))</f>
        <v/>
      </c>
      <c r="M11">
        <f>IF(COUNTIFS(TVFImportMonate[Jahr],Steuerung!$F$6,TVFImportMonate[Monat],8)&gt;0,SUMIFS(TVFImportMonate[Materialaufwand],TVFImportMonate[Jahr],Steuerung!$F$6,TVFImportMonate[Monat],8),IF(COUNTIFS('D Finanzen'!$A$45:$A$115,Steuerung!$F$6,'D Finanzen'!$B$45:$B$115,M$5)=0,"",SUMIFS('D Finanzen'!$E$45:$E$115,'D Finanzen'!$A$45:$A$115,Steuerung!$F$6,'D Finanzen'!$B$45:$B$115,M$5,'D Finanzen'!$C$45:$C$115,40)))</f>
        <v/>
      </c>
      <c r="N11">
        <f>IF(COUNTIFS(TVFImportMonate[Jahr],Steuerung!$F$6,TVFImportMonate[Monat],9)&gt;0,SUMIFS(TVFImportMonate[Materialaufwand],TVFImportMonate[Jahr],Steuerung!$F$6,TVFImportMonate[Monat],9),IF(COUNTIFS('D Finanzen'!$A$45:$A$115,Steuerung!$F$6,'D Finanzen'!$B$45:$B$115,N$5)=0,"",SUMIFS('D Finanzen'!$E$45:$E$115,'D Finanzen'!$A$45:$A$115,Steuerung!$F$6,'D Finanzen'!$B$45:$B$115,N$5,'D Finanzen'!$C$45:$C$115,40)))</f>
        <v/>
      </c>
      <c r="O11">
        <f>IF(COUNTIFS(TVFImportMonate[Jahr],Steuerung!$F$6,TVFImportMonate[Monat],10)&gt;0,SUMIFS(TVFImportMonate[Materialaufwand],TVFImportMonate[Jahr],Steuerung!$F$6,TVFImportMonate[Monat],10),IF(COUNTIFS('D Finanzen'!$A$45:$A$115,Steuerung!$F$6,'D Finanzen'!$B$45:$B$115,O$5)=0,"",SUMIFS('D Finanzen'!$E$45:$E$115,'D Finanzen'!$A$45:$A$115,Steuerung!$F$6,'D Finanzen'!$B$45:$B$115,O$5,'D Finanzen'!$C$45:$C$115,40)))</f>
        <v/>
      </c>
      <c r="P11">
        <f>IF(COUNTIFS(TVFImportMonate[Jahr],Steuerung!$F$6,TVFImportMonate[Monat],11)&gt;0,SUMIFS(TVFImportMonate[Materialaufwand],TVFImportMonate[Jahr],Steuerung!$F$6,TVFImportMonate[Monat],11),IF(COUNTIFS('D Finanzen'!$A$45:$A$115,Steuerung!$F$6,'D Finanzen'!$B$45:$B$115,P$5)=0,"",SUMIFS('D Finanzen'!$E$45:$E$115,'D Finanzen'!$A$45:$A$115,Steuerung!$F$6,'D Finanzen'!$B$45:$B$115,P$5,'D Finanzen'!$C$45:$C$115,40)))</f>
        <v/>
      </c>
      <c r="Q11">
        <f>IF(COUNTIFS(TVFImportMonate[Jahr],Steuerung!$F$6,TVFImportMonate[Monat],12)&gt;0,SUMIFS(TVFImportMonate[Materialaufwand],TVFImportMonate[Jahr],Steuerung!$F$6,TVFImportMonate[Monat],12),IF(COUNTIFS('D Finanzen'!$A$45:$A$115,Steuerung!$F$6,'D Finanzen'!$B$45:$B$115,Q$5)=0,"",SUMIFS('D Finanzen'!$E$45:$E$115,'D Finanzen'!$A$45:$A$115,Steuerung!$F$6,'D Finanzen'!$B$45:$B$115,Q$5,'D Finanzen'!$C$45:$C$115,40)))</f>
        <v/>
      </c>
    </row>
    <row r="12">
      <c r="C12" t="inlineStr">
        <is>
          <t>Personalaufwand</t>
        </is>
      </c>
      <c r="D12">
        <f>SUMIFS(F12:Q12,$F$5:$Q$5,"&lt;="&amp;Steuerung!$F$7)</f>
        <v/>
      </c>
      <c r="E12">
        <f>IF($D$9=0,"n.a.",D12/$D$9)</f>
        <v/>
      </c>
      <c r="F12">
        <f>IF(COUNTIFS(TVFImportMonate[Jahr],Steuerung!$F$6,TVFImportMonate[Monat],1)&gt;0,SUMIFS(TVFImportMonate[Personalaufwand],TVFImportMonate[Jahr],Steuerung!$F$6,TVFImportMonate[Monat],1),IF(COUNTIFS('D Finanzen'!$A$45:$A$115,Steuerung!$F$6,'D Finanzen'!$B$45:$B$115,F$5)=0,"",SUMIFS('D Finanzen'!$E$45:$E$115,'D Finanzen'!$A$45:$A$115,Steuerung!$F$6,'D Finanzen'!$B$45:$B$115,F$5,'D Finanzen'!$C$45:$C$115,50)))</f>
        <v/>
      </c>
      <c r="G12">
        <f>IF(COUNTIFS(TVFImportMonate[Jahr],Steuerung!$F$6,TVFImportMonate[Monat],2)&gt;0,SUMIFS(TVFImportMonate[Personalaufwand],TVFImportMonate[Jahr],Steuerung!$F$6,TVFImportMonate[Monat],2),IF(COUNTIFS('D Finanzen'!$A$45:$A$115,Steuerung!$F$6,'D Finanzen'!$B$45:$B$115,G$5)=0,"",SUMIFS('D Finanzen'!$E$45:$E$115,'D Finanzen'!$A$45:$A$115,Steuerung!$F$6,'D Finanzen'!$B$45:$B$115,G$5,'D Finanzen'!$C$45:$C$115,50)))</f>
        <v/>
      </c>
      <c r="H12">
        <f>IF(COUNTIFS(TVFImportMonate[Jahr],Steuerung!$F$6,TVFImportMonate[Monat],3)&gt;0,SUMIFS(TVFImportMonate[Personalaufwand],TVFImportMonate[Jahr],Steuerung!$F$6,TVFImportMonate[Monat],3),IF(COUNTIFS('D Finanzen'!$A$45:$A$115,Steuerung!$F$6,'D Finanzen'!$B$45:$B$115,H$5)=0,"",SUMIFS('D Finanzen'!$E$45:$E$115,'D Finanzen'!$A$45:$A$115,Steuerung!$F$6,'D Finanzen'!$B$45:$B$115,H$5,'D Finanzen'!$C$45:$C$115,50)))</f>
        <v/>
      </c>
      <c r="I12">
        <f>IF(COUNTIFS(TVFImportMonate[Jahr],Steuerung!$F$6,TVFImportMonate[Monat],4)&gt;0,SUMIFS(TVFImportMonate[Personalaufwand],TVFImportMonate[Jahr],Steuerung!$F$6,TVFImportMonate[Monat],4),IF(COUNTIFS('D Finanzen'!$A$45:$A$115,Steuerung!$F$6,'D Finanzen'!$B$45:$B$115,I$5)=0,"",SUMIFS('D Finanzen'!$E$45:$E$115,'D Finanzen'!$A$45:$A$115,Steuerung!$F$6,'D Finanzen'!$B$45:$B$115,I$5,'D Finanzen'!$C$45:$C$115,50)))</f>
        <v/>
      </c>
      <c r="J12">
        <f>IF(COUNTIFS(TVFImportMonate[Jahr],Steuerung!$F$6,TVFImportMonate[Monat],5)&gt;0,SUMIFS(TVFImportMonate[Personalaufwand],TVFImportMonate[Jahr],Steuerung!$F$6,TVFImportMonate[Monat],5),IF(COUNTIFS('D Finanzen'!$A$45:$A$115,Steuerung!$F$6,'D Finanzen'!$B$45:$B$115,J$5)=0,"",SUMIFS('D Finanzen'!$E$45:$E$115,'D Finanzen'!$A$45:$A$115,Steuerung!$F$6,'D Finanzen'!$B$45:$B$115,J$5,'D Finanzen'!$C$45:$C$115,50)))</f>
        <v/>
      </c>
      <c r="K12">
        <f>IF(COUNTIFS(TVFImportMonate[Jahr],Steuerung!$F$6,TVFImportMonate[Monat],6)&gt;0,SUMIFS(TVFImportMonate[Personalaufwand],TVFImportMonate[Jahr],Steuerung!$F$6,TVFImportMonate[Monat],6),IF(COUNTIFS('D Finanzen'!$A$45:$A$115,Steuerung!$F$6,'D Finanzen'!$B$45:$B$115,K$5)=0,"",SUMIFS('D Finanzen'!$E$45:$E$115,'D Finanzen'!$A$45:$A$115,Steuerung!$F$6,'D Finanzen'!$B$45:$B$115,K$5,'D Finanzen'!$C$45:$C$115,50)))</f>
        <v/>
      </c>
      <c r="L12">
        <f>IF(COUNTIFS(TVFImportMonate[Jahr],Steuerung!$F$6,TVFImportMonate[Monat],7)&gt;0,SUMIFS(TVFImportMonate[Personalaufwand],TVFImportMonate[Jahr],Steuerung!$F$6,TVFImportMonate[Monat],7),IF(COUNTIFS('D Finanzen'!$A$45:$A$115,Steuerung!$F$6,'D Finanzen'!$B$45:$B$115,L$5)=0,"",SUMIFS('D Finanzen'!$E$45:$E$115,'D Finanzen'!$A$45:$A$115,Steuerung!$F$6,'D Finanzen'!$B$45:$B$115,L$5,'D Finanzen'!$C$45:$C$115,50)))</f>
        <v/>
      </c>
      <c r="M12">
        <f>IF(COUNTIFS(TVFImportMonate[Jahr],Steuerung!$F$6,TVFImportMonate[Monat],8)&gt;0,SUMIFS(TVFImportMonate[Personalaufwand],TVFImportMonate[Jahr],Steuerung!$F$6,TVFImportMonate[Monat],8),IF(COUNTIFS('D Finanzen'!$A$45:$A$115,Steuerung!$F$6,'D Finanzen'!$B$45:$B$115,M$5)=0,"",SUMIFS('D Finanzen'!$E$45:$E$115,'D Finanzen'!$A$45:$A$115,Steuerung!$F$6,'D Finanzen'!$B$45:$B$115,M$5,'D Finanzen'!$C$45:$C$115,50)))</f>
        <v/>
      </c>
      <c r="N12">
        <f>IF(COUNTIFS(TVFImportMonate[Jahr],Steuerung!$F$6,TVFImportMonate[Monat],9)&gt;0,SUMIFS(TVFImportMonate[Personalaufwand],TVFImportMonate[Jahr],Steuerung!$F$6,TVFImportMonate[Monat],9),IF(COUNTIFS('D Finanzen'!$A$45:$A$115,Steuerung!$F$6,'D Finanzen'!$B$45:$B$115,N$5)=0,"",SUMIFS('D Finanzen'!$E$45:$E$115,'D Finanzen'!$A$45:$A$115,Steuerung!$F$6,'D Finanzen'!$B$45:$B$115,N$5,'D Finanzen'!$C$45:$C$115,50)))</f>
        <v/>
      </c>
      <c r="O12">
        <f>IF(COUNTIFS(TVFImportMonate[Jahr],Steuerung!$F$6,TVFImportMonate[Monat],10)&gt;0,SUMIFS(TVFImportMonate[Personalaufwand],TVFImportMonate[Jahr],Steuerung!$F$6,TVFImportMonate[Monat],10),IF(COUNTIFS('D Finanzen'!$A$45:$A$115,Steuerung!$F$6,'D Finanzen'!$B$45:$B$115,O$5)=0,"",SUMIFS('D Finanzen'!$E$45:$E$115,'D Finanzen'!$A$45:$A$115,Steuerung!$F$6,'D Finanzen'!$B$45:$B$115,O$5,'D Finanzen'!$C$45:$C$115,50)))</f>
        <v/>
      </c>
      <c r="P12">
        <f>IF(COUNTIFS(TVFImportMonate[Jahr],Steuerung!$F$6,TVFImportMonate[Monat],11)&gt;0,SUMIFS(TVFImportMonate[Personalaufwand],TVFImportMonate[Jahr],Steuerung!$F$6,TVFImportMonate[Monat],11),IF(COUNTIFS('D Finanzen'!$A$45:$A$115,Steuerung!$F$6,'D Finanzen'!$B$45:$B$115,P$5)=0,"",SUMIFS('D Finanzen'!$E$45:$E$115,'D Finanzen'!$A$45:$A$115,Steuerung!$F$6,'D Finanzen'!$B$45:$B$115,P$5,'D Finanzen'!$C$45:$C$115,50)))</f>
        <v/>
      </c>
      <c r="Q12">
        <f>IF(COUNTIFS(TVFImportMonate[Jahr],Steuerung!$F$6,TVFImportMonate[Monat],12)&gt;0,SUMIFS(TVFImportMonate[Personalaufwand],TVFImportMonate[Jahr],Steuerung!$F$6,TVFImportMonate[Monat],12),IF(COUNTIFS('D Finanzen'!$A$45:$A$115,Steuerung!$F$6,'D Finanzen'!$B$45:$B$115,Q$5)=0,"",SUMIFS('D Finanzen'!$E$45:$E$115,'D Finanzen'!$A$45:$A$115,Steuerung!$F$6,'D Finanzen'!$B$45:$B$115,Q$5,'D Finanzen'!$C$45:$C$115,50)))</f>
        <v/>
      </c>
    </row>
    <row r="13">
      <c r="C13" t="inlineStr">
        <is>
          <t>Sonstige betriebliche Aufwendungen</t>
        </is>
      </c>
      <c r="D13">
        <f>SUMIFS(F13:Q13,$F$5:$Q$5,"&lt;="&amp;Steuerung!$F$7)</f>
        <v/>
      </c>
      <c r="E13">
        <f>IF($D$9=0,"n.a.",D13/$D$9)</f>
        <v/>
      </c>
      <c r="F13">
        <f>IF(COUNTIFS(TVFImportMonate[Jahr],Steuerung!$F$6,TVFImportMonate[Monat],1)&gt;0,SUMIFS(TVFImportMonate[Sonstiger_Aufwand],TVFImportMonate[Jahr],Steuerung!$F$6,TVFImportMonate[Monat],1),IF(COUNTIFS('D Finanzen'!$A$45:$A$115,Steuerung!$F$6,'D Finanzen'!$B$45:$B$115,F$5)=0,"",SUMIFS('D Finanzen'!$E$45:$E$115,'D Finanzen'!$A$45:$A$115,Steuerung!$F$6,'D Finanzen'!$B$45:$B$115,F$5,'D Finanzen'!$C$45:$C$115,70)))</f>
        <v/>
      </c>
      <c r="G13">
        <f>IF(COUNTIFS(TVFImportMonate[Jahr],Steuerung!$F$6,TVFImportMonate[Monat],2)&gt;0,SUMIFS(TVFImportMonate[Sonstiger_Aufwand],TVFImportMonate[Jahr],Steuerung!$F$6,TVFImportMonate[Monat],2),IF(COUNTIFS('D Finanzen'!$A$45:$A$115,Steuerung!$F$6,'D Finanzen'!$B$45:$B$115,G$5)=0,"",SUMIFS('D Finanzen'!$E$45:$E$115,'D Finanzen'!$A$45:$A$115,Steuerung!$F$6,'D Finanzen'!$B$45:$B$115,G$5,'D Finanzen'!$C$45:$C$115,70)))</f>
        <v/>
      </c>
      <c r="H13">
        <f>IF(COUNTIFS(TVFImportMonate[Jahr],Steuerung!$F$6,TVFImportMonate[Monat],3)&gt;0,SUMIFS(TVFImportMonate[Sonstiger_Aufwand],TVFImportMonate[Jahr],Steuerung!$F$6,TVFImportMonate[Monat],3),IF(COUNTIFS('D Finanzen'!$A$45:$A$115,Steuerung!$F$6,'D Finanzen'!$B$45:$B$115,H$5)=0,"",SUMIFS('D Finanzen'!$E$45:$E$115,'D Finanzen'!$A$45:$A$115,Steuerung!$F$6,'D Finanzen'!$B$45:$B$115,H$5,'D Finanzen'!$C$45:$C$115,70)))</f>
        <v/>
      </c>
      <c r="I13">
        <f>IF(COUNTIFS(TVFImportMonate[Jahr],Steuerung!$F$6,TVFImportMonate[Monat],4)&gt;0,SUMIFS(TVFImportMonate[Sonstiger_Aufwand],TVFImportMonate[Jahr],Steuerung!$F$6,TVFImportMonate[Monat],4),IF(COUNTIFS('D Finanzen'!$A$45:$A$115,Steuerung!$F$6,'D Finanzen'!$B$45:$B$115,I$5)=0,"",SUMIFS('D Finanzen'!$E$45:$E$115,'D Finanzen'!$A$45:$A$115,Steuerung!$F$6,'D Finanzen'!$B$45:$B$115,I$5,'D Finanzen'!$C$45:$C$115,70)))</f>
        <v/>
      </c>
      <c r="J13">
        <f>IF(COUNTIFS(TVFImportMonate[Jahr],Steuerung!$F$6,TVFImportMonate[Monat],5)&gt;0,SUMIFS(TVFImportMonate[Sonstiger_Aufwand],TVFImportMonate[Jahr],Steuerung!$F$6,TVFImportMonate[Monat],5),IF(COUNTIFS('D Finanzen'!$A$45:$A$115,Steuerung!$F$6,'D Finanzen'!$B$45:$B$115,J$5)=0,"",SUMIFS('D Finanzen'!$E$45:$E$115,'D Finanzen'!$A$45:$A$115,Steuerung!$F$6,'D Finanzen'!$B$45:$B$115,J$5,'D Finanzen'!$C$45:$C$115,70)))</f>
        <v/>
      </c>
      <c r="K13">
        <f>IF(COUNTIFS(TVFImportMonate[Jahr],Steuerung!$F$6,TVFImportMonate[Monat],6)&gt;0,SUMIFS(TVFImportMonate[Sonstiger_Aufwand],TVFImportMonate[Jahr],Steuerung!$F$6,TVFImportMonate[Monat],6),IF(COUNTIFS('D Finanzen'!$A$45:$A$115,Steuerung!$F$6,'D Finanzen'!$B$45:$B$115,K$5)=0,"",SUMIFS('D Finanzen'!$E$45:$E$115,'D Finanzen'!$A$45:$A$115,Steuerung!$F$6,'D Finanzen'!$B$45:$B$115,K$5,'D Finanzen'!$C$45:$C$115,70)))</f>
        <v/>
      </c>
      <c r="L13">
        <f>IF(COUNTIFS(TVFImportMonate[Jahr],Steuerung!$F$6,TVFImportMonate[Monat],7)&gt;0,SUMIFS(TVFImportMonate[Sonstiger_Aufwand],TVFImportMonate[Jahr],Steuerung!$F$6,TVFImportMonate[Monat],7),IF(COUNTIFS('D Finanzen'!$A$45:$A$115,Steuerung!$F$6,'D Finanzen'!$B$45:$B$115,L$5)=0,"",SUMIFS('D Finanzen'!$E$45:$E$115,'D Finanzen'!$A$45:$A$115,Steuerung!$F$6,'D Finanzen'!$B$45:$B$115,L$5,'D Finanzen'!$C$45:$C$115,70)))</f>
        <v/>
      </c>
      <c r="M13">
        <f>IF(COUNTIFS(TVFImportMonate[Jahr],Steuerung!$F$6,TVFImportMonate[Monat],8)&gt;0,SUMIFS(TVFImportMonate[Sonstiger_Aufwand],TVFImportMonate[Jahr],Steuerung!$F$6,TVFImportMonate[Monat],8),IF(COUNTIFS('D Finanzen'!$A$45:$A$115,Steuerung!$F$6,'D Finanzen'!$B$45:$B$115,M$5)=0,"",SUMIFS('D Finanzen'!$E$45:$E$115,'D Finanzen'!$A$45:$A$115,Steuerung!$F$6,'D Finanzen'!$B$45:$B$115,M$5,'D Finanzen'!$C$45:$C$115,70)))</f>
        <v/>
      </c>
      <c r="N13">
        <f>IF(COUNTIFS(TVFImportMonate[Jahr],Steuerung!$F$6,TVFImportMonate[Monat],9)&gt;0,SUMIFS(TVFImportMonate[Sonstiger_Aufwand],TVFImportMonate[Jahr],Steuerung!$F$6,TVFImportMonate[Monat],9),IF(COUNTIFS('D Finanzen'!$A$45:$A$115,Steuerung!$F$6,'D Finanzen'!$B$45:$B$115,N$5)=0,"",SUMIFS('D Finanzen'!$E$45:$E$115,'D Finanzen'!$A$45:$A$115,Steuerung!$F$6,'D Finanzen'!$B$45:$B$115,N$5,'D Finanzen'!$C$45:$C$115,70)))</f>
        <v/>
      </c>
      <c r="O13">
        <f>IF(COUNTIFS(TVFImportMonate[Jahr],Steuerung!$F$6,TVFImportMonate[Monat],10)&gt;0,SUMIFS(TVFImportMonate[Sonstiger_Aufwand],TVFImportMonate[Jahr],Steuerung!$F$6,TVFImportMonate[Monat],10),IF(COUNTIFS('D Finanzen'!$A$45:$A$115,Steuerung!$F$6,'D Finanzen'!$B$45:$B$115,O$5)=0,"",SUMIFS('D Finanzen'!$E$45:$E$115,'D Finanzen'!$A$45:$A$115,Steuerung!$F$6,'D Finanzen'!$B$45:$B$115,O$5,'D Finanzen'!$C$45:$C$115,70)))</f>
        <v/>
      </c>
      <c r="P13">
        <f>IF(COUNTIFS(TVFImportMonate[Jahr],Steuerung!$F$6,TVFImportMonate[Monat],11)&gt;0,SUMIFS(TVFImportMonate[Sonstiger_Aufwand],TVFImportMonate[Jahr],Steuerung!$F$6,TVFImportMonate[Monat],11),IF(COUNTIFS('D Finanzen'!$A$45:$A$115,Steuerung!$F$6,'D Finanzen'!$B$45:$B$115,P$5)=0,"",SUMIFS('D Finanzen'!$E$45:$E$115,'D Finanzen'!$A$45:$A$115,Steuerung!$F$6,'D Finanzen'!$B$45:$B$115,P$5,'D Finanzen'!$C$45:$C$115,70)))</f>
        <v/>
      </c>
      <c r="Q13">
        <f>IF(COUNTIFS(TVFImportMonate[Jahr],Steuerung!$F$6,TVFImportMonate[Monat],12)&gt;0,SUMIFS(TVFImportMonate[Sonstiger_Aufwand],TVFImportMonate[Jahr],Steuerung!$F$6,TVFImportMonate[Monat],12),IF(COUNTIFS('D Finanzen'!$A$45:$A$115,Steuerung!$F$6,'D Finanzen'!$B$45:$B$115,Q$5)=0,"",SUMIFS('D Finanzen'!$E$45:$E$115,'D Finanzen'!$A$45:$A$115,Steuerung!$F$6,'D Finanzen'!$B$45:$B$115,Q$5,'D Finanzen'!$C$45:$C$115,70)))</f>
        <v/>
      </c>
    </row>
    <row r="14">
      <c r="C14" t="inlineStr">
        <is>
          <t>EBITDA aus Staffel</t>
        </is>
      </c>
      <c r="D14">
        <f>SUMIFS(F14:Q14,$F$5:$Q$5,"&lt;="&amp;Steuerung!$F$7)</f>
        <v/>
      </c>
      <c r="E14">
        <f>IF($D$9=0,"n.a.",D14/$D$9)</f>
        <v/>
      </c>
      <c r="F14">
        <f>IF(F7="","",SUM(F9:F13))</f>
        <v/>
      </c>
      <c r="G14">
        <f>IF(G7="","",SUM(G9:G13))</f>
        <v/>
      </c>
      <c r="H14">
        <f>IF(H7="","",SUM(H9:H13))</f>
        <v/>
      </c>
      <c r="I14">
        <f>IF(I7="","",SUM(I9:I13))</f>
        <v/>
      </c>
      <c r="J14">
        <f>IF(J7="","",SUM(J9:J13))</f>
        <v/>
      </c>
      <c r="K14">
        <f>IF(K7="","",SUM(K9:K13))</f>
        <v/>
      </c>
      <c r="L14">
        <f>IF(L7="","",SUM(L9:L13))</f>
        <v/>
      </c>
      <c r="M14">
        <f>IF(M7="","",SUM(M9:M13))</f>
        <v/>
      </c>
      <c r="N14">
        <f>IF(N7="","",SUM(N9:N13))</f>
        <v/>
      </c>
      <c r="O14">
        <f>IF(O7="","",SUM(O9:O13))</f>
        <v/>
      </c>
      <c r="P14">
        <f>IF(P7="","",SUM(P9:P13))</f>
        <v/>
      </c>
      <c r="Q14">
        <f>IF(Q7="","",SUM(Q9:Q13))</f>
        <v/>
      </c>
    </row>
    <row r="15">
      <c r="C15" t="inlineStr">
        <is>
          <t>Abschreibungen</t>
        </is>
      </c>
      <c r="D15">
        <f>SUMIFS(F15:Q15,$F$5:$Q$5,"&lt;="&amp;Steuerung!$F$7)</f>
        <v/>
      </c>
      <c r="E15">
        <f>IF($D$9=0,"n.a.",D15/$D$9)</f>
        <v/>
      </c>
      <c r="F15">
        <f>IF(COUNTIFS(TVFImportMonate[Jahr],Steuerung!$F$6,TVFImportMonate[Monat],1)&gt;0,SUMIFS(TVFImportMonate[Abschreibungen],TVFImportMonate[Jahr],Steuerung!$F$6,TVFImportMonate[Monat],1),IF(COUNTIFS('D Finanzen'!$A$45:$A$115,Steuerung!$F$6,'D Finanzen'!$B$45:$B$115,F$5)=0,"",SUMIFS('D Finanzen'!$E$45:$E$115,'D Finanzen'!$A$45:$A$115,Steuerung!$F$6,'D Finanzen'!$B$45:$B$115,F$5,'D Finanzen'!$C$45:$C$115,60)))</f>
        <v/>
      </c>
      <c r="G15">
        <f>IF(COUNTIFS(TVFImportMonate[Jahr],Steuerung!$F$6,TVFImportMonate[Monat],2)&gt;0,SUMIFS(TVFImportMonate[Abschreibungen],TVFImportMonate[Jahr],Steuerung!$F$6,TVFImportMonate[Monat],2),IF(COUNTIFS('D Finanzen'!$A$45:$A$115,Steuerung!$F$6,'D Finanzen'!$B$45:$B$115,G$5)=0,"",SUMIFS('D Finanzen'!$E$45:$E$115,'D Finanzen'!$A$45:$A$115,Steuerung!$F$6,'D Finanzen'!$B$45:$B$115,G$5,'D Finanzen'!$C$45:$C$115,60)))</f>
        <v/>
      </c>
      <c r="H15">
        <f>IF(COUNTIFS(TVFImportMonate[Jahr],Steuerung!$F$6,TVFImportMonate[Monat],3)&gt;0,SUMIFS(TVFImportMonate[Abschreibungen],TVFImportMonate[Jahr],Steuerung!$F$6,TVFImportMonate[Monat],3),IF(COUNTIFS('D Finanzen'!$A$45:$A$115,Steuerung!$F$6,'D Finanzen'!$B$45:$B$115,H$5)=0,"",SUMIFS('D Finanzen'!$E$45:$E$115,'D Finanzen'!$A$45:$A$115,Steuerung!$F$6,'D Finanzen'!$B$45:$B$115,H$5,'D Finanzen'!$C$45:$C$115,60)))</f>
        <v/>
      </c>
      <c r="I15">
        <f>IF(COUNTIFS(TVFImportMonate[Jahr],Steuerung!$F$6,TVFImportMonate[Monat],4)&gt;0,SUMIFS(TVFImportMonate[Abschreibungen],TVFImportMonate[Jahr],Steuerung!$F$6,TVFImportMonate[Monat],4),IF(COUNTIFS('D Finanzen'!$A$45:$A$115,Steuerung!$F$6,'D Finanzen'!$B$45:$B$115,I$5)=0,"",SUMIFS('D Finanzen'!$E$45:$E$115,'D Finanzen'!$A$45:$A$115,Steuerung!$F$6,'D Finanzen'!$B$45:$B$115,I$5,'D Finanzen'!$C$45:$C$115,60)))</f>
        <v/>
      </c>
      <c r="J15">
        <f>IF(COUNTIFS(TVFImportMonate[Jahr],Steuerung!$F$6,TVFImportMonate[Monat],5)&gt;0,SUMIFS(TVFImportMonate[Abschreibungen],TVFImportMonate[Jahr],Steuerung!$F$6,TVFImportMonate[Monat],5),IF(COUNTIFS('D Finanzen'!$A$45:$A$115,Steuerung!$F$6,'D Finanzen'!$B$45:$B$115,J$5)=0,"",SUMIFS('D Finanzen'!$E$45:$E$115,'D Finanzen'!$A$45:$A$115,Steuerung!$F$6,'D Finanzen'!$B$45:$B$115,J$5,'D Finanzen'!$C$45:$C$115,60)))</f>
        <v/>
      </c>
      <c r="K15">
        <f>IF(COUNTIFS(TVFImportMonate[Jahr],Steuerung!$F$6,TVFImportMonate[Monat],6)&gt;0,SUMIFS(TVFImportMonate[Abschreibungen],TVFImportMonate[Jahr],Steuerung!$F$6,TVFImportMonate[Monat],6),IF(COUNTIFS('D Finanzen'!$A$45:$A$115,Steuerung!$F$6,'D Finanzen'!$B$45:$B$115,K$5)=0,"",SUMIFS('D Finanzen'!$E$45:$E$115,'D Finanzen'!$A$45:$A$115,Steuerung!$F$6,'D Finanzen'!$B$45:$B$115,K$5,'D Finanzen'!$C$45:$C$115,60)))</f>
        <v/>
      </c>
      <c r="L15">
        <f>IF(COUNTIFS(TVFImportMonate[Jahr],Steuerung!$F$6,TVFImportMonate[Monat],7)&gt;0,SUMIFS(TVFImportMonate[Abschreibungen],TVFImportMonate[Jahr],Steuerung!$F$6,TVFImportMonate[Monat],7),IF(COUNTIFS('D Finanzen'!$A$45:$A$115,Steuerung!$F$6,'D Finanzen'!$B$45:$B$115,L$5)=0,"",SUMIFS('D Finanzen'!$E$45:$E$115,'D Finanzen'!$A$45:$A$115,Steuerung!$F$6,'D Finanzen'!$B$45:$B$115,L$5,'D Finanzen'!$C$45:$C$115,60)))</f>
        <v/>
      </c>
      <c r="M15">
        <f>IF(COUNTIFS(TVFImportMonate[Jahr],Steuerung!$F$6,TVFImportMonate[Monat],8)&gt;0,SUMIFS(TVFImportMonate[Abschreibungen],TVFImportMonate[Jahr],Steuerung!$F$6,TVFImportMonate[Monat],8),IF(COUNTIFS('D Finanzen'!$A$45:$A$115,Steuerung!$F$6,'D Finanzen'!$B$45:$B$115,M$5)=0,"",SUMIFS('D Finanzen'!$E$45:$E$115,'D Finanzen'!$A$45:$A$115,Steuerung!$F$6,'D Finanzen'!$B$45:$B$115,M$5,'D Finanzen'!$C$45:$C$115,60)))</f>
        <v/>
      </c>
      <c r="N15">
        <f>IF(COUNTIFS(TVFImportMonate[Jahr],Steuerung!$F$6,TVFImportMonate[Monat],9)&gt;0,SUMIFS(TVFImportMonate[Abschreibungen],TVFImportMonate[Jahr],Steuerung!$F$6,TVFImportMonate[Monat],9),IF(COUNTIFS('D Finanzen'!$A$45:$A$115,Steuerung!$F$6,'D Finanzen'!$B$45:$B$115,N$5)=0,"",SUMIFS('D Finanzen'!$E$45:$E$115,'D Finanzen'!$A$45:$A$115,Steuerung!$F$6,'D Finanzen'!$B$45:$B$115,N$5,'D Finanzen'!$C$45:$C$115,60)))</f>
        <v/>
      </c>
      <c r="O15">
        <f>IF(COUNTIFS(TVFImportMonate[Jahr],Steuerung!$F$6,TVFImportMonate[Monat],10)&gt;0,SUMIFS(TVFImportMonate[Abschreibungen],TVFImportMonate[Jahr],Steuerung!$F$6,TVFImportMonate[Monat],10),IF(COUNTIFS('D Finanzen'!$A$45:$A$115,Steuerung!$F$6,'D Finanzen'!$B$45:$B$115,O$5)=0,"",SUMIFS('D Finanzen'!$E$45:$E$115,'D Finanzen'!$A$45:$A$115,Steuerung!$F$6,'D Finanzen'!$B$45:$B$115,O$5,'D Finanzen'!$C$45:$C$115,60)))</f>
        <v/>
      </c>
      <c r="P15">
        <f>IF(COUNTIFS(TVFImportMonate[Jahr],Steuerung!$F$6,TVFImportMonate[Monat],11)&gt;0,SUMIFS(TVFImportMonate[Abschreibungen],TVFImportMonate[Jahr],Steuerung!$F$6,TVFImportMonate[Monat],11),IF(COUNTIFS('D Finanzen'!$A$45:$A$115,Steuerung!$F$6,'D Finanzen'!$B$45:$B$115,P$5)=0,"",SUMIFS('D Finanzen'!$E$45:$E$115,'D Finanzen'!$A$45:$A$115,Steuerung!$F$6,'D Finanzen'!$B$45:$B$115,P$5,'D Finanzen'!$C$45:$C$115,60)))</f>
        <v/>
      </c>
      <c r="Q15">
        <f>IF(COUNTIFS(TVFImportMonate[Jahr],Steuerung!$F$6,TVFImportMonate[Monat],12)&gt;0,SUMIFS(TVFImportMonate[Abschreibungen],TVFImportMonate[Jahr],Steuerung!$F$6,TVFImportMonate[Monat],12),IF(COUNTIFS('D Finanzen'!$A$45:$A$115,Steuerung!$F$6,'D Finanzen'!$B$45:$B$115,Q$5)=0,"",SUMIFS('D Finanzen'!$E$45:$E$115,'D Finanzen'!$A$45:$A$115,Steuerung!$F$6,'D Finanzen'!$B$45:$B$115,Q$5,'D Finanzen'!$C$45:$C$115,60)))</f>
        <v/>
      </c>
    </row>
    <row r="16">
      <c r="C16" t="inlineStr">
        <is>
          <t>EBIT</t>
        </is>
      </c>
      <c r="D16">
        <f>SUMIFS(F16:Q16,$F$5:$Q$5,"&lt;="&amp;Steuerung!$F$7)</f>
        <v/>
      </c>
      <c r="E16">
        <f>IF($D$9=0,"n.a.",D16/$D$9)</f>
        <v/>
      </c>
      <c r="F16">
        <f>IF(F7="","",SUM(F14:F15))</f>
        <v/>
      </c>
      <c r="G16">
        <f>IF(G7="","",SUM(G14:G15))</f>
        <v/>
      </c>
      <c r="H16">
        <f>IF(H7="","",SUM(H14:H15))</f>
        <v/>
      </c>
      <c r="I16">
        <f>IF(I7="","",SUM(I14:I15))</f>
        <v/>
      </c>
      <c r="J16">
        <f>IF(J7="","",SUM(J14:J15))</f>
        <v/>
      </c>
      <c r="K16">
        <f>IF(K7="","",SUM(K14:K15))</f>
        <v/>
      </c>
      <c r="L16">
        <f>IF(L7="","",SUM(L14:L15))</f>
        <v/>
      </c>
      <c r="M16">
        <f>IF(M7="","",SUM(M14:M15))</f>
        <v/>
      </c>
      <c r="N16">
        <f>IF(N7="","",SUM(N14:N15))</f>
        <v/>
      </c>
      <c r="O16">
        <f>IF(O7="","",SUM(O14:O15))</f>
        <v/>
      </c>
      <c r="P16">
        <f>IF(P7="","",SUM(P14:P15))</f>
        <v/>
      </c>
      <c r="Q16">
        <f>IF(Q7="","",SUM(Q14:Q15))</f>
        <v/>
      </c>
    </row>
    <row r="17">
      <c r="C17" t="inlineStr">
        <is>
          <t>Finanzergebnis</t>
        </is>
      </c>
      <c r="D17">
        <f>SUMIFS(F17:Q17,$F$5:$Q$5,"&lt;="&amp;Steuerung!$F$7)</f>
        <v/>
      </c>
      <c r="E17">
        <f>IF($D$9=0,"n.a.",D17/$D$9)</f>
        <v/>
      </c>
      <c r="F17">
        <f>IF(COUNTIFS(TVFImportMonate[Jahr],Steuerung!$F$6,TVFImportMonate[Monat],1)&gt;0,SUMIFS(TVFImportMonate[Finanzergebnis],TVFImportMonate[Jahr],Steuerung!$F$6,TVFImportMonate[Monat],1),IF(COUNTIFS('D Finanzen'!$A$45:$A$115,Steuerung!$F$6,'D Finanzen'!$B$45:$B$115,F$5)=0,"",SUMIFS('D Finanzen'!$E$45:$E$115,'D Finanzen'!$A$45:$A$115,Steuerung!$F$6,'D Finanzen'!$B$45:$B$115,F$5,'D Finanzen'!$C$45:$C$115,80)))</f>
        <v/>
      </c>
      <c r="G17">
        <f>IF(COUNTIFS(TVFImportMonate[Jahr],Steuerung!$F$6,TVFImportMonate[Monat],2)&gt;0,SUMIFS(TVFImportMonate[Finanzergebnis],TVFImportMonate[Jahr],Steuerung!$F$6,TVFImportMonate[Monat],2),IF(COUNTIFS('D Finanzen'!$A$45:$A$115,Steuerung!$F$6,'D Finanzen'!$B$45:$B$115,G$5)=0,"",SUMIFS('D Finanzen'!$E$45:$E$115,'D Finanzen'!$A$45:$A$115,Steuerung!$F$6,'D Finanzen'!$B$45:$B$115,G$5,'D Finanzen'!$C$45:$C$115,80)))</f>
        <v/>
      </c>
      <c r="H17">
        <f>IF(COUNTIFS(TVFImportMonate[Jahr],Steuerung!$F$6,TVFImportMonate[Monat],3)&gt;0,SUMIFS(TVFImportMonate[Finanzergebnis],TVFImportMonate[Jahr],Steuerung!$F$6,TVFImportMonate[Monat],3),IF(COUNTIFS('D Finanzen'!$A$45:$A$115,Steuerung!$F$6,'D Finanzen'!$B$45:$B$115,H$5)=0,"",SUMIFS('D Finanzen'!$E$45:$E$115,'D Finanzen'!$A$45:$A$115,Steuerung!$F$6,'D Finanzen'!$B$45:$B$115,H$5,'D Finanzen'!$C$45:$C$115,80)))</f>
        <v/>
      </c>
      <c r="I17">
        <f>IF(COUNTIFS(TVFImportMonate[Jahr],Steuerung!$F$6,TVFImportMonate[Monat],4)&gt;0,SUMIFS(TVFImportMonate[Finanzergebnis],TVFImportMonate[Jahr],Steuerung!$F$6,TVFImportMonate[Monat],4),IF(COUNTIFS('D Finanzen'!$A$45:$A$115,Steuerung!$F$6,'D Finanzen'!$B$45:$B$115,I$5)=0,"",SUMIFS('D Finanzen'!$E$45:$E$115,'D Finanzen'!$A$45:$A$115,Steuerung!$F$6,'D Finanzen'!$B$45:$B$115,I$5,'D Finanzen'!$C$45:$C$115,80)))</f>
        <v/>
      </c>
      <c r="J17">
        <f>IF(COUNTIFS(TVFImportMonate[Jahr],Steuerung!$F$6,TVFImportMonate[Monat],5)&gt;0,SUMIFS(TVFImportMonate[Finanzergebnis],TVFImportMonate[Jahr],Steuerung!$F$6,TVFImportMonate[Monat],5),IF(COUNTIFS('D Finanzen'!$A$45:$A$115,Steuerung!$F$6,'D Finanzen'!$B$45:$B$115,J$5)=0,"",SUMIFS('D Finanzen'!$E$45:$E$115,'D Finanzen'!$A$45:$A$115,Steuerung!$F$6,'D Finanzen'!$B$45:$B$115,J$5,'D Finanzen'!$C$45:$C$115,80)))</f>
        <v/>
      </c>
      <c r="K17">
        <f>IF(COUNTIFS(TVFImportMonate[Jahr],Steuerung!$F$6,TVFImportMonate[Monat],6)&gt;0,SUMIFS(TVFImportMonate[Finanzergebnis],TVFImportMonate[Jahr],Steuerung!$F$6,TVFImportMonate[Monat],6),IF(COUNTIFS('D Finanzen'!$A$45:$A$115,Steuerung!$F$6,'D Finanzen'!$B$45:$B$115,K$5)=0,"",SUMIFS('D Finanzen'!$E$45:$E$115,'D Finanzen'!$A$45:$A$115,Steuerung!$F$6,'D Finanzen'!$B$45:$B$115,K$5,'D Finanzen'!$C$45:$C$115,80)))</f>
        <v/>
      </c>
      <c r="L17">
        <f>IF(COUNTIFS(TVFImportMonate[Jahr],Steuerung!$F$6,TVFImportMonate[Monat],7)&gt;0,SUMIFS(TVFImportMonate[Finanzergebnis],TVFImportMonate[Jahr],Steuerung!$F$6,TVFImportMonate[Monat],7),IF(COUNTIFS('D Finanzen'!$A$45:$A$115,Steuerung!$F$6,'D Finanzen'!$B$45:$B$115,L$5)=0,"",SUMIFS('D Finanzen'!$E$45:$E$115,'D Finanzen'!$A$45:$A$115,Steuerung!$F$6,'D Finanzen'!$B$45:$B$115,L$5,'D Finanzen'!$C$45:$C$115,80)))</f>
        <v/>
      </c>
      <c r="M17">
        <f>IF(COUNTIFS(TVFImportMonate[Jahr],Steuerung!$F$6,TVFImportMonate[Monat],8)&gt;0,SUMIFS(TVFImportMonate[Finanzergebnis],TVFImportMonate[Jahr],Steuerung!$F$6,TVFImportMonate[Monat],8),IF(COUNTIFS('D Finanzen'!$A$45:$A$115,Steuerung!$F$6,'D Finanzen'!$B$45:$B$115,M$5)=0,"",SUMIFS('D Finanzen'!$E$45:$E$115,'D Finanzen'!$A$45:$A$115,Steuerung!$F$6,'D Finanzen'!$B$45:$B$115,M$5,'D Finanzen'!$C$45:$C$115,80)))</f>
        <v/>
      </c>
      <c r="N17">
        <f>IF(COUNTIFS(TVFImportMonate[Jahr],Steuerung!$F$6,TVFImportMonate[Monat],9)&gt;0,SUMIFS(TVFImportMonate[Finanzergebnis],TVFImportMonate[Jahr],Steuerung!$F$6,TVFImportMonate[Monat],9),IF(COUNTIFS('D Finanzen'!$A$45:$A$115,Steuerung!$F$6,'D Finanzen'!$B$45:$B$115,N$5)=0,"",SUMIFS('D Finanzen'!$E$45:$E$115,'D Finanzen'!$A$45:$A$115,Steuerung!$F$6,'D Finanzen'!$B$45:$B$115,N$5,'D Finanzen'!$C$45:$C$115,80)))</f>
        <v/>
      </c>
      <c r="O17">
        <f>IF(COUNTIFS(TVFImportMonate[Jahr],Steuerung!$F$6,TVFImportMonate[Monat],10)&gt;0,SUMIFS(TVFImportMonate[Finanzergebnis],TVFImportMonate[Jahr],Steuerung!$F$6,TVFImportMonate[Monat],10),IF(COUNTIFS('D Finanzen'!$A$45:$A$115,Steuerung!$F$6,'D Finanzen'!$B$45:$B$115,O$5)=0,"",SUMIFS('D Finanzen'!$E$45:$E$115,'D Finanzen'!$A$45:$A$115,Steuerung!$F$6,'D Finanzen'!$B$45:$B$115,O$5,'D Finanzen'!$C$45:$C$115,80)))</f>
        <v/>
      </c>
      <c r="P17">
        <f>IF(COUNTIFS(TVFImportMonate[Jahr],Steuerung!$F$6,TVFImportMonate[Monat],11)&gt;0,SUMIFS(TVFImportMonate[Finanzergebnis],TVFImportMonate[Jahr],Steuerung!$F$6,TVFImportMonate[Monat],11),IF(COUNTIFS('D Finanzen'!$A$45:$A$115,Steuerung!$F$6,'D Finanzen'!$B$45:$B$115,P$5)=0,"",SUMIFS('D Finanzen'!$E$45:$E$115,'D Finanzen'!$A$45:$A$115,Steuerung!$F$6,'D Finanzen'!$B$45:$B$115,P$5,'D Finanzen'!$C$45:$C$115,80)))</f>
        <v/>
      </c>
      <c r="Q17">
        <f>IF(COUNTIFS(TVFImportMonate[Jahr],Steuerung!$F$6,TVFImportMonate[Monat],12)&gt;0,SUMIFS(TVFImportMonate[Finanzergebnis],TVFImportMonate[Jahr],Steuerung!$F$6,TVFImportMonate[Monat],12),IF(COUNTIFS('D Finanzen'!$A$45:$A$115,Steuerung!$F$6,'D Finanzen'!$B$45:$B$115,Q$5)=0,"",SUMIFS('D Finanzen'!$E$45:$E$115,'D Finanzen'!$A$45:$A$115,Steuerung!$F$6,'D Finanzen'!$B$45:$B$115,Q$5,'D Finanzen'!$C$45:$C$115,80)))</f>
        <v/>
      </c>
    </row>
    <row r="18">
      <c r="C18" t="inlineStr">
        <is>
          <t>Ergebnis aus Staffel</t>
        </is>
      </c>
      <c r="D18">
        <f>SUMIFS(F18:Q18,$F$5:$Q$5,"&lt;="&amp;Steuerung!$F$7)</f>
        <v/>
      </c>
      <c r="E18">
        <f>IF($D$9=0,"n.a.",D18/$D$9)</f>
        <v/>
      </c>
      <c r="F18">
        <f>IF(F7="","",SUM(F16:F17))</f>
        <v/>
      </c>
      <c r="G18">
        <f>IF(G7="","",SUM(G16:G17))</f>
        <v/>
      </c>
      <c r="H18">
        <f>IF(H7="","",SUM(H16:H17))</f>
        <v/>
      </c>
      <c r="I18">
        <f>IF(I7="","",SUM(I16:I17))</f>
        <v/>
      </c>
      <c r="J18">
        <f>IF(J7="","",SUM(J16:J17))</f>
        <v/>
      </c>
      <c r="K18">
        <f>IF(K7="","",SUM(K16:K17))</f>
        <v/>
      </c>
      <c r="L18">
        <f>IF(L7="","",SUM(L16:L17))</f>
        <v/>
      </c>
      <c r="M18">
        <f>IF(M7="","",SUM(M16:M17))</f>
        <v/>
      </c>
      <c r="N18">
        <f>IF(N7="","",SUM(N16:N17))</f>
        <v/>
      </c>
      <c r="O18">
        <f>IF(O7="","",SUM(O16:O17))</f>
        <v/>
      </c>
      <c r="P18">
        <f>IF(P7="","",SUM(P16:P17))</f>
        <v/>
      </c>
      <c r="Q18">
        <f>IF(Q7="","",SUM(Q16:Q17))</f>
        <v/>
      </c>
    </row>
    <row r="20">
      <c r="C20" t="inlineStr">
        <is>
          <t>EBITDA Cockpit-Definition</t>
        </is>
      </c>
      <c r="D20">
        <f>SUMIFS(F20:Q20,$F$5:$Q$5,"&lt;="&amp;Steuerung!$F$7)</f>
        <v/>
      </c>
      <c r="E20">
        <f>IF($D$9=0,"n.a.",D20/$D$9)</f>
        <v/>
      </c>
      <c r="F20">
        <f>IF(COUNTIFS(TVFImportMonate[Jahr],Steuerung!$F$6,TVFImportMonate[Monat],1)&gt;0,F14,IF(COUNTIFS('D Finanzen'!$A$8:$A$16,Steuerung!$F$6,'D Finanzen'!$B$8:$B$16,F$5)=0,"",SUMIFS('D Finanzen'!$F$8:$F$16,'D Finanzen'!$A$8:$A$16,Steuerung!$F$6,'D Finanzen'!$B$8:$B$16,F$5)))</f>
        <v/>
      </c>
      <c r="G20">
        <f>IF(COUNTIFS(TVFImportMonate[Jahr],Steuerung!$F$6,TVFImportMonate[Monat],2)&gt;0,G14,IF(COUNTIFS('D Finanzen'!$A$8:$A$16,Steuerung!$F$6,'D Finanzen'!$B$8:$B$16,G$5)=0,"",SUMIFS('D Finanzen'!$F$8:$F$16,'D Finanzen'!$A$8:$A$16,Steuerung!$F$6,'D Finanzen'!$B$8:$B$16,G$5)))</f>
        <v/>
      </c>
      <c r="H20">
        <f>IF(COUNTIFS(TVFImportMonate[Jahr],Steuerung!$F$6,TVFImportMonate[Monat],3)&gt;0,H14,IF(COUNTIFS('D Finanzen'!$A$8:$A$16,Steuerung!$F$6,'D Finanzen'!$B$8:$B$16,H$5)=0,"",SUMIFS('D Finanzen'!$F$8:$F$16,'D Finanzen'!$A$8:$A$16,Steuerung!$F$6,'D Finanzen'!$B$8:$B$16,H$5)))</f>
        <v/>
      </c>
      <c r="I20">
        <f>IF(COUNTIFS(TVFImportMonate[Jahr],Steuerung!$F$6,TVFImportMonate[Monat],4)&gt;0,I14,IF(COUNTIFS('D Finanzen'!$A$8:$A$16,Steuerung!$F$6,'D Finanzen'!$B$8:$B$16,I$5)=0,"",SUMIFS('D Finanzen'!$F$8:$F$16,'D Finanzen'!$A$8:$A$16,Steuerung!$F$6,'D Finanzen'!$B$8:$B$16,I$5)))</f>
        <v/>
      </c>
      <c r="J20">
        <f>IF(COUNTIFS(TVFImportMonate[Jahr],Steuerung!$F$6,TVFImportMonate[Monat],5)&gt;0,J14,IF(COUNTIFS('D Finanzen'!$A$8:$A$16,Steuerung!$F$6,'D Finanzen'!$B$8:$B$16,J$5)=0,"",SUMIFS('D Finanzen'!$F$8:$F$16,'D Finanzen'!$A$8:$A$16,Steuerung!$F$6,'D Finanzen'!$B$8:$B$16,J$5)))</f>
        <v/>
      </c>
      <c r="K20">
        <f>IF(COUNTIFS(TVFImportMonate[Jahr],Steuerung!$F$6,TVFImportMonate[Monat],6)&gt;0,K14,IF(COUNTIFS('D Finanzen'!$A$8:$A$16,Steuerung!$F$6,'D Finanzen'!$B$8:$B$16,K$5)=0,"",SUMIFS('D Finanzen'!$F$8:$F$16,'D Finanzen'!$A$8:$A$16,Steuerung!$F$6,'D Finanzen'!$B$8:$B$16,K$5)))</f>
        <v/>
      </c>
      <c r="L20">
        <f>IF(COUNTIFS(TVFImportMonate[Jahr],Steuerung!$F$6,TVFImportMonate[Monat],7)&gt;0,L14,IF(COUNTIFS('D Finanzen'!$A$8:$A$16,Steuerung!$F$6,'D Finanzen'!$B$8:$B$16,L$5)=0,"",SUMIFS('D Finanzen'!$F$8:$F$16,'D Finanzen'!$A$8:$A$16,Steuerung!$F$6,'D Finanzen'!$B$8:$B$16,L$5)))</f>
        <v/>
      </c>
      <c r="M20">
        <f>IF(COUNTIFS(TVFImportMonate[Jahr],Steuerung!$F$6,TVFImportMonate[Monat],8)&gt;0,M14,IF(COUNTIFS('D Finanzen'!$A$8:$A$16,Steuerung!$F$6,'D Finanzen'!$B$8:$B$16,M$5)=0,"",SUMIFS('D Finanzen'!$F$8:$F$16,'D Finanzen'!$A$8:$A$16,Steuerung!$F$6,'D Finanzen'!$B$8:$B$16,M$5)))</f>
        <v/>
      </c>
      <c r="N20">
        <f>IF(COUNTIFS(TVFImportMonate[Jahr],Steuerung!$F$6,TVFImportMonate[Monat],9)&gt;0,N14,IF(COUNTIFS('D Finanzen'!$A$8:$A$16,Steuerung!$F$6,'D Finanzen'!$B$8:$B$16,N$5)=0,"",SUMIFS('D Finanzen'!$F$8:$F$16,'D Finanzen'!$A$8:$A$16,Steuerung!$F$6,'D Finanzen'!$B$8:$B$16,N$5)))</f>
        <v/>
      </c>
      <c r="O20">
        <f>IF(COUNTIFS(TVFImportMonate[Jahr],Steuerung!$F$6,TVFImportMonate[Monat],10)&gt;0,O14,IF(COUNTIFS('D Finanzen'!$A$8:$A$16,Steuerung!$F$6,'D Finanzen'!$B$8:$B$16,O$5)=0,"",SUMIFS('D Finanzen'!$F$8:$F$16,'D Finanzen'!$A$8:$A$16,Steuerung!$F$6,'D Finanzen'!$B$8:$B$16,O$5)))</f>
        <v/>
      </c>
      <c r="P20">
        <f>IF(COUNTIFS(TVFImportMonate[Jahr],Steuerung!$F$6,TVFImportMonate[Monat],11)&gt;0,P14,IF(COUNTIFS('D Finanzen'!$A$8:$A$16,Steuerung!$F$6,'D Finanzen'!$B$8:$B$16,P$5)=0,"",SUMIFS('D Finanzen'!$F$8:$F$16,'D Finanzen'!$A$8:$A$16,Steuerung!$F$6,'D Finanzen'!$B$8:$B$16,P$5)))</f>
        <v/>
      </c>
      <c r="Q20">
        <f>IF(COUNTIFS(TVFImportMonate[Jahr],Steuerung!$F$6,TVFImportMonate[Monat],12)&gt;0,Q14,IF(COUNTIFS('D Finanzen'!$A$8:$A$16,Steuerung!$F$6,'D Finanzen'!$B$8:$B$16,Q$5)=0,"",SUMIFS('D Finanzen'!$F$8:$F$16,'D Finanzen'!$A$8:$A$16,Steuerung!$F$6,'D Finanzen'!$B$8:$B$16,Q$5)))</f>
        <v/>
      </c>
    </row>
    <row r="21">
      <c r="C21" t="inlineStr">
        <is>
          <t>Differenz EBITDA-Definition</t>
        </is>
      </c>
      <c r="D21">
        <f>SUMIFS(F21:Q21,$F$5:$Q$5,"&lt;="&amp;Steuerung!$F$7)</f>
        <v/>
      </c>
      <c r="E21">
        <f>IF($D$9=0,"n.a.",D21/$D$9)</f>
        <v/>
      </c>
      <c r="F21">
        <f>IF(F7="","",ROUND(F14-F20,2))</f>
        <v/>
      </c>
      <c r="G21">
        <f>IF(G7="","",ROUND(G14-G20,2))</f>
        <v/>
      </c>
      <c r="H21">
        <f>IF(H7="","",ROUND(H14-H20,2))</f>
        <v/>
      </c>
      <c r="I21">
        <f>IF(I7="","",ROUND(I14-I20,2))</f>
        <v/>
      </c>
      <c r="J21">
        <f>IF(J7="","",ROUND(J14-J20,2))</f>
        <v/>
      </c>
      <c r="K21">
        <f>IF(K7="","",ROUND(K14-K20,2))</f>
        <v/>
      </c>
      <c r="L21">
        <f>IF(L7="","",ROUND(L14-L20,2))</f>
        <v/>
      </c>
      <c r="M21">
        <f>IF(M7="","",ROUND(M14-M20,2))</f>
        <v/>
      </c>
      <c r="N21">
        <f>IF(N7="","",ROUND(N14-N20,2))</f>
        <v/>
      </c>
      <c r="O21">
        <f>IF(O7="","",ROUND(O14-O20,2))</f>
        <v/>
      </c>
      <c r="P21">
        <f>IF(P7="","",ROUND(P14-P20,2))</f>
        <v/>
      </c>
      <c r="Q21">
        <f>IF(Q7="","",ROUND(Q14-Q20,2))</f>
        <v/>
      </c>
    </row>
    <row r="23">
      <c r="C23" t="inlineStr">
        <is>
          <t>Quelle je Monat</t>
        </is>
      </c>
      <c r="F23">
        <f>IF(COUNTIFS(TVFImportMonate[Jahr],Steuerung!$F$6,TVFImportMonate[Monat],1)&gt;0,"CSV-Import","Originalexport")</f>
        <v/>
      </c>
      <c r="G23">
        <f>IF(COUNTIFS(TVFImportMonate[Jahr],Steuerung!$F$6,TVFImportMonate[Monat],2)&gt;0,"CSV-Import","Originalexport")</f>
        <v/>
      </c>
      <c r="H23">
        <f>IF(COUNTIFS(TVFImportMonate[Jahr],Steuerung!$F$6,TVFImportMonate[Monat],3)&gt;0,"CSV-Import","Originalexport")</f>
        <v/>
      </c>
      <c r="I23">
        <f>IF(COUNTIFS(TVFImportMonate[Jahr],Steuerung!$F$6,TVFImportMonate[Monat],4)&gt;0,"CSV-Import","Originalexport")</f>
        <v/>
      </c>
      <c r="J23">
        <f>IF(COUNTIFS(TVFImportMonate[Jahr],Steuerung!$F$6,TVFImportMonate[Monat],5)&gt;0,"CSV-Import","Originalexport")</f>
        <v/>
      </c>
      <c r="K23">
        <f>IF(COUNTIFS(TVFImportMonate[Jahr],Steuerung!$F$6,TVFImportMonate[Monat],6)&gt;0,"CSV-Import","Originalexport")</f>
        <v/>
      </c>
      <c r="L23">
        <f>IF(COUNTIFS(TVFImportMonate[Jahr],Steuerung!$F$6,TVFImportMonate[Monat],7)&gt;0,"CSV-Import","Originalexport")</f>
        <v/>
      </c>
      <c r="M23">
        <f>IF(COUNTIFS(TVFImportMonate[Jahr],Steuerung!$F$6,TVFImportMonate[Monat],8)&gt;0,"CSV-Import","Originalexport")</f>
        <v/>
      </c>
      <c r="N23">
        <f>IF(COUNTIFS(TVFImportMonate[Jahr],Steuerung!$F$6,TVFImportMonate[Monat],9)&gt;0,"CSV-Import","Originalexport")</f>
        <v/>
      </c>
      <c r="O23">
        <f>IF(COUNTIFS(TVFImportMonate[Jahr],Steuerung!$F$6,TVFImportMonate[Monat],10)&gt;0,"CSV-Import","Originalexport")</f>
        <v/>
      </c>
      <c r="P23">
        <f>IF(COUNTIFS(TVFImportMonate[Jahr],Steuerung!$F$6,TVFImportMonate[Monat],11)&gt;0,"CSV-Import","Originalexport")</f>
        <v/>
      </c>
      <c r="Q23">
        <f>IF(COUNTIFS(TVFImportMonate[Jahr],Steuerung!$F$6,TVFImportMonate[Monat],12)&gt;0,"CSV-Import","Originalexport")</f>
        <v/>
      </c>
    </row>
    <row r="24">
      <c r="C24" t="inlineStr">
        <is>
          <t>Neutrales Ergebnis</t>
        </is>
      </c>
      <c r="D24">
        <f>SUMIFS(F24:Q24,$F$5:$Q$5,"&lt;="&amp;Steuerung!$F$7)</f>
        <v/>
      </c>
      <c r="F24">
        <f>IF(COUNTIFS(TVFImportMonate[Jahr],Steuerung!$F$6,TVFImportMonate[Monat],1)&gt;0,SUMIFS(TVFImportMonate[Neutrales_Ergebnis],TVFImportMonate[Jahr],Steuerung!$F$6,TVFImportMonate[Monat],1),SUMIFS('D Finanzen'!$G$8:$G$16,'D Finanzen'!$A$8:$A$16,Steuerung!$F$6,'D Finanzen'!$B$8:$B$16,1))</f>
        <v/>
      </c>
      <c r="G24">
        <f>IF(COUNTIFS(TVFImportMonate[Jahr],Steuerung!$F$6,TVFImportMonate[Monat],2)&gt;0,SUMIFS(TVFImportMonate[Neutrales_Ergebnis],TVFImportMonate[Jahr],Steuerung!$F$6,TVFImportMonate[Monat],2),SUMIFS('D Finanzen'!$G$8:$G$16,'D Finanzen'!$A$8:$A$16,Steuerung!$F$6,'D Finanzen'!$B$8:$B$16,2))</f>
        <v/>
      </c>
      <c r="H24">
        <f>IF(COUNTIFS(TVFImportMonate[Jahr],Steuerung!$F$6,TVFImportMonate[Monat],3)&gt;0,SUMIFS(TVFImportMonate[Neutrales_Ergebnis],TVFImportMonate[Jahr],Steuerung!$F$6,TVFImportMonate[Monat],3),SUMIFS('D Finanzen'!$G$8:$G$16,'D Finanzen'!$A$8:$A$16,Steuerung!$F$6,'D Finanzen'!$B$8:$B$16,3))</f>
        <v/>
      </c>
      <c r="I24">
        <f>IF(COUNTIFS(TVFImportMonate[Jahr],Steuerung!$F$6,TVFImportMonate[Monat],4)&gt;0,SUMIFS(TVFImportMonate[Neutrales_Ergebnis],TVFImportMonate[Jahr],Steuerung!$F$6,TVFImportMonate[Monat],4),SUMIFS('D Finanzen'!$G$8:$G$16,'D Finanzen'!$A$8:$A$16,Steuerung!$F$6,'D Finanzen'!$B$8:$B$16,4))</f>
        <v/>
      </c>
      <c r="J24">
        <f>IF(COUNTIFS(TVFImportMonate[Jahr],Steuerung!$F$6,TVFImportMonate[Monat],5)&gt;0,SUMIFS(TVFImportMonate[Neutrales_Ergebnis],TVFImportMonate[Jahr],Steuerung!$F$6,TVFImportMonate[Monat],5),SUMIFS('D Finanzen'!$G$8:$G$16,'D Finanzen'!$A$8:$A$16,Steuerung!$F$6,'D Finanzen'!$B$8:$B$16,5))</f>
        <v/>
      </c>
      <c r="K24">
        <f>IF(COUNTIFS(TVFImportMonate[Jahr],Steuerung!$F$6,TVFImportMonate[Monat],6)&gt;0,SUMIFS(TVFImportMonate[Neutrales_Ergebnis],TVFImportMonate[Jahr],Steuerung!$F$6,TVFImportMonate[Monat],6),SUMIFS('D Finanzen'!$G$8:$G$16,'D Finanzen'!$A$8:$A$16,Steuerung!$F$6,'D Finanzen'!$B$8:$B$16,6))</f>
        <v/>
      </c>
      <c r="L24">
        <f>IF(COUNTIFS(TVFImportMonate[Jahr],Steuerung!$F$6,TVFImportMonate[Monat],7)&gt;0,SUMIFS(TVFImportMonate[Neutrales_Ergebnis],TVFImportMonate[Jahr],Steuerung!$F$6,TVFImportMonate[Monat],7),SUMIFS('D Finanzen'!$G$8:$G$16,'D Finanzen'!$A$8:$A$16,Steuerung!$F$6,'D Finanzen'!$B$8:$B$16,7))</f>
        <v/>
      </c>
      <c r="M24">
        <f>IF(COUNTIFS(TVFImportMonate[Jahr],Steuerung!$F$6,TVFImportMonate[Monat],8)&gt;0,SUMIFS(TVFImportMonate[Neutrales_Ergebnis],TVFImportMonate[Jahr],Steuerung!$F$6,TVFImportMonate[Monat],8),SUMIFS('D Finanzen'!$G$8:$G$16,'D Finanzen'!$A$8:$A$16,Steuerung!$F$6,'D Finanzen'!$B$8:$B$16,8))</f>
        <v/>
      </c>
      <c r="N24">
        <f>IF(COUNTIFS(TVFImportMonate[Jahr],Steuerung!$F$6,TVFImportMonate[Monat],9)&gt;0,SUMIFS(TVFImportMonate[Neutrales_Ergebnis],TVFImportMonate[Jahr],Steuerung!$F$6,TVFImportMonate[Monat],9),SUMIFS('D Finanzen'!$G$8:$G$16,'D Finanzen'!$A$8:$A$16,Steuerung!$F$6,'D Finanzen'!$B$8:$B$16,9))</f>
        <v/>
      </c>
      <c r="O24">
        <f>IF(COUNTIFS(TVFImportMonate[Jahr],Steuerung!$F$6,TVFImportMonate[Monat],10)&gt;0,SUMIFS(TVFImportMonate[Neutrales_Ergebnis],TVFImportMonate[Jahr],Steuerung!$F$6,TVFImportMonate[Monat],10),SUMIFS('D Finanzen'!$G$8:$G$16,'D Finanzen'!$A$8:$A$16,Steuerung!$F$6,'D Finanzen'!$B$8:$B$16,10))</f>
        <v/>
      </c>
      <c r="P24">
        <f>IF(COUNTIFS(TVFImportMonate[Jahr],Steuerung!$F$6,TVFImportMonate[Monat],11)&gt;0,SUMIFS(TVFImportMonate[Neutrales_Ergebnis],TVFImportMonate[Jahr],Steuerung!$F$6,TVFImportMonate[Monat],11),SUMIFS('D Finanzen'!$G$8:$G$16,'D Finanzen'!$A$8:$A$16,Steuerung!$F$6,'D Finanzen'!$B$8:$B$16,11))</f>
        <v/>
      </c>
      <c r="Q24">
        <f>IF(COUNTIFS(TVFImportMonate[Jahr],Steuerung!$F$6,TVFImportMonate[Monat],12)&gt;0,SUMIFS(TVFImportMonate[Neutrales_Ergebnis],TVFImportMonate[Jahr],Steuerung!$F$6,TVFImportMonate[Monat],12),SUMIFS('D Finanzen'!$G$8:$G$16,'D Finanzen'!$A$8:$A$16,Steuerung!$F$6,'D Finanzen'!$B$8:$B$16,12))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C2:L506"/>
  <sheetViews>
    <sheetView workbookViewId="0">
      <selection activeCell="A1" sqref="A1"/>
    </sheetView>
  </sheetViews>
  <sheetFormatPr baseColWidth="8" defaultRowHeight="15"/>
  <sheetData>
    <row r="2">
      <c r="C2" t="inlineStr">
        <is>
          <t>Forecast-Eingabe</t>
        </is>
      </c>
    </row>
    <row r="3">
      <c r="C3" t="inlineStr">
        <is>
          <t>Änderungen gegenüber dem exportierten Forecast. Positive Kosten erhöhen den Aufwand. Ist-Monate werden als gesperrt gekennzeichnet.</t>
        </is>
      </c>
    </row>
    <row r="6">
      <c r="C6" t="inlineStr">
        <is>
          <t>Jahr</t>
        </is>
      </c>
      <c r="D6" t="inlineStr">
        <is>
          <t>Monat</t>
        </is>
      </c>
      <c r="E6" t="inlineStr">
        <is>
          <t>Region</t>
        </is>
      </c>
      <c r="F6" t="inlineStr">
        <is>
          <t>Auftrag / Projekt</t>
        </is>
      </c>
      <c r="G6" t="inlineStr">
        <is>
          <t>Δ Umsatz EUR</t>
        </is>
      </c>
      <c r="H6" t="inlineStr">
        <is>
          <t>Δ Bestand EUR</t>
        </is>
      </c>
      <c r="I6" t="inlineStr">
        <is>
          <t>Δ Kosten EUR</t>
        </is>
      </c>
      <c r="J6" t="inlineStr">
        <is>
          <t>Kommentar</t>
        </is>
      </c>
      <c r="K6" t="inlineStr">
        <is>
          <t>Status</t>
        </is>
      </c>
      <c r="L6" t="inlineStr">
        <is>
          <t>Δ EBITDA EUR</t>
        </is>
      </c>
    </row>
    <row r="7">
      <c r="K7">
        <f>IF(COUNTA(C7:J7)=0,"",IF(OR(C7&lt;&gt;Steuerung!$F$6,D7&lt;1,D7&gt;12),"Periode prüfen",IF(D7&lt;=Steuerung!$F$8,"IST gesperrt",IF(OR(E7="",F7="",COUNT(G7:I7)&lt;&gt;3),"Angaben fehlen","Wirksam"))))</f>
        <v/>
      </c>
      <c r="L7">
        <f>IF(K7="Wirksam",SUM(G7:H7)-I7,IF(K7="","","n.a."))</f>
        <v/>
      </c>
    </row>
    <row r="8">
      <c r="K8">
        <f>IF(COUNTA(C8:J8)=0,"",IF(OR(C8&lt;&gt;Steuerung!$F$6,D8&lt;1,D8&gt;12),"Periode prüfen",IF(D8&lt;=Steuerung!$F$8,"IST gesperrt",IF(OR(E8="",F8="",COUNT(G8:I8)&lt;&gt;3),"Angaben fehlen","Wirksam"))))</f>
        <v/>
      </c>
      <c r="L8">
        <f>IF(K8="Wirksam",SUM(G8:H8)-I8,IF(K8="","","n.a."))</f>
        <v/>
      </c>
    </row>
    <row r="9">
      <c r="K9">
        <f>IF(COUNTA(C9:J9)=0,"",IF(OR(C9&lt;&gt;Steuerung!$F$6,D9&lt;1,D9&gt;12),"Periode prüfen",IF(D9&lt;=Steuerung!$F$8,"IST gesperrt",IF(OR(E9="",F9="",COUNT(G9:I9)&lt;&gt;3),"Angaben fehlen","Wirksam"))))</f>
        <v/>
      </c>
      <c r="L9">
        <f>IF(K9="Wirksam",SUM(G9:H9)-I9,IF(K9="","","n.a."))</f>
        <v/>
      </c>
    </row>
    <row r="10">
      <c r="K10">
        <f>IF(COUNTA(C10:J10)=0,"",IF(OR(C10&lt;&gt;Steuerung!$F$6,D10&lt;1,D10&gt;12),"Periode prüfen",IF(D10&lt;=Steuerung!$F$8,"IST gesperrt",IF(OR(E10="",F10="",COUNT(G10:I10)&lt;&gt;3),"Angaben fehlen","Wirksam"))))</f>
        <v/>
      </c>
      <c r="L10">
        <f>IF(K10="Wirksam",SUM(G10:H10)-I10,IF(K10="","","n.a."))</f>
        <v/>
      </c>
    </row>
    <row r="11">
      <c r="K11">
        <f>IF(COUNTA(C11:J11)=0,"",IF(OR(C11&lt;&gt;Steuerung!$F$6,D11&lt;1,D11&gt;12),"Periode prüfen",IF(D11&lt;=Steuerung!$F$8,"IST gesperrt",IF(OR(E11="",F11="",COUNT(G11:I11)&lt;&gt;3),"Angaben fehlen","Wirksam"))))</f>
        <v/>
      </c>
      <c r="L11">
        <f>IF(K11="Wirksam",SUM(G11:H11)-I11,IF(K11="","","n.a."))</f>
        <v/>
      </c>
    </row>
    <row r="12">
      <c r="K12">
        <f>IF(COUNTA(C12:J12)=0,"",IF(OR(C12&lt;&gt;Steuerung!$F$6,D12&lt;1,D12&gt;12),"Periode prüfen",IF(D12&lt;=Steuerung!$F$8,"IST gesperrt",IF(OR(E12="",F12="",COUNT(G12:I12)&lt;&gt;3),"Angaben fehlen","Wirksam"))))</f>
        <v/>
      </c>
      <c r="L12">
        <f>IF(K12="Wirksam",SUM(G12:H12)-I12,IF(K12="","","n.a."))</f>
        <v/>
      </c>
    </row>
    <row r="13">
      <c r="K13">
        <f>IF(COUNTA(C13:J13)=0,"",IF(OR(C13&lt;&gt;Steuerung!$F$6,D13&lt;1,D13&gt;12),"Periode prüfen",IF(D13&lt;=Steuerung!$F$8,"IST gesperrt",IF(OR(E13="",F13="",COUNT(G13:I13)&lt;&gt;3),"Angaben fehlen","Wirksam"))))</f>
        <v/>
      </c>
      <c r="L13">
        <f>IF(K13="Wirksam",SUM(G13:H13)-I13,IF(K13="","","n.a."))</f>
        <v/>
      </c>
    </row>
    <row r="14">
      <c r="K14">
        <f>IF(COUNTA(C14:J14)=0,"",IF(OR(C14&lt;&gt;Steuerung!$F$6,D14&lt;1,D14&gt;12),"Periode prüfen",IF(D14&lt;=Steuerung!$F$8,"IST gesperrt",IF(OR(E14="",F14="",COUNT(G14:I14)&lt;&gt;3),"Angaben fehlen","Wirksam"))))</f>
        <v/>
      </c>
      <c r="L14">
        <f>IF(K14="Wirksam",SUM(G14:H14)-I14,IF(K14="","","n.a."))</f>
        <v/>
      </c>
    </row>
    <row r="15">
      <c r="K15">
        <f>IF(COUNTA(C15:J15)=0,"",IF(OR(C15&lt;&gt;Steuerung!$F$6,D15&lt;1,D15&gt;12),"Periode prüfen",IF(D15&lt;=Steuerung!$F$8,"IST gesperrt",IF(OR(E15="",F15="",COUNT(G15:I15)&lt;&gt;3),"Angaben fehlen","Wirksam"))))</f>
        <v/>
      </c>
      <c r="L15">
        <f>IF(K15="Wirksam",SUM(G15:H15)-I15,IF(K15="","","n.a."))</f>
        <v/>
      </c>
    </row>
    <row r="16">
      <c r="K16">
        <f>IF(COUNTA(C16:J16)=0,"",IF(OR(C16&lt;&gt;Steuerung!$F$6,D16&lt;1,D16&gt;12),"Periode prüfen",IF(D16&lt;=Steuerung!$F$8,"IST gesperrt",IF(OR(E16="",F16="",COUNT(G16:I16)&lt;&gt;3),"Angaben fehlen","Wirksam"))))</f>
        <v/>
      </c>
      <c r="L16">
        <f>IF(K16="Wirksam",SUM(G16:H16)-I16,IF(K16="","","n.a."))</f>
        <v/>
      </c>
    </row>
    <row r="17">
      <c r="K17">
        <f>IF(COUNTA(C17:J17)=0,"",IF(OR(C17&lt;&gt;Steuerung!$F$6,D17&lt;1,D17&gt;12),"Periode prüfen",IF(D17&lt;=Steuerung!$F$8,"IST gesperrt",IF(OR(E17="",F17="",COUNT(G17:I17)&lt;&gt;3),"Angaben fehlen","Wirksam"))))</f>
        <v/>
      </c>
      <c r="L17">
        <f>IF(K17="Wirksam",SUM(G17:H17)-I17,IF(K17="","","n.a."))</f>
        <v/>
      </c>
    </row>
    <row r="18">
      <c r="K18">
        <f>IF(COUNTA(C18:J18)=0,"",IF(OR(C18&lt;&gt;Steuerung!$F$6,D18&lt;1,D18&gt;12),"Periode prüfen",IF(D18&lt;=Steuerung!$F$8,"IST gesperrt",IF(OR(E18="",F18="",COUNT(G18:I18)&lt;&gt;3),"Angaben fehlen","Wirksam"))))</f>
        <v/>
      </c>
      <c r="L18">
        <f>IF(K18="Wirksam",SUM(G18:H18)-I18,IF(K18="","","n.a."))</f>
        <v/>
      </c>
    </row>
    <row r="19">
      <c r="K19">
        <f>IF(COUNTA(C19:J19)=0,"",IF(OR(C19&lt;&gt;Steuerung!$F$6,D19&lt;1,D19&gt;12),"Periode prüfen",IF(D19&lt;=Steuerung!$F$8,"IST gesperrt",IF(OR(E19="",F19="",COUNT(G19:I19)&lt;&gt;3),"Angaben fehlen","Wirksam"))))</f>
        <v/>
      </c>
      <c r="L19">
        <f>IF(K19="Wirksam",SUM(G19:H19)-I19,IF(K19="","","n.a."))</f>
        <v/>
      </c>
    </row>
    <row r="20">
      <c r="K20">
        <f>IF(COUNTA(C20:J20)=0,"",IF(OR(C20&lt;&gt;Steuerung!$F$6,D20&lt;1,D20&gt;12),"Periode prüfen",IF(D20&lt;=Steuerung!$F$8,"IST gesperrt",IF(OR(E20="",F20="",COUNT(G20:I20)&lt;&gt;3),"Angaben fehlen","Wirksam"))))</f>
        <v/>
      </c>
      <c r="L20">
        <f>IF(K20="Wirksam",SUM(G20:H20)-I20,IF(K20="","","n.a."))</f>
        <v/>
      </c>
    </row>
    <row r="21">
      <c r="K21">
        <f>IF(COUNTA(C21:J21)=0,"",IF(OR(C21&lt;&gt;Steuerung!$F$6,D21&lt;1,D21&gt;12),"Periode prüfen",IF(D21&lt;=Steuerung!$F$8,"IST gesperrt",IF(OR(E21="",F21="",COUNT(G21:I21)&lt;&gt;3),"Angaben fehlen","Wirksam"))))</f>
        <v/>
      </c>
      <c r="L21">
        <f>IF(K21="Wirksam",SUM(G21:H21)-I21,IF(K21="","","n.a."))</f>
        <v/>
      </c>
    </row>
    <row r="22">
      <c r="K22">
        <f>IF(COUNTA(C22:J22)=0,"",IF(OR(C22&lt;&gt;Steuerung!$F$6,D22&lt;1,D22&gt;12),"Periode prüfen",IF(D22&lt;=Steuerung!$F$8,"IST gesperrt",IF(OR(E22="",F22="",COUNT(G22:I22)&lt;&gt;3),"Angaben fehlen","Wirksam"))))</f>
        <v/>
      </c>
      <c r="L22">
        <f>IF(K22="Wirksam",SUM(G22:H22)-I22,IF(K22="","","n.a."))</f>
        <v/>
      </c>
    </row>
    <row r="23">
      <c r="K23">
        <f>IF(COUNTA(C23:J23)=0,"",IF(OR(C23&lt;&gt;Steuerung!$F$6,D23&lt;1,D23&gt;12),"Periode prüfen",IF(D23&lt;=Steuerung!$F$8,"IST gesperrt",IF(OR(E23="",F23="",COUNT(G23:I23)&lt;&gt;3),"Angaben fehlen","Wirksam"))))</f>
        <v/>
      </c>
      <c r="L23">
        <f>IF(K23="Wirksam",SUM(G23:H23)-I23,IF(K23="","","n.a."))</f>
        <v/>
      </c>
    </row>
    <row r="24">
      <c r="K24">
        <f>IF(COUNTA(C24:J24)=0,"",IF(OR(C24&lt;&gt;Steuerung!$F$6,D24&lt;1,D24&gt;12),"Periode prüfen",IF(D24&lt;=Steuerung!$F$8,"IST gesperrt",IF(OR(E24="",F24="",COUNT(G24:I24)&lt;&gt;3),"Angaben fehlen","Wirksam"))))</f>
        <v/>
      </c>
      <c r="L24">
        <f>IF(K24="Wirksam",SUM(G24:H24)-I24,IF(K24="","","n.a."))</f>
        <v/>
      </c>
    </row>
    <row r="25">
      <c r="K25">
        <f>IF(COUNTA(C25:J25)=0,"",IF(OR(C25&lt;&gt;Steuerung!$F$6,D25&lt;1,D25&gt;12),"Periode prüfen",IF(D25&lt;=Steuerung!$F$8,"IST gesperrt",IF(OR(E25="",F25="",COUNT(G25:I25)&lt;&gt;3),"Angaben fehlen","Wirksam"))))</f>
        <v/>
      </c>
      <c r="L25">
        <f>IF(K25="Wirksam",SUM(G25:H25)-I25,IF(K25="","","n.a."))</f>
        <v/>
      </c>
    </row>
    <row r="26">
      <c r="K26">
        <f>IF(COUNTA(C26:J26)=0,"",IF(OR(C26&lt;&gt;Steuerung!$F$6,D26&lt;1,D26&gt;12),"Periode prüfen",IF(D26&lt;=Steuerung!$F$8,"IST gesperrt",IF(OR(E26="",F26="",COUNT(G26:I26)&lt;&gt;3),"Angaben fehlen","Wirksam"))))</f>
        <v/>
      </c>
      <c r="L26">
        <f>IF(K26="Wirksam",SUM(G26:H26)-I26,IF(K26="","","n.a."))</f>
        <v/>
      </c>
    </row>
    <row r="27">
      <c r="K27">
        <f>IF(COUNTA(C27:J27)=0,"",IF(OR(C27&lt;&gt;Steuerung!$F$6,D27&lt;1,D27&gt;12),"Periode prüfen",IF(D27&lt;=Steuerung!$F$8,"IST gesperrt",IF(OR(E27="",F27="",COUNT(G27:I27)&lt;&gt;3),"Angaben fehlen","Wirksam"))))</f>
        <v/>
      </c>
      <c r="L27">
        <f>IF(K27="Wirksam",SUM(G27:H27)-I27,IF(K27="","","n.a."))</f>
        <v/>
      </c>
    </row>
    <row r="28">
      <c r="K28">
        <f>IF(COUNTA(C28:J28)=0,"",IF(OR(C28&lt;&gt;Steuerung!$F$6,D28&lt;1,D28&gt;12),"Periode prüfen",IF(D28&lt;=Steuerung!$F$8,"IST gesperrt",IF(OR(E28="",F28="",COUNT(G28:I28)&lt;&gt;3),"Angaben fehlen","Wirksam"))))</f>
        <v/>
      </c>
      <c r="L28">
        <f>IF(K28="Wirksam",SUM(G28:H28)-I28,IF(K28="","","n.a."))</f>
        <v/>
      </c>
    </row>
    <row r="29">
      <c r="K29">
        <f>IF(COUNTA(C29:J29)=0,"",IF(OR(C29&lt;&gt;Steuerung!$F$6,D29&lt;1,D29&gt;12),"Periode prüfen",IF(D29&lt;=Steuerung!$F$8,"IST gesperrt",IF(OR(E29="",F29="",COUNT(G29:I29)&lt;&gt;3),"Angaben fehlen","Wirksam"))))</f>
        <v/>
      </c>
      <c r="L29">
        <f>IF(K29="Wirksam",SUM(G29:H29)-I29,IF(K29="","","n.a."))</f>
        <v/>
      </c>
    </row>
    <row r="30">
      <c r="K30">
        <f>IF(COUNTA(C30:J30)=0,"",IF(OR(C30&lt;&gt;Steuerung!$F$6,D30&lt;1,D30&gt;12),"Periode prüfen",IF(D30&lt;=Steuerung!$F$8,"IST gesperrt",IF(OR(E30="",F30="",COUNT(G30:I30)&lt;&gt;3),"Angaben fehlen","Wirksam"))))</f>
        <v/>
      </c>
      <c r="L30">
        <f>IF(K30="Wirksam",SUM(G30:H30)-I30,IF(K30="","","n.a."))</f>
        <v/>
      </c>
    </row>
    <row r="31">
      <c r="K31">
        <f>IF(COUNTA(C31:J31)=0,"",IF(OR(C31&lt;&gt;Steuerung!$F$6,D31&lt;1,D31&gt;12),"Periode prüfen",IF(D31&lt;=Steuerung!$F$8,"IST gesperrt",IF(OR(E31="",F31="",COUNT(G31:I31)&lt;&gt;3),"Angaben fehlen","Wirksam"))))</f>
        <v/>
      </c>
      <c r="L31">
        <f>IF(K31="Wirksam",SUM(G31:H31)-I31,IF(K31="","","n.a."))</f>
        <v/>
      </c>
    </row>
    <row r="32">
      <c r="K32">
        <f>IF(COUNTA(C32:J32)=0,"",IF(OR(C32&lt;&gt;Steuerung!$F$6,D32&lt;1,D32&gt;12),"Periode prüfen",IF(D32&lt;=Steuerung!$F$8,"IST gesperrt",IF(OR(E32="",F32="",COUNT(G32:I32)&lt;&gt;3),"Angaben fehlen","Wirksam"))))</f>
        <v/>
      </c>
      <c r="L32">
        <f>IF(K32="Wirksam",SUM(G32:H32)-I32,IF(K32="","","n.a."))</f>
        <v/>
      </c>
    </row>
    <row r="33">
      <c r="K33">
        <f>IF(COUNTA(C33:J33)=0,"",IF(OR(C33&lt;&gt;Steuerung!$F$6,D33&lt;1,D33&gt;12),"Periode prüfen",IF(D33&lt;=Steuerung!$F$8,"IST gesperrt",IF(OR(E33="",F33="",COUNT(G33:I33)&lt;&gt;3),"Angaben fehlen","Wirksam"))))</f>
        <v/>
      </c>
      <c r="L33">
        <f>IF(K33="Wirksam",SUM(G33:H33)-I33,IF(K33="","","n.a."))</f>
        <v/>
      </c>
    </row>
    <row r="34">
      <c r="K34">
        <f>IF(COUNTA(C34:J34)=0,"",IF(OR(C34&lt;&gt;Steuerung!$F$6,D34&lt;1,D34&gt;12),"Periode prüfen",IF(D34&lt;=Steuerung!$F$8,"IST gesperrt",IF(OR(E34="",F34="",COUNT(G34:I34)&lt;&gt;3),"Angaben fehlen","Wirksam"))))</f>
        <v/>
      </c>
      <c r="L34">
        <f>IF(K34="Wirksam",SUM(G34:H34)-I34,IF(K34="","","n.a."))</f>
        <v/>
      </c>
    </row>
    <row r="35">
      <c r="K35">
        <f>IF(COUNTA(C35:J35)=0,"",IF(OR(C35&lt;&gt;Steuerung!$F$6,D35&lt;1,D35&gt;12),"Periode prüfen",IF(D35&lt;=Steuerung!$F$8,"IST gesperrt",IF(OR(E35="",F35="",COUNT(G35:I35)&lt;&gt;3),"Angaben fehlen","Wirksam"))))</f>
        <v/>
      </c>
      <c r="L35">
        <f>IF(K35="Wirksam",SUM(G35:H35)-I35,IF(K35="","","n.a."))</f>
        <v/>
      </c>
    </row>
    <row r="36">
      <c r="K36">
        <f>IF(COUNTA(C36:J36)=0,"",IF(OR(C36&lt;&gt;Steuerung!$F$6,D36&lt;1,D36&gt;12),"Periode prüfen",IF(D36&lt;=Steuerung!$F$8,"IST gesperrt",IF(OR(E36="",F36="",COUNT(G36:I36)&lt;&gt;3),"Angaben fehlen","Wirksam"))))</f>
        <v/>
      </c>
      <c r="L36">
        <f>IF(K36="Wirksam",SUM(G36:H36)-I36,IF(K36="","","n.a."))</f>
        <v/>
      </c>
    </row>
    <row r="37">
      <c r="K37">
        <f>IF(COUNTA(C37:J37)=0,"",IF(OR(C37&lt;&gt;Steuerung!$F$6,D37&lt;1,D37&gt;12),"Periode prüfen",IF(D37&lt;=Steuerung!$F$8,"IST gesperrt",IF(OR(E37="",F37="",COUNT(G37:I37)&lt;&gt;3),"Angaben fehlen","Wirksam"))))</f>
        <v/>
      </c>
      <c r="L37">
        <f>IF(K37="Wirksam",SUM(G37:H37)-I37,IF(K37="","","n.a."))</f>
        <v/>
      </c>
    </row>
    <row r="38">
      <c r="K38">
        <f>IF(COUNTA(C38:J38)=0,"",IF(OR(C38&lt;&gt;Steuerung!$F$6,D38&lt;1,D38&gt;12),"Periode prüfen",IF(D38&lt;=Steuerung!$F$8,"IST gesperrt",IF(OR(E38="",F38="",COUNT(G38:I38)&lt;&gt;3),"Angaben fehlen","Wirksam"))))</f>
        <v/>
      </c>
      <c r="L38">
        <f>IF(K38="Wirksam",SUM(G38:H38)-I38,IF(K38="","","n.a."))</f>
        <v/>
      </c>
    </row>
    <row r="39">
      <c r="K39">
        <f>IF(COUNTA(C39:J39)=0,"",IF(OR(C39&lt;&gt;Steuerung!$F$6,D39&lt;1,D39&gt;12),"Periode prüfen",IF(D39&lt;=Steuerung!$F$8,"IST gesperrt",IF(OR(E39="",F39="",COUNT(G39:I39)&lt;&gt;3),"Angaben fehlen","Wirksam"))))</f>
        <v/>
      </c>
      <c r="L39">
        <f>IF(K39="Wirksam",SUM(G39:H39)-I39,IF(K39="","","n.a."))</f>
        <v/>
      </c>
    </row>
    <row r="40">
      <c r="K40">
        <f>IF(COUNTA(C40:J40)=0,"",IF(OR(C40&lt;&gt;Steuerung!$F$6,D40&lt;1,D40&gt;12),"Periode prüfen",IF(D40&lt;=Steuerung!$F$8,"IST gesperrt",IF(OR(E40="",F40="",COUNT(G40:I40)&lt;&gt;3),"Angaben fehlen","Wirksam"))))</f>
        <v/>
      </c>
      <c r="L40">
        <f>IF(K40="Wirksam",SUM(G40:H40)-I40,IF(K40="","","n.a."))</f>
        <v/>
      </c>
    </row>
    <row r="41">
      <c r="K41">
        <f>IF(COUNTA(C41:J41)=0,"",IF(OR(C41&lt;&gt;Steuerung!$F$6,D41&lt;1,D41&gt;12),"Periode prüfen",IF(D41&lt;=Steuerung!$F$8,"IST gesperrt",IF(OR(E41="",F41="",COUNT(G41:I41)&lt;&gt;3),"Angaben fehlen","Wirksam"))))</f>
        <v/>
      </c>
      <c r="L41">
        <f>IF(K41="Wirksam",SUM(G41:H41)-I41,IF(K41="","","n.a."))</f>
        <v/>
      </c>
    </row>
    <row r="42">
      <c r="K42">
        <f>IF(COUNTA(C42:J42)=0,"",IF(OR(C42&lt;&gt;Steuerung!$F$6,D42&lt;1,D42&gt;12),"Periode prüfen",IF(D42&lt;=Steuerung!$F$8,"IST gesperrt",IF(OR(E42="",F42="",COUNT(G42:I42)&lt;&gt;3),"Angaben fehlen","Wirksam"))))</f>
        <v/>
      </c>
      <c r="L42">
        <f>IF(K42="Wirksam",SUM(G42:H42)-I42,IF(K42="","","n.a."))</f>
        <v/>
      </c>
    </row>
    <row r="43">
      <c r="K43">
        <f>IF(COUNTA(C43:J43)=0,"",IF(OR(C43&lt;&gt;Steuerung!$F$6,D43&lt;1,D43&gt;12),"Periode prüfen",IF(D43&lt;=Steuerung!$F$8,"IST gesperrt",IF(OR(E43="",F43="",COUNT(G43:I43)&lt;&gt;3),"Angaben fehlen","Wirksam"))))</f>
        <v/>
      </c>
      <c r="L43">
        <f>IF(K43="Wirksam",SUM(G43:H43)-I43,IF(K43="","","n.a."))</f>
        <v/>
      </c>
    </row>
    <row r="44">
      <c r="K44">
        <f>IF(COUNTA(C44:J44)=0,"",IF(OR(C44&lt;&gt;Steuerung!$F$6,D44&lt;1,D44&gt;12),"Periode prüfen",IF(D44&lt;=Steuerung!$F$8,"IST gesperrt",IF(OR(E44="",F44="",COUNT(G44:I44)&lt;&gt;3),"Angaben fehlen","Wirksam"))))</f>
        <v/>
      </c>
      <c r="L44">
        <f>IF(K44="Wirksam",SUM(G44:H44)-I44,IF(K44="","","n.a."))</f>
        <v/>
      </c>
    </row>
    <row r="45">
      <c r="K45">
        <f>IF(COUNTA(C45:J45)=0,"",IF(OR(C45&lt;&gt;Steuerung!$F$6,D45&lt;1,D45&gt;12),"Periode prüfen",IF(D45&lt;=Steuerung!$F$8,"IST gesperrt",IF(OR(E45="",F45="",COUNT(G45:I45)&lt;&gt;3),"Angaben fehlen","Wirksam"))))</f>
        <v/>
      </c>
      <c r="L45">
        <f>IF(K45="Wirksam",SUM(G45:H45)-I45,IF(K45="","","n.a."))</f>
        <v/>
      </c>
    </row>
    <row r="46">
      <c r="K46">
        <f>IF(COUNTA(C46:J46)=0,"",IF(OR(C46&lt;&gt;Steuerung!$F$6,D46&lt;1,D46&gt;12),"Periode prüfen",IF(D46&lt;=Steuerung!$F$8,"IST gesperrt",IF(OR(E46="",F46="",COUNT(G46:I46)&lt;&gt;3),"Angaben fehlen","Wirksam"))))</f>
        <v/>
      </c>
      <c r="L46">
        <f>IF(K46="Wirksam",SUM(G46:H46)-I46,IF(K46="","","n.a."))</f>
        <v/>
      </c>
    </row>
    <row r="47">
      <c r="K47">
        <f>IF(COUNTA(C47:J47)=0,"",IF(OR(C47&lt;&gt;Steuerung!$F$6,D47&lt;1,D47&gt;12),"Periode prüfen",IF(D47&lt;=Steuerung!$F$8,"IST gesperrt",IF(OR(E47="",F47="",COUNT(G47:I47)&lt;&gt;3),"Angaben fehlen","Wirksam"))))</f>
        <v/>
      </c>
      <c r="L47">
        <f>IF(K47="Wirksam",SUM(G47:H47)-I47,IF(K47="","","n.a."))</f>
        <v/>
      </c>
    </row>
    <row r="48">
      <c r="K48">
        <f>IF(COUNTA(C48:J48)=0,"",IF(OR(C48&lt;&gt;Steuerung!$F$6,D48&lt;1,D48&gt;12),"Periode prüfen",IF(D48&lt;=Steuerung!$F$8,"IST gesperrt",IF(OR(E48="",F48="",COUNT(G48:I48)&lt;&gt;3),"Angaben fehlen","Wirksam"))))</f>
        <v/>
      </c>
      <c r="L48">
        <f>IF(K48="Wirksam",SUM(G48:H48)-I48,IF(K48="","","n.a."))</f>
        <v/>
      </c>
    </row>
    <row r="49">
      <c r="K49">
        <f>IF(COUNTA(C49:J49)=0,"",IF(OR(C49&lt;&gt;Steuerung!$F$6,D49&lt;1,D49&gt;12),"Periode prüfen",IF(D49&lt;=Steuerung!$F$8,"IST gesperrt",IF(OR(E49="",F49="",COUNT(G49:I49)&lt;&gt;3),"Angaben fehlen","Wirksam"))))</f>
        <v/>
      </c>
      <c r="L49">
        <f>IF(K49="Wirksam",SUM(G49:H49)-I49,IF(K49="","","n.a."))</f>
        <v/>
      </c>
    </row>
    <row r="50">
      <c r="K50">
        <f>IF(COUNTA(C50:J50)=0,"",IF(OR(C50&lt;&gt;Steuerung!$F$6,D50&lt;1,D50&gt;12),"Periode prüfen",IF(D50&lt;=Steuerung!$F$8,"IST gesperrt",IF(OR(E50="",F50="",COUNT(G50:I50)&lt;&gt;3),"Angaben fehlen","Wirksam"))))</f>
        <v/>
      </c>
      <c r="L50">
        <f>IF(K50="Wirksam",SUM(G50:H50)-I50,IF(K50="","","n.a."))</f>
        <v/>
      </c>
    </row>
    <row r="51">
      <c r="K51">
        <f>IF(COUNTA(C51:J51)=0,"",IF(OR(C51&lt;&gt;Steuerung!$F$6,D51&lt;1,D51&gt;12),"Periode prüfen",IF(D51&lt;=Steuerung!$F$8,"IST gesperrt",IF(OR(E51="",F51="",COUNT(G51:I51)&lt;&gt;3),"Angaben fehlen","Wirksam"))))</f>
        <v/>
      </c>
      <c r="L51">
        <f>IF(K51="Wirksam",SUM(G51:H51)-I51,IF(K51="","","n.a."))</f>
        <v/>
      </c>
    </row>
    <row r="52">
      <c r="K52">
        <f>IF(COUNTA(C52:J52)=0,"",IF(OR(C52&lt;&gt;Steuerung!$F$6,D52&lt;1,D52&gt;12),"Periode prüfen",IF(D52&lt;=Steuerung!$F$8,"IST gesperrt",IF(OR(E52="",F52="",COUNT(G52:I52)&lt;&gt;3),"Angaben fehlen","Wirksam"))))</f>
        <v/>
      </c>
      <c r="L52">
        <f>IF(K52="Wirksam",SUM(G52:H52)-I52,IF(K52="","","n.a."))</f>
        <v/>
      </c>
    </row>
    <row r="53">
      <c r="K53">
        <f>IF(COUNTA(C53:J53)=0,"",IF(OR(C53&lt;&gt;Steuerung!$F$6,D53&lt;1,D53&gt;12),"Periode prüfen",IF(D53&lt;=Steuerung!$F$8,"IST gesperrt",IF(OR(E53="",F53="",COUNT(G53:I53)&lt;&gt;3),"Angaben fehlen","Wirksam"))))</f>
        <v/>
      </c>
      <c r="L53">
        <f>IF(K53="Wirksam",SUM(G53:H53)-I53,IF(K53="","","n.a."))</f>
        <v/>
      </c>
    </row>
    <row r="54">
      <c r="K54">
        <f>IF(COUNTA(C54:J54)=0,"",IF(OR(C54&lt;&gt;Steuerung!$F$6,D54&lt;1,D54&gt;12),"Periode prüfen",IF(D54&lt;=Steuerung!$F$8,"IST gesperrt",IF(OR(E54="",F54="",COUNT(G54:I54)&lt;&gt;3),"Angaben fehlen","Wirksam"))))</f>
        <v/>
      </c>
      <c r="L54">
        <f>IF(K54="Wirksam",SUM(G54:H54)-I54,IF(K54="","","n.a."))</f>
        <v/>
      </c>
    </row>
    <row r="55">
      <c r="K55">
        <f>IF(COUNTA(C55:J55)=0,"",IF(OR(C55&lt;&gt;Steuerung!$F$6,D55&lt;1,D55&gt;12),"Periode prüfen",IF(D55&lt;=Steuerung!$F$8,"IST gesperrt",IF(OR(E55="",F55="",COUNT(G55:I55)&lt;&gt;3),"Angaben fehlen","Wirksam"))))</f>
        <v/>
      </c>
      <c r="L55">
        <f>IF(K55="Wirksam",SUM(G55:H55)-I55,IF(K55="","","n.a."))</f>
        <v/>
      </c>
    </row>
    <row r="56">
      <c r="K56">
        <f>IF(COUNTA(C56:J56)=0,"",IF(OR(C56&lt;&gt;Steuerung!$F$6,D56&lt;1,D56&gt;12),"Periode prüfen",IF(D56&lt;=Steuerung!$F$8,"IST gesperrt",IF(OR(E56="",F56="",COUNT(G56:I56)&lt;&gt;3),"Angaben fehlen","Wirksam"))))</f>
        <v/>
      </c>
      <c r="L56">
        <f>IF(K56="Wirksam",SUM(G56:H56)-I56,IF(K56="","","n.a."))</f>
        <v/>
      </c>
    </row>
    <row r="57">
      <c r="K57">
        <f>IF(COUNTA(C57:J57)=0,"",IF(OR(C57&lt;&gt;Steuerung!$F$6,D57&lt;1,D57&gt;12),"Periode prüfen",IF(D57&lt;=Steuerung!$F$8,"IST gesperrt",IF(OR(E57="",F57="",COUNT(G57:I57)&lt;&gt;3),"Angaben fehlen","Wirksam"))))</f>
        <v/>
      </c>
      <c r="L57">
        <f>IF(K57="Wirksam",SUM(G57:H57)-I57,IF(K57="","","n.a."))</f>
        <v/>
      </c>
    </row>
    <row r="58">
      <c r="K58">
        <f>IF(COUNTA(C58:J58)=0,"",IF(OR(C58&lt;&gt;Steuerung!$F$6,D58&lt;1,D58&gt;12),"Periode prüfen",IF(D58&lt;=Steuerung!$F$8,"IST gesperrt",IF(OR(E58="",F58="",COUNT(G58:I58)&lt;&gt;3),"Angaben fehlen","Wirksam"))))</f>
        <v/>
      </c>
      <c r="L58">
        <f>IF(K58="Wirksam",SUM(G58:H58)-I58,IF(K58="","","n.a."))</f>
        <v/>
      </c>
    </row>
    <row r="59">
      <c r="K59">
        <f>IF(COUNTA(C59:J59)=0,"",IF(OR(C59&lt;&gt;Steuerung!$F$6,D59&lt;1,D59&gt;12),"Periode prüfen",IF(D59&lt;=Steuerung!$F$8,"IST gesperrt",IF(OR(E59="",F59="",COUNT(G59:I59)&lt;&gt;3),"Angaben fehlen","Wirksam"))))</f>
        <v/>
      </c>
      <c r="L59">
        <f>IF(K59="Wirksam",SUM(G59:H59)-I59,IF(K59="","","n.a."))</f>
        <v/>
      </c>
    </row>
    <row r="60">
      <c r="K60">
        <f>IF(COUNTA(C60:J60)=0,"",IF(OR(C60&lt;&gt;Steuerung!$F$6,D60&lt;1,D60&gt;12),"Periode prüfen",IF(D60&lt;=Steuerung!$F$8,"IST gesperrt",IF(OR(E60="",F60="",COUNT(G60:I60)&lt;&gt;3),"Angaben fehlen","Wirksam"))))</f>
        <v/>
      </c>
      <c r="L60">
        <f>IF(K60="Wirksam",SUM(G60:H60)-I60,IF(K60="","","n.a."))</f>
        <v/>
      </c>
    </row>
    <row r="61">
      <c r="K61">
        <f>IF(COUNTA(C61:J61)=0,"",IF(OR(C61&lt;&gt;Steuerung!$F$6,D61&lt;1,D61&gt;12),"Periode prüfen",IF(D61&lt;=Steuerung!$F$8,"IST gesperrt",IF(OR(E61="",F61="",COUNT(G61:I61)&lt;&gt;3),"Angaben fehlen","Wirksam"))))</f>
        <v/>
      </c>
      <c r="L61">
        <f>IF(K61="Wirksam",SUM(G61:H61)-I61,IF(K61="","","n.a."))</f>
        <v/>
      </c>
    </row>
    <row r="62">
      <c r="K62">
        <f>IF(COUNTA(C62:J62)=0,"",IF(OR(C62&lt;&gt;Steuerung!$F$6,D62&lt;1,D62&gt;12),"Periode prüfen",IF(D62&lt;=Steuerung!$F$8,"IST gesperrt",IF(OR(E62="",F62="",COUNT(G62:I62)&lt;&gt;3),"Angaben fehlen","Wirksam"))))</f>
        <v/>
      </c>
      <c r="L62">
        <f>IF(K62="Wirksam",SUM(G62:H62)-I62,IF(K62="","","n.a."))</f>
        <v/>
      </c>
    </row>
    <row r="63">
      <c r="K63">
        <f>IF(COUNTA(C63:J63)=0,"",IF(OR(C63&lt;&gt;Steuerung!$F$6,D63&lt;1,D63&gt;12),"Periode prüfen",IF(D63&lt;=Steuerung!$F$8,"IST gesperrt",IF(OR(E63="",F63="",COUNT(G63:I63)&lt;&gt;3),"Angaben fehlen","Wirksam"))))</f>
        <v/>
      </c>
      <c r="L63">
        <f>IF(K63="Wirksam",SUM(G63:H63)-I63,IF(K63="","","n.a."))</f>
        <v/>
      </c>
    </row>
    <row r="64">
      <c r="K64">
        <f>IF(COUNTA(C64:J64)=0,"",IF(OR(C64&lt;&gt;Steuerung!$F$6,D64&lt;1,D64&gt;12),"Periode prüfen",IF(D64&lt;=Steuerung!$F$8,"IST gesperrt",IF(OR(E64="",F64="",COUNT(G64:I64)&lt;&gt;3),"Angaben fehlen","Wirksam"))))</f>
        <v/>
      </c>
      <c r="L64">
        <f>IF(K64="Wirksam",SUM(G64:H64)-I64,IF(K64="","","n.a."))</f>
        <v/>
      </c>
    </row>
    <row r="65">
      <c r="K65">
        <f>IF(COUNTA(C65:J65)=0,"",IF(OR(C65&lt;&gt;Steuerung!$F$6,D65&lt;1,D65&gt;12),"Periode prüfen",IF(D65&lt;=Steuerung!$F$8,"IST gesperrt",IF(OR(E65="",F65="",COUNT(G65:I65)&lt;&gt;3),"Angaben fehlen","Wirksam"))))</f>
        <v/>
      </c>
      <c r="L65">
        <f>IF(K65="Wirksam",SUM(G65:H65)-I65,IF(K65="","","n.a."))</f>
        <v/>
      </c>
    </row>
    <row r="66">
      <c r="K66">
        <f>IF(COUNTA(C66:J66)=0,"",IF(OR(C66&lt;&gt;Steuerung!$F$6,D66&lt;1,D66&gt;12),"Periode prüfen",IF(D66&lt;=Steuerung!$F$8,"IST gesperrt",IF(OR(E66="",F66="",COUNT(G66:I66)&lt;&gt;3),"Angaben fehlen","Wirksam"))))</f>
        <v/>
      </c>
      <c r="L66">
        <f>IF(K66="Wirksam",SUM(G66:H66)-I66,IF(K66="","","n.a."))</f>
        <v/>
      </c>
    </row>
    <row r="67">
      <c r="K67">
        <f>IF(COUNTA(C67:J67)=0,"",IF(OR(C67&lt;&gt;Steuerung!$F$6,D67&lt;1,D67&gt;12),"Periode prüfen",IF(D67&lt;=Steuerung!$F$8,"IST gesperrt",IF(OR(E67="",F67="",COUNT(G67:I67)&lt;&gt;3),"Angaben fehlen","Wirksam"))))</f>
        <v/>
      </c>
      <c r="L67">
        <f>IF(K67="Wirksam",SUM(G67:H67)-I67,IF(K67="","","n.a."))</f>
        <v/>
      </c>
    </row>
    <row r="68">
      <c r="K68">
        <f>IF(COUNTA(C68:J68)=0,"",IF(OR(C68&lt;&gt;Steuerung!$F$6,D68&lt;1,D68&gt;12),"Periode prüfen",IF(D68&lt;=Steuerung!$F$8,"IST gesperrt",IF(OR(E68="",F68="",COUNT(G68:I68)&lt;&gt;3),"Angaben fehlen","Wirksam"))))</f>
        <v/>
      </c>
      <c r="L68">
        <f>IF(K68="Wirksam",SUM(G68:H68)-I68,IF(K68="","","n.a."))</f>
        <v/>
      </c>
    </row>
    <row r="69">
      <c r="K69">
        <f>IF(COUNTA(C69:J69)=0,"",IF(OR(C69&lt;&gt;Steuerung!$F$6,D69&lt;1,D69&gt;12),"Periode prüfen",IF(D69&lt;=Steuerung!$F$8,"IST gesperrt",IF(OR(E69="",F69="",COUNT(G69:I69)&lt;&gt;3),"Angaben fehlen","Wirksam"))))</f>
        <v/>
      </c>
      <c r="L69">
        <f>IF(K69="Wirksam",SUM(G69:H69)-I69,IF(K69="","","n.a."))</f>
        <v/>
      </c>
    </row>
    <row r="70">
      <c r="K70">
        <f>IF(COUNTA(C70:J70)=0,"",IF(OR(C70&lt;&gt;Steuerung!$F$6,D70&lt;1,D70&gt;12),"Periode prüfen",IF(D70&lt;=Steuerung!$F$8,"IST gesperrt",IF(OR(E70="",F70="",COUNT(G70:I70)&lt;&gt;3),"Angaben fehlen","Wirksam"))))</f>
        <v/>
      </c>
      <c r="L70">
        <f>IF(K70="Wirksam",SUM(G70:H70)-I70,IF(K70="","","n.a."))</f>
        <v/>
      </c>
    </row>
    <row r="71">
      <c r="K71">
        <f>IF(COUNTA(C71:J71)=0,"",IF(OR(C71&lt;&gt;Steuerung!$F$6,D71&lt;1,D71&gt;12),"Periode prüfen",IF(D71&lt;=Steuerung!$F$8,"IST gesperrt",IF(OR(E71="",F71="",COUNT(G71:I71)&lt;&gt;3),"Angaben fehlen","Wirksam"))))</f>
        <v/>
      </c>
      <c r="L71">
        <f>IF(K71="Wirksam",SUM(G71:H71)-I71,IF(K71="","","n.a."))</f>
        <v/>
      </c>
    </row>
    <row r="72">
      <c r="K72">
        <f>IF(COUNTA(C72:J72)=0,"",IF(OR(C72&lt;&gt;Steuerung!$F$6,D72&lt;1,D72&gt;12),"Periode prüfen",IF(D72&lt;=Steuerung!$F$8,"IST gesperrt",IF(OR(E72="",F72="",COUNT(G72:I72)&lt;&gt;3),"Angaben fehlen","Wirksam"))))</f>
        <v/>
      </c>
      <c r="L72">
        <f>IF(K72="Wirksam",SUM(G72:H72)-I72,IF(K72="","","n.a."))</f>
        <v/>
      </c>
    </row>
    <row r="73">
      <c r="K73">
        <f>IF(COUNTA(C73:J73)=0,"",IF(OR(C73&lt;&gt;Steuerung!$F$6,D73&lt;1,D73&gt;12),"Periode prüfen",IF(D73&lt;=Steuerung!$F$8,"IST gesperrt",IF(OR(E73="",F73="",COUNT(G73:I73)&lt;&gt;3),"Angaben fehlen","Wirksam"))))</f>
        <v/>
      </c>
      <c r="L73">
        <f>IF(K73="Wirksam",SUM(G73:H73)-I73,IF(K73="","","n.a."))</f>
        <v/>
      </c>
    </row>
    <row r="74">
      <c r="K74">
        <f>IF(COUNTA(C74:J74)=0,"",IF(OR(C74&lt;&gt;Steuerung!$F$6,D74&lt;1,D74&gt;12),"Periode prüfen",IF(D74&lt;=Steuerung!$F$8,"IST gesperrt",IF(OR(E74="",F74="",COUNT(G74:I74)&lt;&gt;3),"Angaben fehlen","Wirksam"))))</f>
        <v/>
      </c>
      <c r="L74">
        <f>IF(K74="Wirksam",SUM(G74:H74)-I74,IF(K74="","","n.a."))</f>
        <v/>
      </c>
    </row>
    <row r="75">
      <c r="K75">
        <f>IF(COUNTA(C75:J75)=0,"",IF(OR(C75&lt;&gt;Steuerung!$F$6,D75&lt;1,D75&gt;12),"Periode prüfen",IF(D75&lt;=Steuerung!$F$8,"IST gesperrt",IF(OR(E75="",F75="",COUNT(G75:I75)&lt;&gt;3),"Angaben fehlen","Wirksam"))))</f>
        <v/>
      </c>
      <c r="L75">
        <f>IF(K75="Wirksam",SUM(G75:H75)-I75,IF(K75="","","n.a."))</f>
        <v/>
      </c>
    </row>
    <row r="76">
      <c r="K76">
        <f>IF(COUNTA(C76:J76)=0,"",IF(OR(C76&lt;&gt;Steuerung!$F$6,D76&lt;1,D76&gt;12),"Periode prüfen",IF(D76&lt;=Steuerung!$F$8,"IST gesperrt",IF(OR(E76="",F76="",COUNT(G76:I76)&lt;&gt;3),"Angaben fehlen","Wirksam"))))</f>
        <v/>
      </c>
      <c r="L76">
        <f>IF(K76="Wirksam",SUM(G76:H76)-I76,IF(K76="","","n.a."))</f>
        <v/>
      </c>
    </row>
    <row r="77">
      <c r="K77">
        <f>IF(COUNTA(C77:J77)=0,"",IF(OR(C77&lt;&gt;Steuerung!$F$6,D77&lt;1,D77&gt;12),"Periode prüfen",IF(D77&lt;=Steuerung!$F$8,"IST gesperrt",IF(OR(E77="",F77="",COUNT(G77:I77)&lt;&gt;3),"Angaben fehlen","Wirksam"))))</f>
        <v/>
      </c>
      <c r="L77">
        <f>IF(K77="Wirksam",SUM(G77:H77)-I77,IF(K77="","","n.a."))</f>
        <v/>
      </c>
    </row>
    <row r="78">
      <c r="K78">
        <f>IF(COUNTA(C78:J78)=0,"",IF(OR(C78&lt;&gt;Steuerung!$F$6,D78&lt;1,D78&gt;12),"Periode prüfen",IF(D78&lt;=Steuerung!$F$8,"IST gesperrt",IF(OR(E78="",F78="",COUNT(G78:I78)&lt;&gt;3),"Angaben fehlen","Wirksam"))))</f>
        <v/>
      </c>
      <c r="L78">
        <f>IF(K78="Wirksam",SUM(G78:H78)-I78,IF(K78="","","n.a."))</f>
        <v/>
      </c>
    </row>
    <row r="79">
      <c r="K79">
        <f>IF(COUNTA(C79:J79)=0,"",IF(OR(C79&lt;&gt;Steuerung!$F$6,D79&lt;1,D79&gt;12),"Periode prüfen",IF(D79&lt;=Steuerung!$F$8,"IST gesperrt",IF(OR(E79="",F79="",COUNT(G79:I79)&lt;&gt;3),"Angaben fehlen","Wirksam"))))</f>
        <v/>
      </c>
      <c r="L79">
        <f>IF(K79="Wirksam",SUM(G79:H79)-I79,IF(K79="","","n.a."))</f>
        <v/>
      </c>
    </row>
    <row r="80">
      <c r="K80">
        <f>IF(COUNTA(C80:J80)=0,"",IF(OR(C80&lt;&gt;Steuerung!$F$6,D80&lt;1,D80&gt;12),"Periode prüfen",IF(D80&lt;=Steuerung!$F$8,"IST gesperrt",IF(OR(E80="",F80="",COUNT(G80:I80)&lt;&gt;3),"Angaben fehlen","Wirksam"))))</f>
        <v/>
      </c>
      <c r="L80">
        <f>IF(K80="Wirksam",SUM(G80:H80)-I80,IF(K80="","","n.a."))</f>
        <v/>
      </c>
    </row>
    <row r="81">
      <c r="K81">
        <f>IF(COUNTA(C81:J81)=0,"",IF(OR(C81&lt;&gt;Steuerung!$F$6,D81&lt;1,D81&gt;12),"Periode prüfen",IF(D81&lt;=Steuerung!$F$8,"IST gesperrt",IF(OR(E81="",F81="",COUNT(G81:I81)&lt;&gt;3),"Angaben fehlen","Wirksam"))))</f>
        <v/>
      </c>
      <c r="L81">
        <f>IF(K81="Wirksam",SUM(G81:H81)-I81,IF(K81="","","n.a."))</f>
        <v/>
      </c>
    </row>
    <row r="82">
      <c r="K82">
        <f>IF(COUNTA(C82:J82)=0,"",IF(OR(C82&lt;&gt;Steuerung!$F$6,D82&lt;1,D82&gt;12),"Periode prüfen",IF(D82&lt;=Steuerung!$F$8,"IST gesperrt",IF(OR(E82="",F82="",COUNT(G82:I82)&lt;&gt;3),"Angaben fehlen","Wirksam"))))</f>
        <v/>
      </c>
      <c r="L82">
        <f>IF(K82="Wirksam",SUM(G82:H82)-I82,IF(K82="","","n.a."))</f>
        <v/>
      </c>
    </row>
    <row r="83">
      <c r="K83">
        <f>IF(COUNTA(C83:J83)=0,"",IF(OR(C83&lt;&gt;Steuerung!$F$6,D83&lt;1,D83&gt;12),"Periode prüfen",IF(D83&lt;=Steuerung!$F$8,"IST gesperrt",IF(OR(E83="",F83="",COUNT(G83:I83)&lt;&gt;3),"Angaben fehlen","Wirksam"))))</f>
        <v/>
      </c>
      <c r="L83">
        <f>IF(K83="Wirksam",SUM(G83:H83)-I83,IF(K83="","","n.a."))</f>
        <v/>
      </c>
    </row>
    <row r="84">
      <c r="K84">
        <f>IF(COUNTA(C84:J84)=0,"",IF(OR(C84&lt;&gt;Steuerung!$F$6,D84&lt;1,D84&gt;12),"Periode prüfen",IF(D84&lt;=Steuerung!$F$8,"IST gesperrt",IF(OR(E84="",F84="",COUNT(G84:I84)&lt;&gt;3),"Angaben fehlen","Wirksam"))))</f>
        <v/>
      </c>
      <c r="L84">
        <f>IF(K84="Wirksam",SUM(G84:H84)-I84,IF(K84="","","n.a."))</f>
        <v/>
      </c>
    </row>
    <row r="85">
      <c r="K85">
        <f>IF(COUNTA(C85:J85)=0,"",IF(OR(C85&lt;&gt;Steuerung!$F$6,D85&lt;1,D85&gt;12),"Periode prüfen",IF(D85&lt;=Steuerung!$F$8,"IST gesperrt",IF(OR(E85="",F85="",COUNT(G85:I85)&lt;&gt;3),"Angaben fehlen","Wirksam"))))</f>
        <v/>
      </c>
      <c r="L85">
        <f>IF(K85="Wirksam",SUM(G85:H85)-I85,IF(K85="","","n.a."))</f>
        <v/>
      </c>
    </row>
    <row r="86">
      <c r="K86">
        <f>IF(COUNTA(C86:J86)=0,"",IF(OR(C86&lt;&gt;Steuerung!$F$6,D86&lt;1,D86&gt;12),"Periode prüfen",IF(D86&lt;=Steuerung!$F$8,"IST gesperrt",IF(OR(E86="",F86="",COUNT(G86:I86)&lt;&gt;3),"Angaben fehlen","Wirksam"))))</f>
        <v/>
      </c>
      <c r="L86">
        <f>IF(K86="Wirksam",SUM(G86:H86)-I86,IF(K86="","","n.a."))</f>
        <v/>
      </c>
    </row>
    <row r="87">
      <c r="K87">
        <f>IF(COUNTA(C87:J87)=0,"",IF(OR(C87&lt;&gt;Steuerung!$F$6,D87&lt;1,D87&gt;12),"Periode prüfen",IF(D87&lt;=Steuerung!$F$8,"IST gesperrt",IF(OR(E87="",F87="",COUNT(G87:I87)&lt;&gt;3),"Angaben fehlen","Wirksam"))))</f>
        <v/>
      </c>
      <c r="L87">
        <f>IF(K87="Wirksam",SUM(G87:H87)-I87,IF(K87="","","n.a."))</f>
        <v/>
      </c>
    </row>
    <row r="88">
      <c r="K88">
        <f>IF(COUNTA(C88:J88)=0,"",IF(OR(C88&lt;&gt;Steuerung!$F$6,D88&lt;1,D88&gt;12),"Periode prüfen",IF(D88&lt;=Steuerung!$F$8,"IST gesperrt",IF(OR(E88="",F88="",COUNT(G88:I88)&lt;&gt;3),"Angaben fehlen","Wirksam"))))</f>
        <v/>
      </c>
      <c r="L88">
        <f>IF(K88="Wirksam",SUM(G88:H88)-I88,IF(K88="","","n.a."))</f>
        <v/>
      </c>
    </row>
    <row r="89">
      <c r="K89">
        <f>IF(COUNTA(C89:J89)=0,"",IF(OR(C89&lt;&gt;Steuerung!$F$6,D89&lt;1,D89&gt;12),"Periode prüfen",IF(D89&lt;=Steuerung!$F$8,"IST gesperrt",IF(OR(E89="",F89="",COUNT(G89:I89)&lt;&gt;3),"Angaben fehlen","Wirksam"))))</f>
        <v/>
      </c>
      <c r="L89">
        <f>IF(K89="Wirksam",SUM(G89:H89)-I89,IF(K89="","","n.a."))</f>
        <v/>
      </c>
    </row>
    <row r="90">
      <c r="K90">
        <f>IF(COUNTA(C90:J90)=0,"",IF(OR(C90&lt;&gt;Steuerung!$F$6,D90&lt;1,D90&gt;12),"Periode prüfen",IF(D90&lt;=Steuerung!$F$8,"IST gesperrt",IF(OR(E90="",F90="",COUNT(G90:I90)&lt;&gt;3),"Angaben fehlen","Wirksam"))))</f>
        <v/>
      </c>
      <c r="L90">
        <f>IF(K90="Wirksam",SUM(G90:H90)-I90,IF(K90="","","n.a."))</f>
        <v/>
      </c>
    </row>
    <row r="91">
      <c r="K91">
        <f>IF(COUNTA(C91:J91)=0,"",IF(OR(C91&lt;&gt;Steuerung!$F$6,D91&lt;1,D91&gt;12),"Periode prüfen",IF(D91&lt;=Steuerung!$F$8,"IST gesperrt",IF(OR(E91="",F91="",COUNT(G91:I91)&lt;&gt;3),"Angaben fehlen","Wirksam"))))</f>
        <v/>
      </c>
      <c r="L91">
        <f>IF(K91="Wirksam",SUM(G91:H91)-I91,IF(K91="","","n.a."))</f>
        <v/>
      </c>
    </row>
    <row r="92">
      <c r="K92">
        <f>IF(COUNTA(C92:J92)=0,"",IF(OR(C92&lt;&gt;Steuerung!$F$6,D92&lt;1,D92&gt;12),"Periode prüfen",IF(D92&lt;=Steuerung!$F$8,"IST gesperrt",IF(OR(E92="",F92="",COUNT(G92:I92)&lt;&gt;3),"Angaben fehlen","Wirksam"))))</f>
        <v/>
      </c>
      <c r="L92">
        <f>IF(K92="Wirksam",SUM(G92:H92)-I92,IF(K92="","","n.a."))</f>
        <v/>
      </c>
    </row>
    <row r="93">
      <c r="K93">
        <f>IF(COUNTA(C93:J93)=0,"",IF(OR(C93&lt;&gt;Steuerung!$F$6,D93&lt;1,D93&gt;12),"Periode prüfen",IF(D93&lt;=Steuerung!$F$8,"IST gesperrt",IF(OR(E93="",F93="",COUNT(G93:I93)&lt;&gt;3),"Angaben fehlen","Wirksam"))))</f>
        <v/>
      </c>
      <c r="L93">
        <f>IF(K93="Wirksam",SUM(G93:H93)-I93,IF(K93="","","n.a."))</f>
        <v/>
      </c>
    </row>
    <row r="94">
      <c r="K94">
        <f>IF(COUNTA(C94:J94)=0,"",IF(OR(C94&lt;&gt;Steuerung!$F$6,D94&lt;1,D94&gt;12),"Periode prüfen",IF(D94&lt;=Steuerung!$F$8,"IST gesperrt",IF(OR(E94="",F94="",COUNT(G94:I94)&lt;&gt;3),"Angaben fehlen","Wirksam"))))</f>
        <v/>
      </c>
      <c r="L94">
        <f>IF(K94="Wirksam",SUM(G94:H94)-I94,IF(K94="","","n.a."))</f>
        <v/>
      </c>
    </row>
    <row r="95">
      <c r="K95">
        <f>IF(COUNTA(C95:J95)=0,"",IF(OR(C95&lt;&gt;Steuerung!$F$6,D95&lt;1,D95&gt;12),"Periode prüfen",IF(D95&lt;=Steuerung!$F$8,"IST gesperrt",IF(OR(E95="",F95="",COUNT(G95:I95)&lt;&gt;3),"Angaben fehlen","Wirksam"))))</f>
        <v/>
      </c>
      <c r="L95">
        <f>IF(K95="Wirksam",SUM(G95:H95)-I95,IF(K95="","","n.a."))</f>
        <v/>
      </c>
    </row>
    <row r="96">
      <c r="K96">
        <f>IF(COUNTA(C96:J96)=0,"",IF(OR(C96&lt;&gt;Steuerung!$F$6,D96&lt;1,D96&gt;12),"Periode prüfen",IF(D96&lt;=Steuerung!$F$8,"IST gesperrt",IF(OR(E96="",F96="",COUNT(G96:I96)&lt;&gt;3),"Angaben fehlen","Wirksam"))))</f>
        <v/>
      </c>
      <c r="L96">
        <f>IF(K96="Wirksam",SUM(G96:H96)-I96,IF(K96="","","n.a."))</f>
        <v/>
      </c>
    </row>
    <row r="97">
      <c r="K97">
        <f>IF(COUNTA(C97:J97)=0,"",IF(OR(C97&lt;&gt;Steuerung!$F$6,D97&lt;1,D97&gt;12),"Periode prüfen",IF(D97&lt;=Steuerung!$F$8,"IST gesperrt",IF(OR(E97="",F97="",COUNT(G97:I97)&lt;&gt;3),"Angaben fehlen","Wirksam"))))</f>
        <v/>
      </c>
      <c r="L97">
        <f>IF(K97="Wirksam",SUM(G97:H97)-I97,IF(K97="","","n.a."))</f>
        <v/>
      </c>
    </row>
    <row r="98">
      <c r="K98">
        <f>IF(COUNTA(C98:J98)=0,"",IF(OR(C98&lt;&gt;Steuerung!$F$6,D98&lt;1,D98&gt;12),"Periode prüfen",IF(D98&lt;=Steuerung!$F$8,"IST gesperrt",IF(OR(E98="",F98="",COUNT(G98:I98)&lt;&gt;3),"Angaben fehlen","Wirksam"))))</f>
        <v/>
      </c>
      <c r="L98">
        <f>IF(K98="Wirksam",SUM(G98:H98)-I98,IF(K98="","","n.a."))</f>
        <v/>
      </c>
    </row>
    <row r="99">
      <c r="K99">
        <f>IF(COUNTA(C99:J99)=0,"",IF(OR(C99&lt;&gt;Steuerung!$F$6,D99&lt;1,D99&gt;12),"Periode prüfen",IF(D99&lt;=Steuerung!$F$8,"IST gesperrt",IF(OR(E99="",F99="",COUNT(G99:I99)&lt;&gt;3),"Angaben fehlen","Wirksam"))))</f>
        <v/>
      </c>
      <c r="L99">
        <f>IF(K99="Wirksam",SUM(G99:H99)-I99,IF(K99="","","n.a."))</f>
        <v/>
      </c>
    </row>
    <row r="100">
      <c r="K100">
        <f>IF(COUNTA(C100:J100)=0,"",IF(OR(C100&lt;&gt;Steuerung!$F$6,D100&lt;1,D100&gt;12),"Periode prüfen",IF(D100&lt;=Steuerung!$F$8,"IST gesperrt",IF(OR(E100="",F100="",COUNT(G100:I100)&lt;&gt;3),"Angaben fehlen","Wirksam"))))</f>
        <v/>
      </c>
      <c r="L100">
        <f>IF(K100="Wirksam",SUM(G100:H100)-I100,IF(K100="","","n.a."))</f>
        <v/>
      </c>
    </row>
    <row r="101">
      <c r="K101">
        <f>IF(COUNTA(C101:J101)=0,"",IF(OR(C101&lt;&gt;Steuerung!$F$6,D101&lt;1,D101&gt;12),"Periode prüfen",IF(D101&lt;=Steuerung!$F$8,"IST gesperrt",IF(OR(E101="",F101="",COUNT(G101:I101)&lt;&gt;3),"Angaben fehlen","Wirksam"))))</f>
        <v/>
      </c>
      <c r="L101">
        <f>IF(K101="Wirksam",SUM(G101:H101)-I101,IF(K101="","","n.a."))</f>
        <v/>
      </c>
    </row>
    <row r="102">
      <c r="K102">
        <f>IF(COUNTA(C102:J102)=0,"",IF(OR(C102&lt;&gt;Steuerung!$F$6,D102&lt;1,D102&gt;12),"Periode prüfen",IF(D102&lt;=Steuerung!$F$8,"IST gesperrt",IF(OR(E102="",F102="",COUNT(G102:I102)&lt;&gt;3),"Angaben fehlen","Wirksam"))))</f>
        <v/>
      </c>
      <c r="L102">
        <f>IF(K102="Wirksam",SUM(G102:H102)-I102,IF(K102="","","n.a."))</f>
        <v/>
      </c>
    </row>
    <row r="103">
      <c r="K103">
        <f>IF(COUNTA(C103:J103)=0,"",IF(OR(C103&lt;&gt;Steuerung!$F$6,D103&lt;1,D103&gt;12),"Periode prüfen",IF(D103&lt;=Steuerung!$F$8,"IST gesperrt",IF(OR(E103="",F103="",COUNT(G103:I103)&lt;&gt;3),"Angaben fehlen","Wirksam"))))</f>
        <v/>
      </c>
      <c r="L103">
        <f>IF(K103="Wirksam",SUM(G103:H103)-I103,IF(K103="","","n.a."))</f>
        <v/>
      </c>
    </row>
    <row r="104">
      <c r="K104">
        <f>IF(COUNTA(C104:J104)=0,"",IF(OR(C104&lt;&gt;Steuerung!$F$6,D104&lt;1,D104&gt;12),"Periode prüfen",IF(D104&lt;=Steuerung!$F$8,"IST gesperrt",IF(OR(E104="",F104="",COUNT(G104:I104)&lt;&gt;3),"Angaben fehlen","Wirksam"))))</f>
        <v/>
      </c>
      <c r="L104">
        <f>IF(K104="Wirksam",SUM(G104:H104)-I104,IF(K104="","","n.a."))</f>
        <v/>
      </c>
    </row>
    <row r="105">
      <c r="K105">
        <f>IF(COUNTA(C105:J105)=0,"",IF(OR(C105&lt;&gt;Steuerung!$F$6,D105&lt;1,D105&gt;12),"Periode prüfen",IF(D105&lt;=Steuerung!$F$8,"IST gesperrt",IF(OR(E105="",F105="",COUNT(G105:I105)&lt;&gt;3),"Angaben fehlen","Wirksam"))))</f>
        <v/>
      </c>
      <c r="L105">
        <f>IF(K105="Wirksam",SUM(G105:H105)-I105,IF(K105="","","n.a."))</f>
        <v/>
      </c>
    </row>
    <row r="106">
      <c r="K106">
        <f>IF(COUNTA(C106:J106)=0,"",IF(OR(C106&lt;&gt;Steuerung!$F$6,D106&lt;1,D106&gt;12),"Periode prüfen",IF(D106&lt;=Steuerung!$F$8,"IST gesperrt",IF(OR(E106="",F106="",COUNT(G106:I106)&lt;&gt;3),"Angaben fehlen","Wirksam"))))</f>
        <v/>
      </c>
      <c r="L106">
        <f>IF(K106="Wirksam",SUM(G106:H106)-I106,IF(K106="","","n.a."))</f>
        <v/>
      </c>
    </row>
    <row r="107">
      <c r="K107">
        <f>IF(COUNTA(C107:J107)=0,"",IF(OR(C107&lt;&gt;Steuerung!$F$6,D107&lt;1,D107&gt;12),"Periode prüfen",IF(D107&lt;=Steuerung!$F$8,"IST gesperrt",IF(OR(E107="",F107="",COUNT(G107:I107)&lt;&gt;3),"Angaben fehlen","Wirksam"))))</f>
        <v/>
      </c>
      <c r="L107">
        <f>IF(K107="Wirksam",SUM(G107:H107)-I107,IF(K107="","","n.a."))</f>
        <v/>
      </c>
    </row>
    <row r="108">
      <c r="K108">
        <f>IF(COUNTA(C108:J108)=0,"",IF(OR(C108&lt;&gt;Steuerung!$F$6,D108&lt;1,D108&gt;12),"Periode prüfen",IF(D108&lt;=Steuerung!$F$8,"IST gesperrt",IF(OR(E108="",F108="",COUNT(G108:I108)&lt;&gt;3),"Angaben fehlen","Wirksam"))))</f>
        <v/>
      </c>
      <c r="L108">
        <f>IF(K108="Wirksam",SUM(G108:H108)-I108,IF(K108="","","n.a."))</f>
        <v/>
      </c>
    </row>
    <row r="109">
      <c r="K109">
        <f>IF(COUNTA(C109:J109)=0,"",IF(OR(C109&lt;&gt;Steuerung!$F$6,D109&lt;1,D109&gt;12),"Periode prüfen",IF(D109&lt;=Steuerung!$F$8,"IST gesperrt",IF(OR(E109="",F109="",COUNT(G109:I109)&lt;&gt;3),"Angaben fehlen","Wirksam"))))</f>
        <v/>
      </c>
      <c r="L109">
        <f>IF(K109="Wirksam",SUM(G109:H109)-I109,IF(K109="","","n.a."))</f>
        <v/>
      </c>
    </row>
    <row r="110">
      <c r="K110">
        <f>IF(COUNTA(C110:J110)=0,"",IF(OR(C110&lt;&gt;Steuerung!$F$6,D110&lt;1,D110&gt;12),"Periode prüfen",IF(D110&lt;=Steuerung!$F$8,"IST gesperrt",IF(OR(E110="",F110="",COUNT(G110:I110)&lt;&gt;3),"Angaben fehlen","Wirksam"))))</f>
        <v/>
      </c>
      <c r="L110">
        <f>IF(K110="Wirksam",SUM(G110:H110)-I110,IF(K110="","","n.a."))</f>
        <v/>
      </c>
    </row>
    <row r="111">
      <c r="K111">
        <f>IF(COUNTA(C111:J111)=0,"",IF(OR(C111&lt;&gt;Steuerung!$F$6,D111&lt;1,D111&gt;12),"Periode prüfen",IF(D111&lt;=Steuerung!$F$8,"IST gesperrt",IF(OR(E111="",F111="",COUNT(G111:I111)&lt;&gt;3),"Angaben fehlen","Wirksam"))))</f>
        <v/>
      </c>
      <c r="L111">
        <f>IF(K111="Wirksam",SUM(G111:H111)-I111,IF(K111="","","n.a."))</f>
        <v/>
      </c>
    </row>
    <row r="112">
      <c r="K112">
        <f>IF(COUNTA(C112:J112)=0,"",IF(OR(C112&lt;&gt;Steuerung!$F$6,D112&lt;1,D112&gt;12),"Periode prüfen",IF(D112&lt;=Steuerung!$F$8,"IST gesperrt",IF(OR(E112="",F112="",COUNT(G112:I112)&lt;&gt;3),"Angaben fehlen","Wirksam"))))</f>
        <v/>
      </c>
      <c r="L112">
        <f>IF(K112="Wirksam",SUM(G112:H112)-I112,IF(K112="","","n.a."))</f>
        <v/>
      </c>
    </row>
    <row r="113">
      <c r="K113">
        <f>IF(COUNTA(C113:J113)=0,"",IF(OR(C113&lt;&gt;Steuerung!$F$6,D113&lt;1,D113&gt;12),"Periode prüfen",IF(D113&lt;=Steuerung!$F$8,"IST gesperrt",IF(OR(E113="",F113="",COUNT(G113:I113)&lt;&gt;3),"Angaben fehlen","Wirksam"))))</f>
        <v/>
      </c>
      <c r="L113">
        <f>IF(K113="Wirksam",SUM(G113:H113)-I113,IF(K113="","","n.a."))</f>
        <v/>
      </c>
    </row>
    <row r="114">
      <c r="K114">
        <f>IF(COUNTA(C114:J114)=0,"",IF(OR(C114&lt;&gt;Steuerung!$F$6,D114&lt;1,D114&gt;12),"Periode prüfen",IF(D114&lt;=Steuerung!$F$8,"IST gesperrt",IF(OR(E114="",F114="",COUNT(G114:I114)&lt;&gt;3),"Angaben fehlen","Wirksam"))))</f>
        <v/>
      </c>
      <c r="L114">
        <f>IF(K114="Wirksam",SUM(G114:H114)-I114,IF(K114="","","n.a."))</f>
        <v/>
      </c>
    </row>
    <row r="115">
      <c r="K115">
        <f>IF(COUNTA(C115:J115)=0,"",IF(OR(C115&lt;&gt;Steuerung!$F$6,D115&lt;1,D115&gt;12),"Periode prüfen",IF(D115&lt;=Steuerung!$F$8,"IST gesperrt",IF(OR(E115="",F115="",COUNT(G115:I115)&lt;&gt;3),"Angaben fehlen","Wirksam"))))</f>
        <v/>
      </c>
      <c r="L115">
        <f>IF(K115="Wirksam",SUM(G115:H115)-I115,IF(K115="","","n.a."))</f>
        <v/>
      </c>
    </row>
    <row r="116">
      <c r="K116">
        <f>IF(COUNTA(C116:J116)=0,"",IF(OR(C116&lt;&gt;Steuerung!$F$6,D116&lt;1,D116&gt;12),"Periode prüfen",IF(D116&lt;=Steuerung!$F$8,"IST gesperrt",IF(OR(E116="",F116="",COUNT(G116:I116)&lt;&gt;3),"Angaben fehlen","Wirksam"))))</f>
        <v/>
      </c>
      <c r="L116">
        <f>IF(K116="Wirksam",SUM(G116:H116)-I116,IF(K116="","","n.a."))</f>
        <v/>
      </c>
    </row>
    <row r="117">
      <c r="K117">
        <f>IF(COUNTA(C117:J117)=0,"",IF(OR(C117&lt;&gt;Steuerung!$F$6,D117&lt;1,D117&gt;12),"Periode prüfen",IF(D117&lt;=Steuerung!$F$8,"IST gesperrt",IF(OR(E117="",F117="",COUNT(G117:I117)&lt;&gt;3),"Angaben fehlen","Wirksam"))))</f>
        <v/>
      </c>
      <c r="L117">
        <f>IF(K117="Wirksam",SUM(G117:H117)-I117,IF(K117="","","n.a."))</f>
        <v/>
      </c>
    </row>
    <row r="118">
      <c r="K118">
        <f>IF(COUNTA(C118:J118)=0,"",IF(OR(C118&lt;&gt;Steuerung!$F$6,D118&lt;1,D118&gt;12),"Periode prüfen",IF(D118&lt;=Steuerung!$F$8,"IST gesperrt",IF(OR(E118="",F118="",COUNT(G118:I118)&lt;&gt;3),"Angaben fehlen","Wirksam"))))</f>
        <v/>
      </c>
      <c r="L118">
        <f>IF(K118="Wirksam",SUM(G118:H118)-I118,IF(K118="","","n.a."))</f>
        <v/>
      </c>
    </row>
    <row r="119">
      <c r="K119">
        <f>IF(COUNTA(C119:J119)=0,"",IF(OR(C119&lt;&gt;Steuerung!$F$6,D119&lt;1,D119&gt;12),"Periode prüfen",IF(D119&lt;=Steuerung!$F$8,"IST gesperrt",IF(OR(E119="",F119="",COUNT(G119:I119)&lt;&gt;3),"Angaben fehlen","Wirksam"))))</f>
        <v/>
      </c>
      <c r="L119">
        <f>IF(K119="Wirksam",SUM(G119:H119)-I119,IF(K119="","","n.a."))</f>
        <v/>
      </c>
    </row>
    <row r="120">
      <c r="K120">
        <f>IF(COUNTA(C120:J120)=0,"",IF(OR(C120&lt;&gt;Steuerung!$F$6,D120&lt;1,D120&gt;12),"Periode prüfen",IF(D120&lt;=Steuerung!$F$8,"IST gesperrt",IF(OR(E120="",F120="",COUNT(G120:I120)&lt;&gt;3),"Angaben fehlen","Wirksam"))))</f>
        <v/>
      </c>
      <c r="L120">
        <f>IF(K120="Wirksam",SUM(G120:H120)-I120,IF(K120="","","n.a."))</f>
        <v/>
      </c>
    </row>
    <row r="121">
      <c r="K121">
        <f>IF(COUNTA(C121:J121)=0,"",IF(OR(C121&lt;&gt;Steuerung!$F$6,D121&lt;1,D121&gt;12),"Periode prüfen",IF(D121&lt;=Steuerung!$F$8,"IST gesperrt",IF(OR(E121="",F121="",COUNT(G121:I121)&lt;&gt;3),"Angaben fehlen","Wirksam"))))</f>
        <v/>
      </c>
      <c r="L121">
        <f>IF(K121="Wirksam",SUM(G121:H121)-I121,IF(K121="","","n.a."))</f>
        <v/>
      </c>
    </row>
    <row r="122">
      <c r="K122">
        <f>IF(COUNTA(C122:J122)=0,"",IF(OR(C122&lt;&gt;Steuerung!$F$6,D122&lt;1,D122&gt;12),"Periode prüfen",IF(D122&lt;=Steuerung!$F$8,"IST gesperrt",IF(OR(E122="",F122="",COUNT(G122:I122)&lt;&gt;3),"Angaben fehlen","Wirksam"))))</f>
        <v/>
      </c>
      <c r="L122">
        <f>IF(K122="Wirksam",SUM(G122:H122)-I122,IF(K122="","","n.a."))</f>
        <v/>
      </c>
    </row>
    <row r="123">
      <c r="K123">
        <f>IF(COUNTA(C123:J123)=0,"",IF(OR(C123&lt;&gt;Steuerung!$F$6,D123&lt;1,D123&gt;12),"Periode prüfen",IF(D123&lt;=Steuerung!$F$8,"IST gesperrt",IF(OR(E123="",F123="",COUNT(G123:I123)&lt;&gt;3),"Angaben fehlen","Wirksam"))))</f>
        <v/>
      </c>
      <c r="L123">
        <f>IF(K123="Wirksam",SUM(G123:H123)-I123,IF(K123="","","n.a."))</f>
        <v/>
      </c>
    </row>
    <row r="124">
      <c r="K124">
        <f>IF(COUNTA(C124:J124)=0,"",IF(OR(C124&lt;&gt;Steuerung!$F$6,D124&lt;1,D124&gt;12),"Periode prüfen",IF(D124&lt;=Steuerung!$F$8,"IST gesperrt",IF(OR(E124="",F124="",COUNT(G124:I124)&lt;&gt;3),"Angaben fehlen","Wirksam"))))</f>
        <v/>
      </c>
      <c r="L124">
        <f>IF(K124="Wirksam",SUM(G124:H124)-I124,IF(K124="","","n.a."))</f>
        <v/>
      </c>
    </row>
    <row r="125">
      <c r="K125">
        <f>IF(COUNTA(C125:J125)=0,"",IF(OR(C125&lt;&gt;Steuerung!$F$6,D125&lt;1,D125&gt;12),"Periode prüfen",IF(D125&lt;=Steuerung!$F$8,"IST gesperrt",IF(OR(E125="",F125="",COUNT(G125:I125)&lt;&gt;3),"Angaben fehlen","Wirksam"))))</f>
        <v/>
      </c>
      <c r="L125">
        <f>IF(K125="Wirksam",SUM(G125:H125)-I125,IF(K125="","","n.a."))</f>
        <v/>
      </c>
    </row>
    <row r="126">
      <c r="K126">
        <f>IF(COUNTA(C126:J126)=0,"",IF(OR(C126&lt;&gt;Steuerung!$F$6,D126&lt;1,D126&gt;12),"Periode prüfen",IF(D126&lt;=Steuerung!$F$8,"IST gesperrt",IF(OR(E126="",F126="",COUNT(G126:I126)&lt;&gt;3),"Angaben fehlen","Wirksam"))))</f>
        <v/>
      </c>
      <c r="L126">
        <f>IF(K126="Wirksam",SUM(G126:H126)-I126,IF(K126="","","n.a."))</f>
        <v/>
      </c>
    </row>
    <row r="127">
      <c r="K127">
        <f>IF(COUNTA(C127:J127)=0,"",IF(OR(C127&lt;&gt;Steuerung!$F$6,D127&lt;1,D127&gt;12),"Periode prüfen",IF(D127&lt;=Steuerung!$F$8,"IST gesperrt",IF(OR(E127="",F127="",COUNT(G127:I127)&lt;&gt;3),"Angaben fehlen","Wirksam"))))</f>
        <v/>
      </c>
      <c r="L127">
        <f>IF(K127="Wirksam",SUM(G127:H127)-I127,IF(K127="","","n.a."))</f>
        <v/>
      </c>
    </row>
    <row r="128">
      <c r="K128">
        <f>IF(COUNTA(C128:J128)=0,"",IF(OR(C128&lt;&gt;Steuerung!$F$6,D128&lt;1,D128&gt;12),"Periode prüfen",IF(D128&lt;=Steuerung!$F$8,"IST gesperrt",IF(OR(E128="",F128="",COUNT(G128:I128)&lt;&gt;3),"Angaben fehlen","Wirksam"))))</f>
        <v/>
      </c>
      <c r="L128">
        <f>IF(K128="Wirksam",SUM(G128:H128)-I128,IF(K128="","","n.a."))</f>
        <v/>
      </c>
    </row>
    <row r="129">
      <c r="K129">
        <f>IF(COUNTA(C129:J129)=0,"",IF(OR(C129&lt;&gt;Steuerung!$F$6,D129&lt;1,D129&gt;12),"Periode prüfen",IF(D129&lt;=Steuerung!$F$8,"IST gesperrt",IF(OR(E129="",F129="",COUNT(G129:I129)&lt;&gt;3),"Angaben fehlen","Wirksam"))))</f>
        <v/>
      </c>
      <c r="L129">
        <f>IF(K129="Wirksam",SUM(G129:H129)-I129,IF(K129="","","n.a."))</f>
        <v/>
      </c>
    </row>
    <row r="130">
      <c r="K130">
        <f>IF(COUNTA(C130:J130)=0,"",IF(OR(C130&lt;&gt;Steuerung!$F$6,D130&lt;1,D130&gt;12),"Periode prüfen",IF(D130&lt;=Steuerung!$F$8,"IST gesperrt",IF(OR(E130="",F130="",COUNT(G130:I130)&lt;&gt;3),"Angaben fehlen","Wirksam"))))</f>
        <v/>
      </c>
      <c r="L130">
        <f>IF(K130="Wirksam",SUM(G130:H130)-I130,IF(K130="","","n.a."))</f>
        <v/>
      </c>
    </row>
    <row r="131">
      <c r="K131">
        <f>IF(COUNTA(C131:J131)=0,"",IF(OR(C131&lt;&gt;Steuerung!$F$6,D131&lt;1,D131&gt;12),"Periode prüfen",IF(D131&lt;=Steuerung!$F$8,"IST gesperrt",IF(OR(E131="",F131="",COUNT(G131:I131)&lt;&gt;3),"Angaben fehlen","Wirksam"))))</f>
        <v/>
      </c>
      <c r="L131">
        <f>IF(K131="Wirksam",SUM(G131:H131)-I131,IF(K131="","","n.a."))</f>
        <v/>
      </c>
    </row>
    <row r="132">
      <c r="K132">
        <f>IF(COUNTA(C132:J132)=0,"",IF(OR(C132&lt;&gt;Steuerung!$F$6,D132&lt;1,D132&gt;12),"Periode prüfen",IF(D132&lt;=Steuerung!$F$8,"IST gesperrt",IF(OR(E132="",F132="",COUNT(G132:I132)&lt;&gt;3),"Angaben fehlen","Wirksam"))))</f>
        <v/>
      </c>
      <c r="L132">
        <f>IF(K132="Wirksam",SUM(G132:H132)-I132,IF(K132="","","n.a."))</f>
        <v/>
      </c>
    </row>
    <row r="133">
      <c r="K133">
        <f>IF(COUNTA(C133:J133)=0,"",IF(OR(C133&lt;&gt;Steuerung!$F$6,D133&lt;1,D133&gt;12),"Periode prüfen",IF(D133&lt;=Steuerung!$F$8,"IST gesperrt",IF(OR(E133="",F133="",COUNT(G133:I133)&lt;&gt;3),"Angaben fehlen","Wirksam"))))</f>
        <v/>
      </c>
      <c r="L133">
        <f>IF(K133="Wirksam",SUM(G133:H133)-I133,IF(K133="","","n.a."))</f>
        <v/>
      </c>
    </row>
    <row r="134">
      <c r="K134">
        <f>IF(COUNTA(C134:J134)=0,"",IF(OR(C134&lt;&gt;Steuerung!$F$6,D134&lt;1,D134&gt;12),"Periode prüfen",IF(D134&lt;=Steuerung!$F$8,"IST gesperrt",IF(OR(E134="",F134="",COUNT(G134:I134)&lt;&gt;3),"Angaben fehlen","Wirksam"))))</f>
        <v/>
      </c>
      <c r="L134">
        <f>IF(K134="Wirksam",SUM(G134:H134)-I134,IF(K134="","","n.a."))</f>
        <v/>
      </c>
    </row>
    <row r="135">
      <c r="K135">
        <f>IF(COUNTA(C135:J135)=0,"",IF(OR(C135&lt;&gt;Steuerung!$F$6,D135&lt;1,D135&gt;12),"Periode prüfen",IF(D135&lt;=Steuerung!$F$8,"IST gesperrt",IF(OR(E135="",F135="",COUNT(G135:I135)&lt;&gt;3),"Angaben fehlen","Wirksam"))))</f>
        <v/>
      </c>
      <c r="L135">
        <f>IF(K135="Wirksam",SUM(G135:H135)-I135,IF(K135="","","n.a."))</f>
        <v/>
      </c>
    </row>
    <row r="136">
      <c r="K136">
        <f>IF(COUNTA(C136:J136)=0,"",IF(OR(C136&lt;&gt;Steuerung!$F$6,D136&lt;1,D136&gt;12),"Periode prüfen",IF(D136&lt;=Steuerung!$F$8,"IST gesperrt",IF(OR(E136="",F136="",COUNT(G136:I136)&lt;&gt;3),"Angaben fehlen","Wirksam"))))</f>
        <v/>
      </c>
      <c r="L136">
        <f>IF(K136="Wirksam",SUM(G136:H136)-I136,IF(K136="","","n.a."))</f>
        <v/>
      </c>
    </row>
    <row r="137">
      <c r="K137">
        <f>IF(COUNTA(C137:J137)=0,"",IF(OR(C137&lt;&gt;Steuerung!$F$6,D137&lt;1,D137&gt;12),"Periode prüfen",IF(D137&lt;=Steuerung!$F$8,"IST gesperrt",IF(OR(E137="",F137="",COUNT(G137:I137)&lt;&gt;3),"Angaben fehlen","Wirksam"))))</f>
        <v/>
      </c>
      <c r="L137">
        <f>IF(K137="Wirksam",SUM(G137:H137)-I137,IF(K137="","","n.a."))</f>
        <v/>
      </c>
    </row>
    <row r="138">
      <c r="K138">
        <f>IF(COUNTA(C138:J138)=0,"",IF(OR(C138&lt;&gt;Steuerung!$F$6,D138&lt;1,D138&gt;12),"Periode prüfen",IF(D138&lt;=Steuerung!$F$8,"IST gesperrt",IF(OR(E138="",F138="",COUNT(G138:I138)&lt;&gt;3),"Angaben fehlen","Wirksam"))))</f>
        <v/>
      </c>
      <c r="L138">
        <f>IF(K138="Wirksam",SUM(G138:H138)-I138,IF(K138="","","n.a."))</f>
        <v/>
      </c>
    </row>
    <row r="139">
      <c r="K139">
        <f>IF(COUNTA(C139:J139)=0,"",IF(OR(C139&lt;&gt;Steuerung!$F$6,D139&lt;1,D139&gt;12),"Periode prüfen",IF(D139&lt;=Steuerung!$F$8,"IST gesperrt",IF(OR(E139="",F139="",COUNT(G139:I139)&lt;&gt;3),"Angaben fehlen","Wirksam"))))</f>
        <v/>
      </c>
      <c r="L139">
        <f>IF(K139="Wirksam",SUM(G139:H139)-I139,IF(K139="","","n.a."))</f>
        <v/>
      </c>
    </row>
    <row r="140">
      <c r="K140">
        <f>IF(COUNTA(C140:J140)=0,"",IF(OR(C140&lt;&gt;Steuerung!$F$6,D140&lt;1,D140&gt;12),"Periode prüfen",IF(D140&lt;=Steuerung!$F$8,"IST gesperrt",IF(OR(E140="",F140="",COUNT(G140:I140)&lt;&gt;3),"Angaben fehlen","Wirksam"))))</f>
        <v/>
      </c>
      <c r="L140">
        <f>IF(K140="Wirksam",SUM(G140:H140)-I140,IF(K140="","","n.a."))</f>
        <v/>
      </c>
    </row>
    <row r="141">
      <c r="K141">
        <f>IF(COUNTA(C141:J141)=0,"",IF(OR(C141&lt;&gt;Steuerung!$F$6,D141&lt;1,D141&gt;12),"Periode prüfen",IF(D141&lt;=Steuerung!$F$8,"IST gesperrt",IF(OR(E141="",F141="",COUNT(G141:I141)&lt;&gt;3),"Angaben fehlen","Wirksam"))))</f>
        <v/>
      </c>
      <c r="L141">
        <f>IF(K141="Wirksam",SUM(G141:H141)-I141,IF(K141="","","n.a."))</f>
        <v/>
      </c>
    </row>
    <row r="142">
      <c r="K142">
        <f>IF(COUNTA(C142:J142)=0,"",IF(OR(C142&lt;&gt;Steuerung!$F$6,D142&lt;1,D142&gt;12),"Periode prüfen",IF(D142&lt;=Steuerung!$F$8,"IST gesperrt",IF(OR(E142="",F142="",COUNT(G142:I142)&lt;&gt;3),"Angaben fehlen","Wirksam"))))</f>
        <v/>
      </c>
      <c r="L142">
        <f>IF(K142="Wirksam",SUM(G142:H142)-I142,IF(K142="","","n.a."))</f>
        <v/>
      </c>
    </row>
    <row r="143">
      <c r="K143">
        <f>IF(COUNTA(C143:J143)=0,"",IF(OR(C143&lt;&gt;Steuerung!$F$6,D143&lt;1,D143&gt;12),"Periode prüfen",IF(D143&lt;=Steuerung!$F$8,"IST gesperrt",IF(OR(E143="",F143="",COUNT(G143:I143)&lt;&gt;3),"Angaben fehlen","Wirksam"))))</f>
        <v/>
      </c>
      <c r="L143">
        <f>IF(K143="Wirksam",SUM(G143:H143)-I143,IF(K143="","","n.a."))</f>
        <v/>
      </c>
    </row>
    <row r="144">
      <c r="K144">
        <f>IF(COUNTA(C144:J144)=0,"",IF(OR(C144&lt;&gt;Steuerung!$F$6,D144&lt;1,D144&gt;12),"Periode prüfen",IF(D144&lt;=Steuerung!$F$8,"IST gesperrt",IF(OR(E144="",F144="",COUNT(G144:I144)&lt;&gt;3),"Angaben fehlen","Wirksam"))))</f>
        <v/>
      </c>
      <c r="L144">
        <f>IF(K144="Wirksam",SUM(G144:H144)-I144,IF(K144="","","n.a."))</f>
        <v/>
      </c>
    </row>
    <row r="145">
      <c r="K145">
        <f>IF(COUNTA(C145:J145)=0,"",IF(OR(C145&lt;&gt;Steuerung!$F$6,D145&lt;1,D145&gt;12),"Periode prüfen",IF(D145&lt;=Steuerung!$F$8,"IST gesperrt",IF(OR(E145="",F145="",COUNT(G145:I145)&lt;&gt;3),"Angaben fehlen","Wirksam"))))</f>
        <v/>
      </c>
      <c r="L145">
        <f>IF(K145="Wirksam",SUM(G145:H145)-I145,IF(K145="","","n.a."))</f>
        <v/>
      </c>
    </row>
    <row r="146">
      <c r="K146">
        <f>IF(COUNTA(C146:J146)=0,"",IF(OR(C146&lt;&gt;Steuerung!$F$6,D146&lt;1,D146&gt;12),"Periode prüfen",IF(D146&lt;=Steuerung!$F$8,"IST gesperrt",IF(OR(E146="",F146="",COUNT(G146:I146)&lt;&gt;3),"Angaben fehlen","Wirksam"))))</f>
        <v/>
      </c>
      <c r="L146">
        <f>IF(K146="Wirksam",SUM(G146:H146)-I146,IF(K146="","","n.a."))</f>
        <v/>
      </c>
    </row>
    <row r="147">
      <c r="K147">
        <f>IF(COUNTA(C147:J147)=0,"",IF(OR(C147&lt;&gt;Steuerung!$F$6,D147&lt;1,D147&gt;12),"Periode prüfen",IF(D147&lt;=Steuerung!$F$8,"IST gesperrt",IF(OR(E147="",F147="",COUNT(G147:I147)&lt;&gt;3),"Angaben fehlen","Wirksam"))))</f>
        <v/>
      </c>
      <c r="L147">
        <f>IF(K147="Wirksam",SUM(G147:H147)-I147,IF(K147="","","n.a."))</f>
        <v/>
      </c>
    </row>
    <row r="148">
      <c r="K148">
        <f>IF(COUNTA(C148:J148)=0,"",IF(OR(C148&lt;&gt;Steuerung!$F$6,D148&lt;1,D148&gt;12),"Periode prüfen",IF(D148&lt;=Steuerung!$F$8,"IST gesperrt",IF(OR(E148="",F148="",COUNT(G148:I148)&lt;&gt;3),"Angaben fehlen","Wirksam"))))</f>
        <v/>
      </c>
      <c r="L148">
        <f>IF(K148="Wirksam",SUM(G148:H148)-I148,IF(K148="","","n.a."))</f>
        <v/>
      </c>
    </row>
    <row r="149">
      <c r="K149">
        <f>IF(COUNTA(C149:J149)=0,"",IF(OR(C149&lt;&gt;Steuerung!$F$6,D149&lt;1,D149&gt;12),"Periode prüfen",IF(D149&lt;=Steuerung!$F$8,"IST gesperrt",IF(OR(E149="",F149="",COUNT(G149:I149)&lt;&gt;3),"Angaben fehlen","Wirksam"))))</f>
        <v/>
      </c>
      <c r="L149">
        <f>IF(K149="Wirksam",SUM(G149:H149)-I149,IF(K149="","","n.a."))</f>
        <v/>
      </c>
    </row>
    <row r="150">
      <c r="K150">
        <f>IF(COUNTA(C150:J150)=0,"",IF(OR(C150&lt;&gt;Steuerung!$F$6,D150&lt;1,D150&gt;12),"Periode prüfen",IF(D150&lt;=Steuerung!$F$8,"IST gesperrt",IF(OR(E150="",F150="",COUNT(G150:I150)&lt;&gt;3),"Angaben fehlen","Wirksam"))))</f>
        <v/>
      </c>
      <c r="L150">
        <f>IF(K150="Wirksam",SUM(G150:H150)-I150,IF(K150="","","n.a."))</f>
        <v/>
      </c>
    </row>
    <row r="151">
      <c r="K151">
        <f>IF(COUNTA(C151:J151)=0,"",IF(OR(C151&lt;&gt;Steuerung!$F$6,D151&lt;1,D151&gt;12),"Periode prüfen",IF(D151&lt;=Steuerung!$F$8,"IST gesperrt",IF(OR(E151="",F151="",COUNT(G151:I151)&lt;&gt;3),"Angaben fehlen","Wirksam"))))</f>
        <v/>
      </c>
      <c r="L151">
        <f>IF(K151="Wirksam",SUM(G151:H151)-I151,IF(K151="","","n.a."))</f>
        <v/>
      </c>
    </row>
    <row r="152">
      <c r="K152">
        <f>IF(COUNTA(C152:J152)=0,"",IF(OR(C152&lt;&gt;Steuerung!$F$6,D152&lt;1,D152&gt;12),"Periode prüfen",IF(D152&lt;=Steuerung!$F$8,"IST gesperrt",IF(OR(E152="",F152="",COUNT(G152:I152)&lt;&gt;3),"Angaben fehlen","Wirksam"))))</f>
        <v/>
      </c>
      <c r="L152">
        <f>IF(K152="Wirksam",SUM(G152:H152)-I152,IF(K152="","","n.a."))</f>
        <v/>
      </c>
    </row>
    <row r="153">
      <c r="K153">
        <f>IF(COUNTA(C153:J153)=0,"",IF(OR(C153&lt;&gt;Steuerung!$F$6,D153&lt;1,D153&gt;12),"Periode prüfen",IF(D153&lt;=Steuerung!$F$8,"IST gesperrt",IF(OR(E153="",F153="",COUNT(G153:I153)&lt;&gt;3),"Angaben fehlen","Wirksam"))))</f>
        <v/>
      </c>
      <c r="L153">
        <f>IF(K153="Wirksam",SUM(G153:H153)-I153,IF(K153="","","n.a."))</f>
        <v/>
      </c>
    </row>
    <row r="154">
      <c r="K154">
        <f>IF(COUNTA(C154:J154)=0,"",IF(OR(C154&lt;&gt;Steuerung!$F$6,D154&lt;1,D154&gt;12),"Periode prüfen",IF(D154&lt;=Steuerung!$F$8,"IST gesperrt",IF(OR(E154="",F154="",COUNT(G154:I154)&lt;&gt;3),"Angaben fehlen","Wirksam"))))</f>
        <v/>
      </c>
      <c r="L154">
        <f>IF(K154="Wirksam",SUM(G154:H154)-I154,IF(K154="","","n.a."))</f>
        <v/>
      </c>
    </row>
    <row r="155">
      <c r="K155">
        <f>IF(COUNTA(C155:J155)=0,"",IF(OR(C155&lt;&gt;Steuerung!$F$6,D155&lt;1,D155&gt;12),"Periode prüfen",IF(D155&lt;=Steuerung!$F$8,"IST gesperrt",IF(OR(E155="",F155="",COUNT(G155:I155)&lt;&gt;3),"Angaben fehlen","Wirksam"))))</f>
        <v/>
      </c>
      <c r="L155">
        <f>IF(K155="Wirksam",SUM(G155:H155)-I155,IF(K155="","","n.a."))</f>
        <v/>
      </c>
    </row>
    <row r="156">
      <c r="K156">
        <f>IF(COUNTA(C156:J156)=0,"",IF(OR(C156&lt;&gt;Steuerung!$F$6,D156&lt;1,D156&gt;12),"Periode prüfen",IF(D156&lt;=Steuerung!$F$8,"IST gesperrt",IF(OR(E156="",F156="",COUNT(G156:I156)&lt;&gt;3),"Angaben fehlen","Wirksam"))))</f>
        <v/>
      </c>
      <c r="L156">
        <f>IF(K156="Wirksam",SUM(G156:H156)-I156,IF(K156="","","n.a."))</f>
        <v/>
      </c>
    </row>
    <row r="157">
      <c r="K157">
        <f>IF(COUNTA(C157:J157)=0,"",IF(OR(C157&lt;&gt;Steuerung!$F$6,D157&lt;1,D157&gt;12),"Periode prüfen",IF(D157&lt;=Steuerung!$F$8,"IST gesperrt",IF(OR(E157="",F157="",COUNT(G157:I157)&lt;&gt;3),"Angaben fehlen","Wirksam"))))</f>
        <v/>
      </c>
      <c r="L157">
        <f>IF(K157="Wirksam",SUM(G157:H157)-I157,IF(K157="","","n.a."))</f>
        <v/>
      </c>
    </row>
    <row r="158">
      <c r="K158">
        <f>IF(COUNTA(C158:J158)=0,"",IF(OR(C158&lt;&gt;Steuerung!$F$6,D158&lt;1,D158&gt;12),"Periode prüfen",IF(D158&lt;=Steuerung!$F$8,"IST gesperrt",IF(OR(E158="",F158="",COUNT(G158:I158)&lt;&gt;3),"Angaben fehlen","Wirksam"))))</f>
        <v/>
      </c>
      <c r="L158">
        <f>IF(K158="Wirksam",SUM(G158:H158)-I158,IF(K158="","","n.a."))</f>
        <v/>
      </c>
    </row>
    <row r="159">
      <c r="K159">
        <f>IF(COUNTA(C159:J159)=0,"",IF(OR(C159&lt;&gt;Steuerung!$F$6,D159&lt;1,D159&gt;12),"Periode prüfen",IF(D159&lt;=Steuerung!$F$8,"IST gesperrt",IF(OR(E159="",F159="",COUNT(G159:I159)&lt;&gt;3),"Angaben fehlen","Wirksam"))))</f>
        <v/>
      </c>
      <c r="L159">
        <f>IF(K159="Wirksam",SUM(G159:H159)-I159,IF(K159="","","n.a."))</f>
        <v/>
      </c>
    </row>
    <row r="160">
      <c r="K160">
        <f>IF(COUNTA(C160:J160)=0,"",IF(OR(C160&lt;&gt;Steuerung!$F$6,D160&lt;1,D160&gt;12),"Periode prüfen",IF(D160&lt;=Steuerung!$F$8,"IST gesperrt",IF(OR(E160="",F160="",COUNT(G160:I160)&lt;&gt;3),"Angaben fehlen","Wirksam"))))</f>
        <v/>
      </c>
      <c r="L160">
        <f>IF(K160="Wirksam",SUM(G160:H160)-I160,IF(K160="","","n.a."))</f>
        <v/>
      </c>
    </row>
    <row r="161">
      <c r="K161">
        <f>IF(COUNTA(C161:J161)=0,"",IF(OR(C161&lt;&gt;Steuerung!$F$6,D161&lt;1,D161&gt;12),"Periode prüfen",IF(D161&lt;=Steuerung!$F$8,"IST gesperrt",IF(OR(E161="",F161="",COUNT(G161:I161)&lt;&gt;3),"Angaben fehlen","Wirksam"))))</f>
        <v/>
      </c>
      <c r="L161">
        <f>IF(K161="Wirksam",SUM(G161:H161)-I161,IF(K161="","","n.a."))</f>
        <v/>
      </c>
    </row>
    <row r="162">
      <c r="K162">
        <f>IF(COUNTA(C162:J162)=0,"",IF(OR(C162&lt;&gt;Steuerung!$F$6,D162&lt;1,D162&gt;12),"Periode prüfen",IF(D162&lt;=Steuerung!$F$8,"IST gesperrt",IF(OR(E162="",F162="",COUNT(G162:I162)&lt;&gt;3),"Angaben fehlen","Wirksam"))))</f>
        <v/>
      </c>
      <c r="L162">
        <f>IF(K162="Wirksam",SUM(G162:H162)-I162,IF(K162="","","n.a."))</f>
        <v/>
      </c>
    </row>
    <row r="163">
      <c r="K163">
        <f>IF(COUNTA(C163:J163)=0,"",IF(OR(C163&lt;&gt;Steuerung!$F$6,D163&lt;1,D163&gt;12),"Periode prüfen",IF(D163&lt;=Steuerung!$F$8,"IST gesperrt",IF(OR(E163="",F163="",COUNT(G163:I163)&lt;&gt;3),"Angaben fehlen","Wirksam"))))</f>
        <v/>
      </c>
      <c r="L163">
        <f>IF(K163="Wirksam",SUM(G163:H163)-I163,IF(K163="","","n.a."))</f>
        <v/>
      </c>
    </row>
    <row r="164">
      <c r="K164">
        <f>IF(COUNTA(C164:J164)=0,"",IF(OR(C164&lt;&gt;Steuerung!$F$6,D164&lt;1,D164&gt;12),"Periode prüfen",IF(D164&lt;=Steuerung!$F$8,"IST gesperrt",IF(OR(E164="",F164="",COUNT(G164:I164)&lt;&gt;3),"Angaben fehlen","Wirksam"))))</f>
        <v/>
      </c>
      <c r="L164">
        <f>IF(K164="Wirksam",SUM(G164:H164)-I164,IF(K164="","","n.a."))</f>
        <v/>
      </c>
    </row>
    <row r="165">
      <c r="K165">
        <f>IF(COUNTA(C165:J165)=0,"",IF(OR(C165&lt;&gt;Steuerung!$F$6,D165&lt;1,D165&gt;12),"Periode prüfen",IF(D165&lt;=Steuerung!$F$8,"IST gesperrt",IF(OR(E165="",F165="",COUNT(G165:I165)&lt;&gt;3),"Angaben fehlen","Wirksam"))))</f>
        <v/>
      </c>
      <c r="L165">
        <f>IF(K165="Wirksam",SUM(G165:H165)-I165,IF(K165="","","n.a."))</f>
        <v/>
      </c>
    </row>
    <row r="166">
      <c r="K166">
        <f>IF(COUNTA(C166:J166)=0,"",IF(OR(C166&lt;&gt;Steuerung!$F$6,D166&lt;1,D166&gt;12),"Periode prüfen",IF(D166&lt;=Steuerung!$F$8,"IST gesperrt",IF(OR(E166="",F166="",COUNT(G166:I166)&lt;&gt;3),"Angaben fehlen","Wirksam"))))</f>
        <v/>
      </c>
      <c r="L166">
        <f>IF(K166="Wirksam",SUM(G166:H166)-I166,IF(K166="","","n.a."))</f>
        <v/>
      </c>
    </row>
    <row r="167">
      <c r="K167">
        <f>IF(COUNTA(C167:J167)=0,"",IF(OR(C167&lt;&gt;Steuerung!$F$6,D167&lt;1,D167&gt;12),"Periode prüfen",IF(D167&lt;=Steuerung!$F$8,"IST gesperrt",IF(OR(E167="",F167="",COUNT(G167:I167)&lt;&gt;3),"Angaben fehlen","Wirksam"))))</f>
        <v/>
      </c>
      <c r="L167">
        <f>IF(K167="Wirksam",SUM(G167:H167)-I167,IF(K167="","","n.a."))</f>
        <v/>
      </c>
    </row>
    <row r="168">
      <c r="K168">
        <f>IF(COUNTA(C168:J168)=0,"",IF(OR(C168&lt;&gt;Steuerung!$F$6,D168&lt;1,D168&gt;12),"Periode prüfen",IF(D168&lt;=Steuerung!$F$8,"IST gesperrt",IF(OR(E168="",F168="",COUNT(G168:I168)&lt;&gt;3),"Angaben fehlen","Wirksam"))))</f>
        <v/>
      </c>
      <c r="L168">
        <f>IF(K168="Wirksam",SUM(G168:H168)-I168,IF(K168="","","n.a."))</f>
        <v/>
      </c>
    </row>
    <row r="169">
      <c r="K169">
        <f>IF(COUNTA(C169:J169)=0,"",IF(OR(C169&lt;&gt;Steuerung!$F$6,D169&lt;1,D169&gt;12),"Periode prüfen",IF(D169&lt;=Steuerung!$F$8,"IST gesperrt",IF(OR(E169="",F169="",COUNT(G169:I169)&lt;&gt;3),"Angaben fehlen","Wirksam"))))</f>
        <v/>
      </c>
      <c r="L169">
        <f>IF(K169="Wirksam",SUM(G169:H169)-I169,IF(K169="","","n.a."))</f>
        <v/>
      </c>
    </row>
    <row r="170">
      <c r="K170">
        <f>IF(COUNTA(C170:J170)=0,"",IF(OR(C170&lt;&gt;Steuerung!$F$6,D170&lt;1,D170&gt;12),"Periode prüfen",IF(D170&lt;=Steuerung!$F$8,"IST gesperrt",IF(OR(E170="",F170="",COUNT(G170:I170)&lt;&gt;3),"Angaben fehlen","Wirksam"))))</f>
        <v/>
      </c>
      <c r="L170">
        <f>IF(K170="Wirksam",SUM(G170:H170)-I170,IF(K170="","","n.a."))</f>
        <v/>
      </c>
    </row>
    <row r="171">
      <c r="K171">
        <f>IF(COUNTA(C171:J171)=0,"",IF(OR(C171&lt;&gt;Steuerung!$F$6,D171&lt;1,D171&gt;12),"Periode prüfen",IF(D171&lt;=Steuerung!$F$8,"IST gesperrt",IF(OR(E171="",F171="",COUNT(G171:I171)&lt;&gt;3),"Angaben fehlen","Wirksam"))))</f>
        <v/>
      </c>
      <c r="L171">
        <f>IF(K171="Wirksam",SUM(G171:H171)-I171,IF(K171="","","n.a."))</f>
        <v/>
      </c>
    </row>
    <row r="172">
      <c r="K172">
        <f>IF(COUNTA(C172:J172)=0,"",IF(OR(C172&lt;&gt;Steuerung!$F$6,D172&lt;1,D172&gt;12),"Periode prüfen",IF(D172&lt;=Steuerung!$F$8,"IST gesperrt",IF(OR(E172="",F172="",COUNT(G172:I172)&lt;&gt;3),"Angaben fehlen","Wirksam"))))</f>
        <v/>
      </c>
      <c r="L172">
        <f>IF(K172="Wirksam",SUM(G172:H172)-I172,IF(K172="","","n.a."))</f>
        <v/>
      </c>
    </row>
    <row r="173">
      <c r="K173">
        <f>IF(COUNTA(C173:J173)=0,"",IF(OR(C173&lt;&gt;Steuerung!$F$6,D173&lt;1,D173&gt;12),"Periode prüfen",IF(D173&lt;=Steuerung!$F$8,"IST gesperrt",IF(OR(E173="",F173="",COUNT(G173:I173)&lt;&gt;3),"Angaben fehlen","Wirksam"))))</f>
        <v/>
      </c>
      <c r="L173">
        <f>IF(K173="Wirksam",SUM(G173:H173)-I173,IF(K173="","","n.a."))</f>
        <v/>
      </c>
    </row>
    <row r="174">
      <c r="K174">
        <f>IF(COUNTA(C174:J174)=0,"",IF(OR(C174&lt;&gt;Steuerung!$F$6,D174&lt;1,D174&gt;12),"Periode prüfen",IF(D174&lt;=Steuerung!$F$8,"IST gesperrt",IF(OR(E174="",F174="",COUNT(G174:I174)&lt;&gt;3),"Angaben fehlen","Wirksam"))))</f>
        <v/>
      </c>
      <c r="L174">
        <f>IF(K174="Wirksam",SUM(G174:H174)-I174,IF(K174="","","n.a."))</f>
        <v/>
      </c>
    </row>
    <row r="175">
      <c r="K175">
        <f>IF(COUNTA(C175:J175)=0,"",IF(OR(C175&lt;&gt;Steuerung!$F$6,D175&lt;1,D175&gt;12),"Periode prüfen",IF(D175&lt;=Steuerung!$F$8,"IST gesperrt",IF(OR(E175="",F175="",COUNT(G175:I175)&lt;&gt;3),"Angaben fehlen","Wirksam"))))</f>
        <v/>
      </c>
      <c r="L175">
        <f>IF(K175="Wirksam",SUM(G175:H175)-I175,IF(K175="","","n.a."))</f>
        <v/>
      </c>
    </row>
    <row r="176">
      <c r="K176">
        <f>IF(COUNTA(C176:J176)=0,"",IF(OR(C176&lt;&gt;Steuerung!$F$6,D176&lt;1,D176&gt;12),"Periode prüfen",IF(D176&lt;=Steuerung!$F$8,"IST gesperrt",IF(OR(E176="",F176="",COUNT(G176:I176)&lt;&gt;3),"Angaben fehlen","Wirksam"))))</f>
        <v/>
      </c>
      <c r="L176">
        <f>IF(K176="Wirksam",SUM(G176:H176)-I176,IF(K176="","","n.a."))</f>
        <v/>
      </c>
    </row>
    <row r="177">
      <c r="K177">
        <f>IF(COUNTA(C177:J177)=0,"",IF(OR(C177&lt;&gt;Steuerung!$F$6,D177&lt;1,D177&gt;12),"Periode prüfen",IF(D177&lt;=Steuerung!$F$8,"IST gesperrt",IF(OR(E177="",F177="",COUNT(G177:I177)&lt;&gt;3),"Angaben fehlen","Wirksam"))))</f>
        <v/>
      </c>
      <c r="L177">
        <f>IF(K177="Wirksam",SUM(G177:H177)-I177,IF(K177="","","n.a."))</f>
        <v/>
      </c>
    </row>
    <row r="178">
      <c r="K178">
        <f>IF(COUNTA(C178:J178)=0,"",IF(OR(C178&lt;&gt;Steuerung!$F$6,D178&lt;1,D178&gt;12),"Periode prüfen",IF(D178&lt;=Steuerung!$F$8,"IST gesperrt",IF(OR(E178="",F178="",COUNT(G178:I178)&lt;&gt;3),"Angaben fehlen","Wirksam"))))</f>
        <v/>
      </c>
      <c r="L178">
        <f>IF(K178="Wirksam",SUM(G178:H178)-I178,IF(K178="","","n.a."))</f>
        <v/>
      </c>
    </row>
    <row r="179">
      <c r="K179">
        <f>IF(COUNTA(C179:J179)=0,"",IF(OR(C179&lt;&gt;Steuerung!$F$6,D179&lt;1,D179&gt;12),"Periode prüfen",IF(D179&lt;=Steuerung!$F$8,"IST gesperrt",IF(OR(E179="",F179="",COUNT(G179:I179)&lt;&gt;3),"Angaben fehlen","Wirksam"))))</f>
        <v/>
      </c>
      <c r="L179">
        <f>IF(K179="Wirksam",SUM(G179:H179)-I179,IF(K179="","","n.a."))</f>
        <v/>
      </c>
    </row>
    <row r="180">
      <c r="K180">
        <f>IF(COUNTA(C180:J180)=0,"",IF(OR(C180&lt;&gt;Steuerung!$F$6,D180&lt;1,D180&gt;12),"Periode prüfen",IF(D180&lt;=Steuerung!$F$8,"IST gesperrt",IF(OR(E180="",F180="",COUNT(G180:I180)&lt;&gt;3),"Angaben fehlen","Wirksam"))))</f>
        <v/>
      </c>
      <c r="L180">
        <f>IF(K180="Wirksam",SUM(G180:H180)-I180,IF(K180="","","n.a."))</f>
        <v/>
      </c>
    </row>
    <row r="181">
      <c r="K181">
        <f>IF(COUNTA(C181:J181)=0,"",IF(OR(C181&lt;&gt;Steuerung!$F$6,D181&lt;1,D181&gt;12),"Periode prüfen",IF(D181&lt;=Steuerung!$F$8,"IST gesperrt",IF(OR(E181="",F181="",COUNT(G181:I181)&lt;&gt;3),"Angaben fehlen","Wirksam"))))</f>
        <v/>
      </c>
      <c r="L181">
        <f>IF(K181="Wirksam",SUM(G181:H181)-I181,IF(K181="","","n.a."))</f>
        <v/>
      </c>
    </row>
    <row r="182">
      <c r="K182">
        <f>IF(COUNTA(C182:J182)=0,"",IF(OR(C182&lt;&gt;Steuerung!$F$6,D182&lt;1,D182&gt;12),"Periode prüfen",IF(D182&lt;=Steuerung!$F$8,"IST gesperrt",IF(OR(E182="",F182="",COUNT(G182:I182)&lt;&gt;3),"Angaben fehlen","Wirksam"))))</f>
        <v/>
      </c>
      <c r="L182">
        <f>IF(K182="Wirksam",SUM(G182:H182)-I182,IF(K182="","","n.a."))</f>
        <v/>
      </c>
    </row>
    <row r="183">
      <c r="K183">
        <f>IF(COUNTA(C183:J183)=0,"",IF(OR(C183&lt;&gt;Steuerung!$F$6,D183&lt;1,D183&gt;12),"Periode prüfen",IF(D183&lt;=Steuerung!$F$8,"IST gesperrt",IF(OR(E183="",F183="",COUNT(G183:I183)&lt;&gt;3),"Angaben fehlen","Wirksam"))))</f>
        <v/>
      </c>
      <c r="L183">
        <f>IF(K183="Wirksam",SUM(G183:H183)-I183,IF(K183="","","n.a."))</f>
        <v/>
      </c>
    </row>
    <row r="184">
      <c r="K184">
        <f>IF(COUNTA(C184:J184)=0,"",IF(OR(C184&lt;&gt;Steuerung!$F$6,D184&lt;1,D184&gt;12),"Periode prüfen",IF(D184&lt;=Steuerung!$F$8,"IST gesperrt",IF(OR(E184="",F184="",COUNT(G184:I184)&lt;&gt;3),"Angaben fehlen","Wirksam"))))</f>
        <v/>
      </c>
      <c r="L184">
        <f>IF(K184="Wirksam",SUM(G184:H184)-I184,IF(K184="","","n.a."))</f>
        <v/>
      </c>
    </row>
    <row r="185">
      <c r="K185">
        <f>IF(COUNTA(C185:J185)=0,"",IF(OR(C185&lt;&gt;Steuerung!$F$6,D185&lt;1,D185&gt;12),"Periode prüfen",IF(D185&lt;=Steuerung!$F$8,"IST gesperrt",IF(OR(E185="",F185="",COUNT(G185:I185)&lt;&gt;3),"Angaben fehlen","Wirksam"))))</f>
        <v/>
      </c>
      <c r="L185">
        <f>IF(K185="Wirksam",SUM(G185:H185)-I185,IF(K185="","","n.a."))</f>
        <v/>
      </c>
    </row>
    <row r="186">
      <c r="K186">
        <f>IF(COUNTA(C186:J186)=0,"",IF(OR(C186&lt;&gt;Steuerung!$F$6,D186&lt;1,D186&gt;12),"Periode prüfen",IF(D186&lt;=Steuerung!$F$8,"IST gesperrt",IF(OR(E186="",F186="",COUNT(G186:I186)&lt;&gt;3),"Angaben fehlen","Wirksam"))))</f>
        <v/>
      </c>
      <c r="L186">
        <f>IF(K186="Wirksam",SUM(G186:H186)-I186,IF(K186="","","n.a."))</f>
        <v/>
      </c>
    </row>
    <row r="187">
      <c r="K187">
        <f>IF(COUNTA(C187:J187)=0,"",IF(OR(C187&lt;&gt;Steuerung!$F$6,D187&lt;1,D187&gt;12),"Periode prüfen",IF(D187&lt;=Steuerung!$F$8,"IST gesperrt",IF(OR(E187="",F187="",COUNT(G187:I187)&lt;&gt;3),"Angaben fehlen","Wirksam"))))</f>
        <v/>
      </c>
      <c r="L187">
        <f>IF(K187="Wirksam",SUM(G187:H187)-I187,IF(K187="","","n.a."))</f>
        <v/>
      </c>
    </row>
    <row r="188">
      <c r="K188">
        <f>IF(COUNTA(C188:J188)=0,"",IF(OR(C188&lt;&gt;Steuerung!$F$6,D188&lt;1,D188&gt;12),"Periode prüfen",IF(D188&lt;=Steuerung!$F$8,"IST gesperrt",IF(OR(E188="",F188="",COUNT(G188:I188)&lt;&gt;3),"Angaben fehlen","Wirksam"))))</f>
        <v/>
      </c>
      <c r="L188">
        <f>IF(K188="Wirksam",SUM(G188:H188)-I188,IF(K188="","","n.a."))</f>
        <v/>
      </c>
    </row>
    <row r="189">
      <c r="K189">
        <f>IF(COUNTA(C189:J189)=0,"",IF(OR(C189&lt;&gt;Steuerung!$F$6,D189&lt;1,D189&gt;12),"Periode prüfen",IF(D189&lt;=Steuerung!$F$8,"IST gesperrt",IF(OR(E189="",F189="",COUNT(G189:I189)&lt;&gt;3),"Angaben fehlen","Wirksam"))))</f>
        <v/>
      </c>
      <c r="L189">
        <f>IF(K189="Wirksam",SUM(G189:H189)-I189,IF(K189="","","n.a."))</f>
        <v/>
      </c>
    </row>
    <row r="190">
      <c r="K190">
        <f>IF(COUNTA(C190:J190)=0,"",IF(OR(C190&lt;&gt;Steuerung!$F$6,D190&lt;1,D190&gt;12),"Periode prüfen",IF(D190&lt;=Steuerung!$F$8,"IST gesperrt",IF(OR(E190="",F190="",COUNT(G190:I190)&lt;&gt;3),"Angaben fehlen","Wirksam"))))</f>
        <v/>
      </c>
      <c r="L190">
        <f>IF(K190="Wirksam",SUM(G190:H190)-I190,IF(K190="","","n.a."))</f>
        <v/>
      </c>
    </row>
    <row r="191">
      <c r="K191">
        <f>IF(COUNTA(C191:J191)=0,"",IF(OR(C191&lt;&gt;Steuerung!$F$6,D191&lt;1,D191&gt;12),"Periode prüfen",IF(D191&lt;=Steuerung!$F$8,"IST gesperrt",IF(OR(E191="",F191="",COUNT(G191:I191)&lt;&gt;3),"Angaben fehlen","Wirksam"))))</f>
        <v/>
      </c>
      <c r="L191">
        <f>IF(K191="Wirksam",SUM(G191:H191)-I191,IF(K191="","","n.a."))</f>
        <v/>
      </c>
    </row>
    <row r="192">
      <c r="K192">
        <f>IF(COUNTA(C192:J192)=0,"",IF(OR(C192&lt;&gt;Steuerung!$F$6,D192&lt;1,D192&gt;12),"Periode prüfen",IF(D192&lt;=Steuerung!$F$8,"IST gesperrt",IF(OR(E192="",F192="",COUNT(G192:I192)&lt;&gt;3),"Angaben fehlen","Wirksam"))))</f>
        <v/>
      </c>
      <c r="L192">
        <f>IF(K192="Wirksam",SUM(G192:H192)-I192,IF(K192="","","n.a."))</f>
        <v/>
      </c>
    </row>
    <row r="193">
      <c r="K193">
        <f>IF(COUNTA(C193:J193)=0,"",IF(OR(C193&lt;&gt;Steuerung!$F$6,D193&lt;1,D193&gt;12),"Periode prüfen",IF(D193&lt;=Steuerung!$F$8,"IST gesperrt",IF(OR(E193="",F193="",COUNT(G193:I193)&lt;&gt;3),"Angaben fehlen","Wirksam"))))</f>
        <v/>
      </c>
      <c r="L193">
        <f>IF(K193="Wirksam",SUM(G193:H193)-I193,IF(K193="","","n.a."))</f>
        <v/>
      </c>
    </row>
    <row r="194">
      <c r="K194">
        <f>IF(COUNTA(C194:J194)=0,"",IF(OR(C194&lt;&gt;Steuerung!$F$6,D194&lt;1,D194&gt;12),"Periode prüfen",IF(D194&lt;=Steuerung!$F$8,"IST gesperrt",IF(OR(E194="",F194="",COUNT(G194:I194)&lt;&gt;3),"Angaben fehlen","Wirksam"))))</f>
        <v/>
      </c>
      <c r="L194">
        <f>IF(K194="Wirksam",SUM(G194:H194)-I194,IF(K194="","","n.a."))</f>
        <v/>
      </c>
    </row>
    <row r="195">
      <c r="K195">
        <f>IF(COUNTA(C195:J195)=0,"",IF(OR(C195&lt;&gt;Steuerung!$F$6,D195&lt;1,D195&gt;12),"Periode prüfen",IF(D195&lt;=Steuerung!$F$8,"IST gesperrt",IF(OR(E195="",F195="",COUNT(G195:I195)&lt;&gt;3),"Angaben fehlen","Wirksam"))))</f>
        <v/>
      </c>
      <c r="L195">
        <f>IF(K195="Wirksam",SUM(G195:H195)-I195,IF(K195="","","n.a."))</f>
        <v/>
      </c>
    </row>
    <row r="196">
      <c r="K196">
        <f>IF(COUNTA(C196:J196)=0,"",IF(OR(C196&lt;&gt;Steuerung!$F$6,D196&lt;1,D196&gt;12),"Periode prüfen",IF(D196&lt;=Steuerung!$F$8,"IST gesperrt",IF(OR(E196="",F196="",COUNT(G196:I196)&lt;&gt;3),"Angaben fehlen","Wirksam"))))</f>
        <v/>
      </c>
      <c r="L196">
        <f>IF(K196="Wirksam",SUM(G196:H196)-I196,IF(K196="","","n.a."))</f>
        <v/>
      </c>
    </row>
    <row r="197">
      <c r="K197">
        <f>IF(COUNTA(C197:J197)=0,"",IF(OR(C197&lt;&gt;Steuerung!$F$6,D197&lt;1,D197&gt;12),"Periode prüfen",IF(D197&lt;=Steuerung!$F$8,"IST gesperrt",IF(OR(E197="",F197="",COUNT(G197:I197)&lt;&gt;3),"Angaben fehlen","Wirksam"))))</f>
        <v/>
      </c>
      <c r="L197">
        <f>IF(K197="Wirksam",SUM(G197:H197)-I197,IF(K197="","","n.a."))</f>
        <v/>
      </c>
    </row>
    <row r="198">
      <c r="K198">
        <f>IF(COUNTA(C198:J198)=0,"",IF(OR(C198&lt;&gt;Steuerung!$F$6,D198&lt;1,D198&gt;12),"Periode prüfen",IF(D198&lt;=Steuerung!$F$8,"IST gesperrt",IF(OR(E198="",F198="",COUNT(G198:I198)&lt;&gt;3),"Angaben fehlen","Wirksam"))))</f>
        <v/>
      </c>
      <c r="L198">
        <f>IF(K198="Wirksam",SUM(G198:H198)-I198,IF(K198="","","n.a."))</f>
        <v/>
      </c>
    </row>
    <row r="199">
      <c r="K199">
        <f>IF(COUNTA(C199:J199)=0,"",IF(OR(C199&lt;&gt;Steuerung!$F$6,D199&lt;1,D199&gt;12),"Periode prüfen",IF(D199&lt;=Steuerung!$F$8,"IST gesperrt",IF(OR(E199="",F199="",COUNT(G199:I199)&lt;&gt;3),"Angaben fehlen","Wirksam"))))</f>
        <v/>
      </c>
      <c r="L199">
        <f>IF(K199="Wirksam",SUM(G199:H199)-I199,IF(K199="","","n.a."))</f>
        <v/>
      </c>
    </row>
    <row r="200">
      <c r="K200">
        <f>IF(COUNTA(C200:J200)=0,"",IF(OR(C200&lt;&gt;Steuerung!$F$6,D200&lt;1,D200&gt;12),"Periode prüfen",IF(D200&lt;=Steuerung!$F$8,"IST gesperrt",IF(OR(E200="",F200="",COUNT(G200:I200)&lt;&gt;3),"Angaben fehlen","Wirksam"))))</f>
        <v/>
      </c>
      <c r="L200">
        <f>IF(K200="Wirksam",SUM(G200:H200)-I200,IF(K200="","","n.a."))</f>
        <v/>
      </c>
    </row>
    <row r="201">
      <c r="K201">
        <f>IF(COUNTA(C201:J201)=0,"",IF(OR(C201&lt;&gt;Steuerung!$F$6,D201&lt;1,D201&gt;12),"Periode prüfen",IF(D201&lt;=Steuerung!$F$8,"IST gesperrt",IF(OR(E201="",F201="",COUNT(G201:I201)&lt;&gt;3),"Angaben fehlen","Wirksam"))))</f>
        <v/>
      </c>
      <c r="L201">
        <f>IF(K201="Wirksam",SUM(G201:H201)-I201,IF(K201="","","n.a."))</f>
        <v/>
      </c>
    </row>
    <row r="202">
      <c r="K202">
        <f>IF(COUNTA(C202:J202)=0,"",IF(OR(C202&lt;&gt;Steuerung!$F$6,D202&lt;1,D202&gt;12),"Periode prüfen",IF(D202&lt;=Steuerung!$F$8,"IST gesperrt",IF(OR(E202="",F202="",COUNT(G202:I202)&lt;&gt;3),"Angaben fehlen","Wirksam"))))</f>
        <v/>
      </c>
      <c r="L202">
        <f>IF(K202="Wirksam",SUM(G202:H202)-I202,IF(K202="","","n.a."))</f>
        <v/>
      </c>
    </row>
    <row r="203">
      <c r="K203">
        <f>IF(COUNTA(C203:J203)=0,"",IF(OR(C203&lt;&gt;Steuerung!$F$6,D203&lt;1,D203&gt;12),"Periode prüfen",IF(D203&lt;=Steuerung!$F$8,"IST gesperrt",IF(OR(E203="",F203="",COUNT(G203:I203)&lt;&gt;3),"Angaben fehlen","Wirksam"))))</f>
        <v/>
      </c>
      <c r="L203">
        <f>IF(K203="Wirksam",SUM(G203:H203)-I203,IF(K203="","","n.a."))</f>
        <v/>
      </c>
    </row>
    <row r="204">
      <c r="K204">
        <f>IF(COUNTA(C204:J204)=0,"",IF(OR(C204&lt;&gt;Steuerung!$F$6,D204&lt;1,D204&gt;12),"Periode prüfen",IF(D204&lt;=Steuerung!$F$8,"IST gesperrt",IF(OR(E204="",F204="",COUNT(G204:I204)&lt;&gt;3),"Angaben fehlen","Wirksam"))))</f>
        <v/>
      </c>
      <c r="L204">
        <f>IF(K204="Wirksam",SUM(G204:H204)-I204,IF(K204="","","n.a."))</f>
        <v/>
      </c>
    </row>
    <row r="205">
      <c r="K205">
        <f>IF(COUNTA(C205:J205)=0,"",IF(OR(C205&lt;&gt;Steuerung!$F$6,D205&lt;1,D205&gt;12),"Periode prüfen",IF(D205&lt;=Steuerung!$F$8,"IST gesperrt",IF(OR(E205="",F205="",COUNT(G205:I205)&lt;&gt;3),"Angaben fehlen","Wirksam"))))</f>
        <v/>
      </c>
      <c r="L205">
        <f>IF(K205="Wirksam",SUM(G205:H205)-I205,IF(K205="","","n.a."))</f>
        <v/>
      </c>
    </row>
    <row r="206">
      <c r="K206">
        <f>IF(COUNTA(C206:J206)=0,"",IF(OR(C206&lt;&gt;Steuerung!$F$6,D206&lt;1,D206&gt;12),"Periode prüfen",IF(D206&lt;=Steuerung!$F$8,"IST gesperrt",IF(OR(E206="",F206="",COUNT(G206:I206)&lt;&gt;3),"Angaben fehlen","Wirksam"))))</f>
        <v/>
      </c>
      <c r="L206">
        <f>IF(K206="Wirksam",SUM(G206:H206)-I206,IF(K206="","","n.a."))</f>
        <v/>
      </c>
    </row>
    <row r="207">
      <c r="K207">
        <f>IF(COUNTA(C207:J207)=0,"",IF(OR(C207&lt;&gt;Steuerung!$F$6,D207&lt;1,D207&gt;12),"Periode prüfen",IF(D207&lt;=Steuerung!$F$8,"IST gesperrt",IF(OR(E207="",F207="",COUNT(G207:I207)&lt;&gt;3),"Angaben fehlen","Wirksam"))))</f>
        <v/>
      </c>
      <c r="L207">
        <f>IF(K207="Wirksam",SUM(G207:H207)-I207,IF(K207="","","n.a."))</f>
        <v/>
      </c>
    </row>
    <row r="208">
      <c r="K208">
        <f>IF(COUNTA(C208:J208)=0,"",IF(OR(C208&lt;&gt;Steuerung!$F$6,D208&lt;1,D208&gt;12),"Periode prüfen",IF(D208&lt;=Steuerung!$F$8,"IST gesperrt",IF(OR(E208="",F208="",COUNT(G208:I208)&lt;&gt;3),"Angaben fehlen","Wirksam"))))</f>
        <v/>
      </c>
      <c r="L208">
        <f>IF(K208="Wirksam",SUM(G208:H208)-I208,IF(K208="","","n.a."))</f>
        <v/>
      </c>
    </row>
    <row r="209">
      <c r="K209">
        <f>IF(COUNTA(C209:J209)=0,"",IF(OR(C209&lt;&gt;Steuerung!$F$6,D209&lt;1,D209&gt;12),"Periode prüfen",IF(D209&lt;=Steuerung!$F$8,"IST gesperrt",IF(OR(E209="",F209="",COUNT(G209:I209)&lt;&gt;3),"Angaben fehlen","Wirksam"))))</f>
        <v/>
      </c>
      <c r="L209">
        <f>IF(K209="Wirksam",SUM(G209:H209)-I209,IF(K209="","","n.a."))</f>
        <v/>
      </c>
    </row>
    <row r="210">
      <c r="K210">
        <f>IF(COUNTA(C210:J210)=0,"",IF(OR(C210&lt;&gt;Steuerung!$F$6,D210&lt;1,D210&gt;12),"Periode prüfen",IF(D210&lt;=Steuerung!$F$8,"IST gesperrt",IF(OR(E210="",F210="",COUNT(G210:I210)&lt;&gt;3),"Angaben fehlen","Wirksam"))))</f>
        <v/>
      </c>
      <c r="L210">
        <f>IF(K210="Wirksam",SUM(G210:H210)-I210,IF(K210="","","n.a."))</f>
        <v/>
      </c>
    </row>
    <row r="211">
      <c r="K211">
        <f>IF(COUNTA(C211:J211)=0,"",IF(OR(C211&lt;&gt;Steuerung!$F$6,D211&lt;1,D211&gt;12),"Periode prüfen",IF(D211&lt;=Steuerung!$F$8,"IST gesperrt",IF(OR(E211="",F211="",COUNT(G211:I211)&lt;&gt;3),"Angaben fehlen","Wirksam"))))</f>
        <v/>
      </c>
      <c r="L211">
        <f>IF(K211="Wirksam",SUM(G211:H211)-I211,IF(K211="","","n.a."))</f>
        <v/>
      </c>
    </row>
    <row r="212">
      <c r="K212">
        <f>IF(COUNTA(C212:J212)=0,"",IF(OR(C212&lt;&gt;Steuerung!$F$6,D212&lt;1,D212&gt;12),"Periode prüfen",IF(D212&lt;=Steuerung!$F$8,"IST gesperrt",IF(OR(E212="",F212="",COUNT(G212:I212)&lt;&gt;3),"Angaben fehlen","Wirksam"))))</f>
        <v/>
      </c>
      <c r="L212">
        <f>IF(K212="Wirksam",SUM(G212:H212)-I212,IF(K212="","","n.a."))</f>
        <v/>
      </c>
    </row>
    <row r="213">
      <c r="K213">
        <f>IF(COUNTA(C213:J213)=0,"",IF(OR(C213&lt;&gt;Steuerung!$F$6,D213&lt;1,D213&gt;12),"Periode prüfen",IF(D213&lt;=Steuerung!$F$8,"IST gesperrt",IF(OR(E213="",F213="",COUNT(G213:I213)&lt;&gt;3),"Angaben fehlen","Wirksam"))))</f>
        <v/>
      </c>
      <c r="L213">
        <f>IF(K213="Wirksam",SUM(G213:H213)-I213,IF(K213="","","n.a."))</f>
        <v/>
      </c>
    </row>
    <row r="214">
      <c r="K214">
        <f>IF(COUNTA(C214:J214)=0,"",IF(OR(C214&lt;&gt;Steuerung!$F$6,D214&lt;1,D214&gt;12),"Periode prüfen",IF(D214&lt;=Steuerung!$F$8,"IST gesperrt",IF(OR(E214="",F214="",COUNT(G214:I214)&lt;&gt;3),"Angaben fehlen","Wirksam"))))</f>
        <v/>
      </c>
      <c r="L214">
        <f>IF(K214="Wirksam",SUM(G214:H214)-I214,IF(K214="","","n.a."))</f>
        <v/>
      </c>
    </row>
    <row r="215">
      <c r="K215">
        <f>IF(COUNTA(C215:J215)=0,"",IF(OR(C215&lt;&gt;Steuerung!$F$6,D215&lt;1,D215&gt;12),"Periode prüfen",IF(D215&lt;=Steuerung!$F$8,"IST gesperrt",IF(OR(E215="",F215="",COUNT(G215:I215)&lt;&gt;3),"Angaben fehlen","Wirksam"))))</f>
        <v/>
      </c>
      <c r="L215">
        <f>IF(K215="Wirksam",SUM(G215:H215)-I215,IF(K215="","","n.a."))</f>
        <v/>
      </c>
    </row>
    <row r="216">
      <c r="K216">
        <f>IF(COUNTA(C216:J216)=0,"",IF(OR(C216&lt;&gt;Steuerung!$F$6,D216&lt;1,D216&gt;12),"Periode prüfen",IF(D216&lt;=Steuerung!$F$8,"IST gesperrt",IF(OR(E216="",F216="",COUNT(G216:I216)&lt;&gt;3),"Angaben fehlen","Wirksam"))))</f>
        <v/>
      </c>
      <c r="L216">
        <f>IF(K216="Wirksam",SUM(G216:H216)-I216,IF(K216="","","n.a."))</f>
        <v/>
      </c>
    </row>
    <row r="217">
      <c r="K217">
        <f>IF(COUNTA(C217:J217)=0,"",IF(OR(C217&lt;&gt;Steuerung!$F$6,D217&lt;1,D217&gt;12),"Periode prüfen",IF(D217&lt;=Steuerung!$F$8,"IST gesperrt",IF(OR(E217="",F217="",COUNT(G217:I217)&lt;&gt;3),"Angaben fehlen","Wirksam"))))</f>
        <v/>
      </c>
      <c r="L217">
        <f>IF(K217="Wirksam",SUM(G217:H217)-I217,IF(K217="","","n.a."))</f>
        <v/>
      </c>
    </row>
    <row r="218">
      <c r="K218">
        <f>IF(COUNTA(C218:J218)=0,"",IF(OR(C218&lt;&gt;Steuerung!$F$6,D218&lt;1,D218&gt;12),"Periode prüfen",IF(D218&lt;=Steuerung!$F$8,"IST gesperrt",IF(OR(E218="",F218="",COUNT(G218:I218)&lt;&gt;3),"Angaben fehlen","Wirksam"))))</f>
        <v/>
      </c>
      <c r="L218">
        <f>IF(K218="Wirksam",SUM(G218:H218)-I218,IF(K218="","","n.a."))</f>
        <v/>
      </c>
    </row>
    <row r="219">
      <c r="K219">
        <f>IF(COUNTA(C219:J219)=0,"",IF(OR(C219&lt;&gt;Steuerung!$F$6,D219&lt;1,D219&gt;12),"Periode prüfen",IF(D219&lt;=Steuerung!$F$8,"IST gesperrt",IF(OR(E219="",F219="",COUNT(G219:I219)&lt;&gt;3),"Angaben fehlen","Wirksam"))))</f>
        <v/>
      </c>
      <c r="L219">
        <f>IF(K219="Wirksam",SUM(G219:H219)-I219,IF(K219="","","n.a."))</f>
        <v/>
      </c>
    </row>
    <row r="220">
      <c r="K220">
        <f>IF(COUNTA(C220:J220)=0,"",IF(OR(C220&lt;&gt;Steuerung!$F$6,D220&lt;1,D220&gt;12),"Periode prüfen",IF(D220&lt;=Steuerung!$F$8,"IST gesperrt",IF(OR(E220="",F220="",COUNT(G220:I220)&lt;&gt;3),"Angaben fehlen","Wirksam"))))</f>
        <v/>
      </c>
      <c r="L220">
        <f>IF(K220="Wirksam",SUM(G220:H220)-I220,IF(K220="","","n.a."))</f>
        <v/>
      </c>
    </row>
    <row r="221">
      <c r="K221">
        <f>IF(COUNTA(C221:J221)=0,"",IF(OR(C221&lt;&gt;Steuerung!$F$6,D221&lt;1,D221&gt;12),"Periode prüfen",IF(D221&lt;=Steuerung!$F$8,"IST gesperrt",IF(OR(E221="",F221="",COUNT(G221:I221)&lt;&gt;3),"Angaben fehlen","Wirksam"))))</f>
        <v/>
      </c>
      <c r="L221">
        <f>IF(K221="Wirksam",SUM(G221:H221)-I221,IF(K221="","","n.a."))</f>
        <v/>
      </c>
    </row>
    <row r="222">
      <c r="K222">
        <f>IF(COUNTA(C222:J222)=0,"",IF(OR(C222&lt;&gt;Steuerung!$F$6,D222&lt;1,D222&gt;12),"Periode prüfen",IF(D222&lt;=Steuerung!$F$8,"IST gesperrt",IF(OR(E222="",F222="",COUNT(G222:I222)&lt;&gt;3),"Angaben fehlen","Wirksam"))))</f>
        <v/>
      </c>
      <c r="L222">
        <f>IF(K222="Wirksam",SUM(G222:H222)-I222,IF(K222="","","n.a."))</f>
        <v/>
      </c>
    </row>
    <row r="223">
      <c r="K223">
        <f>IF(COUNTA(C223:J223)=0,"",IF(OR(C223&lt;&gt;Steuerung!$F$6,D223&lt;1,D223&gt;12),"Periode prüfen",IF(D223&lt;=Steuerung!$F$8,"IST gesperrt",IF(OR(E223="",F223="",COUNT(G223:I223)&lt;&gt;3),"Angaben fehlen","Wirksam"))))</f>
        <v/>
      </c>
      <c r="L223">
        <f>IF(K223="Wirksam",SUM(G223:H223)-I223,IF(K223="","","n.a."))</f>
        <v/>
      </c>
    </row>
    <row r="224">
      <c r="K224">
        <f>IF(COUNTA(C224:J224)=0,"",IF(OR(C224&lt;&gt;Steuerung!$F$6,D224&lt;1,D224&gt;12),"Periode prüfen",IF(D224&lt;=Steuerung!$F$8,"IST gesperrt",IF(OR(E224="",F224="",COUNT(G224:I224)&lt;&gt;3),"Angaben fehlen","Wirksam"))))</f>
        <v/>
      </c>
      <c r="L224">
        <f>IF(K224="Wirksam",SUM(G224:H224)-I224,IF(K224="","","n.a."))</f>
        <v/>
      </c>
    </row>
    <row r="225">
      <c r="K225">
        <f>IF(COUNTA(C225:J225)=0,"",IF(OR(C225&lt;&gt;Steuerung!$F$6,D225&lt;1,D225&gt;12),"Periode prüfen",IF(D225&lt;=Steuerung!$F$8,"IST gesperrt",IF(OR(E225="",F225="",COUNT(G225:I225)&lt;&gt;3),"Angaben fehlen","Wirksam"))))</f>
        <v/>
      </c>
      <c r="L225">
        <f>IF(K225="Wirksam",SUM(G225:H225)-I225,IF(K225="","","n.a."))</f>
        <v/>
      </c>
    </row>
    <row r="226">
      <c r="K226">
        <f>IF(COUNTA(C226:J226)=0,"",IF(OR(C226&lt;&gt;Steuerung!$F$6,D226&lt;1,D226&gt;12),"Periode prüfen",IF(D226&lt;=Steuerung!$F$8,"IST gesperrt",IF(OR(E226="",F226="",COUNT(G226:I226)&lt;&gt;3),"Angaben fehlen","Wirksam"))))</f>
        <v/>
      </c>
      <c r="L226">
        <f>IF(K226="Wirksam",SUM(G226:H226)-I226,IF(K226="","","n.a."))</f>
        <v/>
      </c>
    </row>
    <row r="227">
      <c r="K227">
        <f>IF(COUNTA(C227:J227)=0,"",IF(OR(C227&lt;&gt;Steuerung!$F$6,D227&lt;1,D227&gt;12),"Periode prüfen",IF(D227&lt;=Steuerung!$F$8,"IST gesperrt",IF(OR(E227="",F227="",COUNT(G227:I227)&lt;&gt;3),"Angaben fehlen","Wirksam"))))</f>
        <v/>
      </c>
      <c r="L227">
        <f>IF(K227="Wirksam",SUM(G227:H227)-I227,IF(K227="","","n.a."))</f>
        <v/>
      </c>
    </row>
    <row r="228">
      <c r="K228">
        <f>IF(COUNTA(C228:J228)=0,"",IF(OR(C228&lt;&gt;Steuerung!$F$6,D228&lt;1,D228&gt;12),"Periode prüfen",IF(D228&lt;=Steuerung!$F$8,"IST gesperrt",IF(OR(E228="",F228="",COUNT(G228:I228)&lt;&gt;3),"Angaben fehlen","Wirksam"))))</f>
        <v/>
      </c>
      <c r="L228">
        <f>IF(K228="Wirksam",SUM(G228:H228)-I228,IF(K228="","","n.a."))</f>
        <v/>
      </c>
    </row>
    <row r="229">
      <c r="K229">
        <f>IF(COUNTA(C229:J229)=0,"",IF(OR(C229&lt;&gt;Steuerung!$F$6,D229&lt;1,D229&gt;12),"Periode prüfen",IF(D229&lt;=Steuerung!$F$8,"IST gesperrt",IF(OR(E229="",F229="",COUNT(G229:I229)&lt;&gt;3),"Angaben fehlen","Wirksam"))))</f>
        <v/>
      </c>
      <c r="L229">
        <f>IF(K229="Wirksam",SUM(G229:H229)-I229,IF(K229="","","n.a."))</f>
        <v/>
      </c>
    </row>
    <row r="230">
      <c r="K230">
        <f>IF(COUNTA(C230:J230)=0,"",IF(OR(C230&lt;&gt;Steuerung!$F$6,D230&lt;1,D230&gt;12),"Periode prüfen",IF(D230&lt;=Steuerung!$F$8,"IST gesperrt",IF(OR(E230="",F230="",COUNT(G230:I230)&lt;&gt;3),"Angaben fehlen","Wirksam"))))</f>
        <v/>
      </c>
      <c r="L230">
        <f>IF(K230="Wirksam",SUM(G230:H230)-I230,IF(K230="","","n.a."))</f>
        <v/>
      </c>
    </row>
    <row r="231">
      <c r="K231">
        <f>IF(COUNTA(C231:J231)=0,"",IF(OR(C231&lt;&gt;Steuerung!$F$6,D231&lt;1,D231&gt;12),"Periode prüfen",IF(D231&lt;=Steuerung!$F$8,"IST gesperrt",IF(OR(E231="",F231="",COUNT(G231:I231)&lt;&gt;3),"Angaben fehlen","Wirksam"))))</f>
        <v/>
      </c>
      <c r="L231">
        <f>IF(K231="Wirksam",SUM(G231:H231)-I231,IF(K231="","","n.a."))</f>
        <v/>
      </c>
    </row>
    <row r="232">
      <c r="K232">
        <f>IF(COUNTA(C232:J232)=0,"",IF(OR(C232&lt;&gt;Steuerung!$F$6,D232&lt;1,D232&gt;12),"Periode prüfen",IF(D232&lt;=Steuerung!$F$8,"IST gesperrt",IF(OR(E232="",F232="",COUNT(G232:I232)&lt;&gt;3),"Angaben fehlen","Wirksam"))))</f>
        <v/>
      </c>
      <c r="L232">
        <f>IF(K232="Wirksam",SUM(G232:H232)-I232,IF(K232="","","n.a."))</f>
        <v/>
      </c>
    </row>
    <row r="233">
      <c r="K233">
        <f>IF(COUNTA(C233:J233)=0,"",IF(OR(C233&lt;&gt;Steuerung!$F$6,D233&lt;1,D233&gt;12),"Periode prüfen",IF(D233&lt;=Steuerung!$F$8,"IST gesperrt",IF(OR(E233="",F233="",COUNT(G233:I233)&lt;&gt;3),"Angaben fehlen","Wirksam"))))</f>
        <v/>
      </c>
      <c r="L233">
        <f>IF(K233="Wirksam",SUM(G233:H233)-I233,IF(K233="","","n.a."))</f>
        <v/>
      </c>
    </row>
    <row r="234">
      <c r="K234">
        <f>IF(COUNTA(C234:J234)=0,"",IF(OR(C234&lt;&gt;Steuerung!$F$6,D234&lt;1,D234&gt;12),"Periode prüfen",IF(D234&lt;=Steuerung!$F$8,"IST gesperrt",IF(OR(E234="",F234="",COUNT(G234:I234)&lt;&gt;3),"Angaben fehlen","Wirksam"))))</f>
        <v/>
      </c>
      <c r="L234">
        <f>IF(K234="Wirksam",SUM(G234:H234)-I234,IF(K234="","","n.a."))</f>
        <v/>
      </c>
    </row>
    <row r="235">
      <c r="K235">
        <f>IF(COUNTA(C235:J235)=0,"",IF(OR(C235&lt;&gt;Steuerung!$F$6,D235&lt;1,D235&gt;12),"Periode prüfen",IF(D235&lt;=Steuerung!$F$8,"IST gesperrt",IF(OR(E235="",F235="",COUNT(G235:I235)&lt;&gt;3),"Angaben fehlen","Wirksam"))))</f>
        <v/>
      </c>
      <c r="L235">
        <f>IF(K235="Wirksam",SUM(G235:H235)-I235,IF(K235="","","n.a."))</f>
        <v/>
      </c>
    </row>
    <row r="236">
      <c r="K236">
        <f>IF(COUNTA(C236:J236)=0,"",IF(OR(C236&lt;&gt;Steuerung!$F$6,D236&lt;1,D236&gt;12),"Periode prüfen",IF(D236&lt;=Steuerung!$F$8,"IST gesperrt",IF(OR(E236="",F236="",COUNT(G236:I236)&lt;&gt;3),"Angaben fehlen","Wirksam"))))</f>
        <v/>
      </c>
      <c r="L236">
        <f>IF(K236="Wirksam",SUM(G236:H236)-I236,IF(K236="","","n.a."))</f>
        <v/>
      </c>
    </row>
    <row r="237">
      <c r="K237">
        <f>IF(COUNTA(C237:J237)=0,"",IF(OR(C237&lt;&gt;Steuerung!$F$6,D237&lt;1,D237&gt;12),"Periode prüfen",IF(D237&lt;=Steuerung!$F$8,"IST gesperrt",IF(OR(E237="",F237="",COUNT(G237:I237)&lt;&gt;3),"Angaben fehlen","Wirksam"))))</f>
        <v/>
      </c>
      <c r="L237">
        <f>IF(K237="Wirksam",SUM(G237:H237)-I237,IF(K237="","","n.a."))</f>
        <v/>
      </c>
    </row>
    <row r="238">
      <c r="K238">
        <f>IF(COUNTA(C238:J238)=0,"",IF(OR(C238&lt;&gt;Steuerung!$F$6,D238&lt;1,D238&gt;12),"Periode prüfen",IF(D238&lt;=Steuerung!$F$8,"IST gesperrt",IF(OR(E238="",F238="",COUNT(G238:I238)&lt;&gt;3),"Angaben fehlen","Wirksam"))))</f>
        <v/>
      </c>
      <c r="L238">
        <f>IF(K238="Wirksam",SUM(G238:H238)-I238,IF(K238="","","n.a."))</f>
        <v/>
      </c>
    </row>
    <row r="239">
      <c r="K239">
        <f>IF(COUNTA(C239:J239)=0,"",IF(OR(C239&lt;&gt;Steuerung!$F$6,D239&lt;1,D239&gt;12),"Periode prüfen",IF(D239&lt;=Steuerung!$F$8,"IST gesperrt",IF(OR(E239="",F239="",COUNT(G239:I239)&lt;&gt;3),"Angaben fehlen","Wirksam"))))</f>
        <v/>
      </c>
      <c r="L239">
        <f>IF(K239="Wirksam",SUM(G239:H239)-I239,IF(K239="","","n.a."))</f>
        <v/>
      </c>
    </row>
    <row r="240">
      <c r="K240">
        <f>IF(COUNTA(C240:J240)=0,"",IF(OR(C240&lt;&gt;Steuerung!$F$6,D240&lt;1,D240&gt;12),"Periode prüfen",IF(D240&lt;=Steuerung!$F$8,"IST gesperrt",IF(OR(E240="",F240="",COUNT(G240:I240)&lt;&gt;3),"Angaben fehlen","Wirksam"))))</f>
        <v/>
      </c>
      <c r="L240">
        <f>IF(K240="Wirksam",SUM(G240:H240)-I240,IF(K240="","","n.a."))</f>
        <v/>
      </c>
    </row>
    <row r="241">
      <c r="K241">
        <f>IF(COUNTA(C241:J241)=0,"",IF(OR(C241&lt;&gt;Steuerung!$F$6,D241&lt;1,D241&gt;12),"Periode prüfen",IF(D241&lt;=Steuerung!$F$8,"IST gesperrt",IF(OR(E241="",F241="",COUNT(G241:I241)&lt;&gt;3),"Angaben fehlen","Wirksam"))))</f>
        <v/>
      </c>
      <c r="L241">
        <f>IF(K241="Wirksam",SUM(G241:H241)-I241,IF(K241="","","n.a."))</f>
        <v/>
      </c>
    </row>
    <row r="242">
      <c r="K242">
        <f>IF(COUNTA(C242:J242)=0,"",IF(OR(C242&lt;&gt;Steuerung!$F$6,D242&lt;1,D242&gt;12),"Periode prüfen",IF(D242&lt;=Steuerung!$F$8,"IST gesperrt",IF(OR(E242="",F242="",COUNT(G242:I242)&lt;&gt;3),"Angaben fehlen","Wirksam"))))</f>
        <v/>
      </c>
      <c r="L242">
        <f>IF(K242="Wirksam",SUM(G242:H242)-I242,IF(K242="","","n.a."))</f>
        <v/>
      </c>
    </row>
    <row r="243">
      <c r="K243">
        <f>IF(COUNTA(C243:J243)=0,"",IF(OR(C243&lt;&gt;Steuerung!$F$6,D243&lt;1,D243&gt;12),"Periode prüfen",IF(D243&lt;=Steuerung!$F$8,"IST gesperrt",IF(OR(E243="",F243="",COUNT(G243:I243)&lt;&gt;3),"Angaben fehlen","Wirksam"))))</f>
        <v/>
      </c>
      <c r="L243">
        <f>IF(K243="Wirksam",SUM(G243:H243)-I243,IF(K243="","","n.a."))</f>
        <v/>
      </c>
    </row>
    <row r="244">
      <c r="K244">
        <f>IF(COUNTA(C244:J244)=0,"",IF(OR(C244&lt;&gt;Steuerung!$F$6,D244&lt;1,D244&gt;12),"Periode prüfen",IF(D244&lt;=Steuerung!$F$8,"IST gesperrt",IF(OR(E244="",F244="",COUNT(G244:I244)&lt;&gt;3),"Angaben fehlen","Wirksam"))))</f>
        <v/>
      </c>
      <c r="L244">
        <f>IF(K244="Wirksam",SUM(G244:H244)-I244,IF(K244="","","n.a."))</f>
        <v/>
      </c>
    </row>
    <row r="245">
      <c r="K245">
        <f>IF(COUNTA(C245:J245)=0,"",IF(OR(C245&lt;&gt;Steuerung!$F$6,D245&lt;1,D245&gt;12),"Periode prüfen",IF(D245&lt;=Steuerung!$F$8,"IST gesperrt",IF(OR(E245="",F245="",COUNT(G245:I245)&lt;&gt;3),"Angaben fehlen","Wirksam"))))</f>
        <v/>
      </c>
      <c r="L245">
        <f>IF(K245="Wirksam",SUM(G245:H245)-I245,IF(K245="","","n.a."))</f>
        <v/>
      </c>
    </row>
    <row r="246">
      <c r="K246">
        <f>IF(COUNTA(C246:J246)=0,"",IF(OR(C246&lt;&gt;Steuerung!$F$6,D246&lt;1,D246&gt;12),"Periode prüfen",IF(D246&lt;=Steuerung!$F$8,"IST gesperrt",IF(OR(E246="",F246="",COUNT(G246:I246)&lt;&gt;3),"Angaben fehlen","Wirksam"))))</f>
        <v/>
      </c>
      <c r="L246">
        <f>IF(K246="Wirksam",SUM(G246:H246)-I246,IF(K246="","","n.a."))</f>
        <v/>
      </c>
    </row>
    <row r="247">
      <c r="K247">
        <f>IF(COUNTA(C247:J247)=0,"",IF(OR(C247&lt;&gt;Steuerung!$F$6,D247&lt;1,D247&gt;12),"Periode prüfen",IF(D247&lt;=Steuerung!$F$8,"IST gesperrt",IF(OR(E247="",F247="",COUNT(G247:I247)&lt;&gt;3),"Angaben fehlen","Wirksam"))))</f>
        <v/>
      </c>
      <c r="L247">
        <f>IF(K247="Wirksam",SUM(G247:H247)-I247,IF(K247="","","n.a."))</f>
        <v/>
      </c>
    </row>
    <row r="248">
      <c r="K248">
        <f>IF(COUNTA(C248:J248)=0,"",IF(OR(C248&lt;&gt;Steuerung!$F$6,D248&lt;1,D248&gt;12),"Periode prüfen",IF(D248&lt;=Steuerung!$F$8,"IST gesperrt",IF(OR(E248="",F248="",COUNT(G248:I248)&lt;&gt;3),"Angaben fehlen","Wirksam"))))</f>
        <v/>
      </c>
      <c r="L248">
        <f>IF(K248="Wirksam",SUM(G248:H248)-I248,IF(K248="","","n.a."))</f>
        <v/>
      </c>
    </row>
    <row r="249">
      <c r="K249">
        <f>IF(COUNTA(C249:J249)=0,"",IF(OR(C249&lt;&gt;Steuerung!$F$6,D249&lt;1,D249&gt;12),"Periode prüfen",IF(D249&lt;=Steuerung!$F$8,"IST gesperrt",IF(OR(E249="",F249="",COUNT(G249:I249)&lt;&gt;3),"Angaben fehlen","Wirksam"))))</f>
        <v/>
      </c>
      <c r="L249">
        <f>IF(K249="Wirksam",SUM(G249:H249)-I249,IF(K249="","","n.a."))</f>
        <v/>
      </c>
    </row>
    <row r="250">
      <c r="K250">
        <f>IF(COUNTA(C250:J250)=0,"",IF(OR(C250&lt;&gt;Steuerung!$F$6,D250&lt;1,D250&gt;12),"Periode prüfen",IF(D250&lt;=Steuerung!$F$8,"IST gesperrt",IF(OR(E250="",F250="",COUNT(G250:I250)&lt;&gt;3),"Angaben fehlen","Wirksam"))))</f>
        <v/>
      </c>
      <c r="L250">
        <f>IF(K250="Wirksam",SUM(G250:H250)-I250,IF(K250="","","n.a."))</f>
        <v/>
      </c>
    </row>
    <row r="251">
      <c r="K251">
        <f>IF(COUNTA(C251:J251)=0,"",IF(OR(C251&lt;&gt;Steuerung!$F$6,D251&lt;1,D251&gt;12),"Periode prüfen",IF(D251&lt;=Steuerung!$F$8,"IST gesperrt",IF(OR(E251="",F251="",COUNT(G251:I251)&lt;&gt;3),"Angaben fehlen","Wirksam"))))</f>
        <v/>
      </c>
      <c r="L251">
        <f>IF(K251="Wirksam",SUM(G251:H251)-I251,IF(K251="","","n.a."))</f>
        <v/>
      </c>
    </row>
    <row r="252">
      <c r="K252">
        <f>IF(COUNTA(C252:J252)=0,"",IF(OR(C252&lt;&gt;Steuerung!$F$6,D252&lt;1,D252&gt;12),"Periode prüfen",IF(D252&lt;=Steuerung!$F$8,"IST gesperrt",IF(OR(E252="",F252="",COUNT(G252:I252)&lt;&gt;3),"Angaben fehlen","Wirksam"))))</f>
        <v/>
      </c>
      <c r="L252">
        <f>IF(K252="Wirksam",SUM(G252:H252)-I252,IF(K252="","","n.a."))</f>
        <v/>
      </c>
    </row>
    <row r="253">
      <c r="K253">
        <f>IF(COUNTA(C253:J253)=0,"",IF(OR(C253&lt;&gt;Steuerung!$F$6,D253&lt;1,D253&gt;12),"Periode prüfen",IF(D253&lt;=Steuerung!$F$8,"IST gesperrt",IF(OR(E253="",F253="",COUNT(G253:I253)&lt;&gt;3),"Angaben fehlen","Wirksam"))))</f>
        <v/>
      </c>
      <c r="L253">
        <f>IF(K253="Wirksam",SUM(G253:H253)-I253,IF(K253="","","n.a."))</f>
        <v/>
      </c>
    </row>
    <row r="254">
      <c r="K254">
        <f>IF(COUNTA(C254:J254)=0,"",IF(OR(C254&lt;&gt;Steuerung!$F$6,D254&lt;1,D254&gt;12),"Periode prüfen",IF(D254&lt;=Steuerung!$F$8,"IST gesperrt",IF(OR(E254="",F254="",COUNT(G254:I254)&lt;&gt;3),"Angaben fehlen","Wirksam"))))</f>
        <v/>
      </c>
      <c r="L254">
        <f>IF(K254="Wirksam",SUM(G254:H254)-I254,IF(K254="","","n.a."))</f>
        <v/>
      </c>
    </row>
    <row r="255">
      <c r="K255">
        <f>IF(COUNTA(C255:J255)=0,"",IF(OR(C255&lt;&gt;Steuerung!$F$6,D255&lt;1,D255&gt;12),"Periode prüfen",IF(D255&lt;=Steuerung!$F$8,"IST gesperrt",IF(OR(E255="",F255="",COUNT(G255:I255)&lt;&gt;3),"Angaben fehlen","Wirksam"))))</f>
        <v/>
      </c>
      <c r="L255">
        <f>IF(K255="Wirksam",SUM(G255:H255)-I255,IF(K255="","","n.a."))</f>
        <v/>
      </c>
    </row>
    <row r="256">
      <c r="K256">
        <f>IF(COUNTA(C256:J256)=0,"",IF(OR(C256&lt;&gt;Steuerung!$F$6,D256&lt;1,D256&gt;12),"Periode prüfen",IF(D256&lt;=Steuerung!$F$8,"IST gesperrt",IF(OR(E256="",F256="",COUNT(G256:I256)&lt;&gt;3),"Angaben fehlen","Wirksam"))))</f>
        <v/>
      </c>
      <c r="L256">
        <f>IF(K256="Wirksam",SUM(G256:H256)-I256,IF(K256="","","n.a."))</f>
        <v/>
      </c>
    </row>
    <row r="257">
      <c r="K257">
        <f>IF(COUNTA(C257:J257)=0,"",IF(OR(C257&lt;&gt;Steuerung!$F$6,D257&lt;1,D257&gt;12),"Periode prüfen",IF(D257&lt;=Steuerung!$F$8,"IST gesperrt",IF(OR(E257="",F257="",COUNT(G257:I257)&lt;&gt;3),"Angaben fehlen","Wirksam"))))</f>
        <v/>
      </c>
      <c r="L257">
        <f>IF(K257="Wirksam",SUM(G257:H257)-I257,IF(K257="","","n.a."))</f>
        <v/>
      </c>
    </row>
    <row r="258">
      <c r="K258">
        <f>IF(COUNTA(C258:J258)=0,"",IF(OR(C258&lt;&gt;Steuerung!$F$6,D258&lt;1,D258&gt;12),"Periode prüfen",IF(D258&lt;=Steuerung!$F$8,"IST gesperrt",IF(OR(E258="",F258="",COUNT(G258:I258)&lt;&gt;3),"Angaben fehlen","Wirksam"))))</f>
        <v/>
      </c>
      <c r="L258">
        <f>IF(K258="Wirksam",SUM(G258:H258)-I258,IF(K258="","","n.a."))</f>
        <v/>
      </c>
    </row>
    <row r="259">
      <c r="K259">
        <f>IF(COUNTA(C259:J259)=0,"",IF(OR(C259&lt;&gt;Steuerung!$F$6,D259&lt;1,D259&gt;12),"Periode prüfen",IF(D259&lt;=Steuerung!$F$8,"IST gesperrt",IF(OR(E259="",F259="",COUNT(G259:I259)&lt;&gt;3),"Angaben fehlen","Wirksam"))))</f>
        <v/>
      </c>
      <c r="L259">
        <f>IF(K259="Wirksam",SUM(G259:H259)-I259,IF(K259="","","n.a."))</f>
        <v/>
      </c>
    </row>
    <row r="260">
      <c r="K260">
        <f>IF(COUNTA(C260:J260)=0,"",IF(OR(C260&lt;&gt;Steuerung!$F$6,D260&lt;1,D260&gt;12),"Periode prüfen",IF(D260&lt;=Steuerung!$F$8,"IST gesperrt",IF(OR(E260="",F260="",COUNT(G260:I260)&lt;&gt;3),"Angaben fehlen","Wirksam"))))</f>
        <v/>
      </c>
      <c r="L260">
        <f>IF(K260="Wirksam",SUM(G260:H260)-I260,IF(K260="","","n.a."))</f>
        <v/>
      </c>
    </row>
    <row r="261">
      <c r="K261">
        <f>IF(COUNTA(C261:J261)=0,"",IF(OR(C261&lt;&gt;Steuerung!$F$6,D261&lt;1,D261&gt;12),"Periode prüfen",IF(D261&lt;=Steuerung!$F$8,"IST gesperrt",IF(OR(E261="",F261="",COUNT(G261:I261)&lt;&gt;3),"Angaben fehlen","Wirksam"))))</f>
        <v/>
      </c>
      <c r="L261">
        <f>IF(K261="Wirksam",SUM(G261:H261)-I261,IF(K261="","","n.a."))</f>
        <v/>
      </c>
    </row>
    <row r="262">
      <c r="K262">
        <f>IF(COUNTA(C262:J262)=0,"",IF(OR(C262&lt;&gt;Steuerung!$F$6,D262&lt;1,D262&gt;12),"Periode prüfen",IF(D262&lt;=Steuerung!$F$8,"IST gesperrt",IF(OR(E262="",F262="",COUNT(G262:I262)&lt;&gt;3),"Angaben fehlen","Wirksam"))))</f>
        <v/>
      </c>
      <c r="L262">
        <f>IF(K262="Wirksam",SUM(G262:H262)-I262,IF(K262="","","n.a."))</f>
        <v/>
      </c>
    </row>
    <row r="263">
      <c r="K263">
        <f>IF(COUNTA(C263:J263)=0,"",IF(OR(C263&lt;&gt;Steuerung!$F$6,D263&lt;1,D263&gt;12),"Periode prüfen",IF(D263&lt;=Steuerung!$F$8,"IST gesperrt",IF(OR(E263="",F263="",COUNT(G263:I263)&lt;&gt;3),"Angaben fehlen","Wirksam"))))</f>
        <v/>
      </c>
      <c r="L263">
        <f>IF(K263="Wirksam",SUM(G263:H263)-I263,IF(K263="","","n.a."))</f>
        <v/>
      </c>
    </row>
    <row r="264">
      <c r="K264">
        <f>IF(COUNTA(C264:J264)=0,"",IF(OR(C264&lt;&gt;Steuerung!$F$6,D264&lt;1,D264&gt;12),"Periode prüfen",IF(D264&lt;=Steuerung!$F$8,"IST gesperrt",IF(OR(E264="",F264="",COUNT(G264:I264)&lt;&gt;3),"Angaben fehlen","Wirksam"))))</f>
        <v/>
      </c>
      <c r="L264">
        <f>IF(K264="Wirksam",SUM(G264:H264)-I264,IF(K264="","","n.a."))</f>
        <v/>
      </c>
    </row>
    <row r="265">
      <c r="K265">
        <f>IF(COUNTA(C265:J265)=0,"",IF(OR(C265&lt;&gt;Steuerung!$F$6,D265&lt;1,D265&gt;12),"Periode prüfen",IF(D265&lt;=Steuerung!$F$8,"IST gesperrt",IF(OR(E265="",F265="",COUNT(G265:I265)&lt;&gt;3),"Angaben fehlen","Wirksam"))))</f>
        <v/>
      </c>
      <c r="L265">
        <f>IF(K265="Wirksam",SUM(G265:H265)-I265,IF(K265="","","n.a."))</f>
        <v/>
      </c>
    </row>
    <row r="266">
      <c r="K266">
        <f>IF(COUNTA(C266:J266)=0,"",IF(OR(C266&lt;&gt;Steuerung!$F$6,D266&lt;1,D266&gt;12),"Periode prüfen",IF(D266&lt;=Steuerung!$F$8,"IST gesperrt",IF(OR(E266="",F266="",COUNT(G266:I266)&lt;&gt;3),"Angaben fehlen","Wirksam"))))</f>
        <v/>
      </c>
      <c r="L266">
        <f>IF(K266="Wirksam",SUM(G266:H266)-I266,IF(K266="","","n.a."))</f>
        <v/>
      </c>
    </row>
    <row r="267">
      <c r="K267">
        <f>IF(COUNTA(C267:J267)=0,"",IF(OR(C267&lt;&gt;Steuerung!$F$6,D267&lt;1,D267&gt;12),"Periode prüfen",IF(D267&lt;=Steuerung!$F$8,"IST gesperrt",IF(OR(E267="",F267="",COUNT(G267:I267)&lt;&gt;3),"Angaben fehlen","Wirksam"))))</f>
        <v/>
      </c>
      <c r="L267">
        <f>IF(K267="Wirksam",SUM(G267:H267)-I267,IF(K267="","","n.a."))</f>
        <v/>
      </c>
    </row>
    <row r="268">
      <c r="K268">
        <f>IF(COUNTA(C268:J268)=0,"",IF(OR(C268&lt;&gt;Steuerung!$F$6,D268&lt;1,D268&gt;12),"Periode prüfen",IF(D268&lt;=Steuerung!$F$8,"IST gesperrt",IF(OR(E268="",F268="",COUNT(G268:I268)&lt;&gt;3),"Angaben fehlen","Wirksam"))))</f>
        <v/>
      </c>
      <c r="L268">
        <f>IF(K268="Wirksam",SUM(G268:H268)-I268,IF(K268="","","n.a."))</f>
        <v/>
      </c>
    </row>
    <row r="269">
      <c r="K269">
        <f>IF(COUNTA(C269:J269)=0,"",IF(OR(C269&lt;&gt;Steuerung!$F$6,D269&lt;1,D269&gt;12),"Periode prüfen",IF(D269&lt;=Steuerung!$F$8,"IST gesperrt",IF(OR(E269="",F269="",COUNT(G269:I269)&lt;&gt;3),"Angaben fehlen","Wirksam"))))</f>
        <v/>
      </c>
      <c r="L269">
        <f>IF(K269="Wirksam",SUM(G269:H269)-I269,IF(K269="","","n.a."))</f>
        <v/>
      </c>
    </row>
    <row r="270">
      <c r="K270">
        <f>IF(COUNTA(C270:J270)=0,"",IF(OR(C270&lt;&gt;Steuerung!$F$6,D270&lt;1,D270&gt;12),"Periode prüfen",IF(D270&lt;=Steuerung!$F$8,"IST gesperrt",IF(OR(E270="",F270="",COUNT(G270:I270)&lt;&gt;3),"Angaben fehlen","Wirksam"))))</f>
        <v/>
      </c>
      <c r="L270">
        <f>IF(K270="Wirksam",SUM(G270:H270)-I270,IF(K270="","","n.a."))</f>
        <v/>
      </c>
    </row>
    <row r="271">
      <c r="K271">
        <f>IF(COUNTA(C271:J271)=0,"",IF(OR(C271&lt;&gt;Steuerung!$F$6,D271&lt;1,D271&gt;12),"Periode prüfen",IF(D271&lt;=Steuerung!$F$8,"IST gesperrt",IF(OR(E271="",F271="",COUNT(G271:I271)&lt;&gt;3),"Angaben fehlen","Wirksam"))))</f>
        <v/>
      </c>
      <c r="L271">
        <f>IF(K271="Wirksam",SUM(G271:H271)-I271,IF(K271="","","n.a."))</f>
        <v/>
      </c>
    </row>
    <row r="272">
      <c r="K272">
        <f>IF(COUNTA(C272:J272)=0,"",IF(OR(C272&lt;&gt;Steuerung!$F$6,D272&lt;1,D272&gt;12),"Periode prüfen",IF(D272&lt;=Steuerung!$F$8,"IST gesperrt",IF(OR(E272="",F272="",COUNT(G272:I272)&lt;&gt;3),"Angaben fehlen","Wirksam"))))</f>
        <v/>
      </c>
      <c r="L272">
        <f>IF(K272="Wirksam",SUM(G272:H272)-I272,IF(K272="","","n.a."))</f>
        <v/>
      </c>
    </row>
    <row r="273">
      <c r="K273">
        <f>IF(COUNTA(C273:J273)=0,"",IF(OR(C273&lt;&gt;Steuerung!$F$6,D273&lt;1,D273&gt;12),"Periode prüfen",IF(D273&lt;=Steuerung!$F$8,"IST gesperrt",IF(OR(E273="",F273="",COUNT(G273:I273)&lt;&gt;3),"Angaben fehlen","Wirksam"))))</f>
        <v/>
      </c>
      <c r="L273">
        <f>IF(K273="Wirksam",SUM(G273:H273)-I273,IF(K273="","","n.a."))</f>
        <v/>
      </c>
    </row>
    <row r="274">
      <c r="K274">
        <f>IF(COUNTA(C274:J274)=0,"",IF(OR(C274&lt;&gt;Steuerung!$F$6,D274&lt;1,D274&gt;12),"Periode prüfen",IF(D274&lt;=Steuerung!$F$8,"IST gesperrt",IF(OR(E274="",F274="",COUNT(G274:I274)&lt;&gt;3),"Angaben fehlen","Wirksam"))))</f>
        <v/>
      </c>
      <c r="L274">
        <f>IF(K274="Wirksam",SUM(G274:H274)-I274,IF(K274="","","n.a."))</f>
        <v/>
      </c>
    </row>
    <row r="275">
      <c r="K275">
        <f>IF(COUNTA(C275:J275)=0,"",IF(OR(C275&lt;&gt;Steuerung!$F$6,D275&lt;1,D275&gt;12),"Periode prüfen",IF(D275&lt;=Steuerung!$F$8,"IST gesperrt",IF(OR(E275="",F275="",COUNT(G275:I275)&lt;&gt;3),"Angaben fehlen","Wirksam"))))</f>
        <v/>
      </c>
      <c r="L275">
        <f>IF(K275="Wirksam",SUM(G275:H275)-I275,IF(K275="","","n.a."))</f>
        <v/>
      </c>
    </row>
    <row r="276">
      <c r="K276">
        <f>IF(COUNTA(C276:J276)=0,"",IF(OR(C276&lt;&gt;Steuerung!$F$6,D276&lt;1,D276&gt;12),"Periode prüfen",IF(D276&lt;=Steuerung!$F$8,"IST gesperrt",IF(OR(E276="",F276="",COUNT(G276:I276)&lt;&gt;3),"Angaben fehlen","Wirksam"))))</f>
        <v/>
      </c>
      <c r="L276">
        <f>IF(K276="Wirksam",SUM(G276:H276)-I276,IF(K276="","","n.a."))</f>
        <v/>
      </c>
    </row>
    <row r="277">
      <c r="K277">
        <f>IF(COUNTA(C277:J277)=0,"",IF(OR(C277&lt;&gt;Steuerung!$F$6,D277&lt;1,D277&gt;12),"Periode prüfen",IF(D277&lt;=Steuerung!$F$8,"IST gesperrt",IF(OR(E277="",F277="",COUNT(G277:I277)&lt;&gt;3),"Angaben fehlen","Wirksam"))))</f>
        <v/>
      </c>
      <c r="L277">
        <f>IF(K277="Wirksam",SUM(G277:H277)-I277,IF(K277="","","n.a."))</f>
        <v/>
      </c>
    </row>
    <row r="278">
      <c r="K278">
        <f>IF(COUNTA(C278:J278)=0,"",IF(OR(C278&lt;&gt;Steuerung!$F$6,D278&lt;1,D278&gt;12),"Periode prüfen",IF(D278&lt;=Steuerung!$F$8,"IST gesperrt",IF(OR(E278="",F278="",COUNT(G278:I278)&lt;&gt;3),"Angaben fehlen","Wirksam"))))</f>
        <v/>
      </c>
      <c r="L278">
        <f>IF(K278="Wirksam",SUM(G278:H278)-I278,IF(K278="","","n.a."))</f>
        <v/>
      </c>
    </row>
    <row r="279">
      <c r="K279">
        <f>IF(COUNTA(C279:J279)=0,"",IF(OR(C279&lt;&gt;Steuerung!$F$6,D279&lt;1,D279&gt;12),"Periode prüfen",IF(D279&lt;=Steuerung!$F$8,"IST gesperrt",IF(OR(E279="",F279="",COUNT(G279:I279)&lt;&gt;3),"Angaben fehlen","Wirksam"))))</f>
        <v/>
      </c>
      <c r="L279">
        <f>IF(K279="Wirksam",SUM(G279:H279)-I279,IF(K279="","","n.a."))</f>
        <v/>
      </c>
    </row>
    <row r="280">
      <c r="K280">
        <f>IF(COUNTA(C280:J280)=0,"",IF(OR(C280&lt;&gt;Steuerung!$F$6,D280&lt;1,D280&gt;12),"Periode prüfen",IF(D280&lt;=Steuerung!$F$8,"IST gesperrt",IF(OR(E280="",F280="",COUNT(G280:I280)&lt;&gt;3),"Angaben fehlen","Wirksam"))))</f>
        <v/>
      </c>
      <c r="L280">
        <f>IF(K280="Wirksam",SUM(G280:H280)-I280,IF(K280="","","n.a."))</f>
        <v/>
      </c>
    </row>
    <row r="281">
      <c r="K281">
        <f>IF(COUNTA(C281:J281)=0,"",IF(OR(C281&lt;&gt;Steuerung!$F$6,D281&lt;1,D281&gt;12),"Periode prüfen",IF(D281&lt;=Steuerung!$F$8,"IST gesperrt",IF(OR(E281="",F281="",COUNT(G281:I281)&lt;&gt;3),"Angaben fehlen","Wirksam"))))</f>
        <v/>
      </c>
      <c r="L281">
        <f>IF(K281="Wirksam",SUM(G281:H281)-I281,IF(K281="","","n.a."))</f>
        <v/>
      </c>
    </row>
    <row r="282">
      <c r="K282">
        <f>IF(COUNTA(C282:J282)=0,"",IF(OR(C282&lt;&gt;Steuerung!$F$6,D282&lt;1,D282&gt;12),"Periode prüfen",IF(D282&lt;=Steuerung!$F$8,"IST gesperrt",IF(OR(E282="",F282="",COUNT(G282:I282)&lt;&gt;3),"Angaben fehlen","Wirksam"))))</f>
        <v/>
      </c>
      <c r="L282">
        <f>IF(K282="Wirksam",SUM(G282:H282)-I282,IF(K282="","","n.a."))</f>
        <v/>
      </c>
    </row>
    <row r="283">
      <c r="K283">
        <f>IF(COUNTA(C283:J283)=0,"",IF(OR(C283&lt;&gt;Steuerung!$F$6,D283&lt;1,D283&gt;12),"Periode prüfen",IF(D283&lt;=Steuerung!$F$8,"IST gesperrt",IF(OR(E283="",F283="",COUNT(G283:I283)&lt;&gt;3),"Angaben fehlen","Wirksam"))))</f>
        <v/>
      </c>
      <c r="L283">
        <f>IF(K283="Wirksam",SUM(G283:H283)-I283,IF(K283="","","n.a."))</f>
        <v/>
      </c>
    </row>
    <row r="284">
      <c r="K284">
        <f>IF(COUNTA(C284:J284)=0,"",IF(OR(C284&lt;&gt;Steuerung!$F$6,D284&lt;1,D284&gt;12),"Periode prüfen",IF(D284&lt;=Steuerung!$F$8,"IST gesperrt",IF(OR(E284="",F284="",COUNT(G284:I284)&lt;&gt;3),"Angaben fehlen","Wirksam"))))</f>
        <v/>
      </c>
      <c r="L284">
        <f>IF(K284="Wirksam",SUM(G284:H284)-I284,IF(K284="","","n.a."))</f>
        <v/>
      </c>
    </row>
    <row r="285">
      <c r="K285">
        <f>IF(COUNTA(C285:J285)=0,"",IF(OR(C285&lt;&gt;Steuerung!$F$6,D285&lt;1,D285&gt;12),"Periode prüfen",IF(D285&lt;=Steuerung!$F$8,"IST gesperrt",IF(OR(E285="",F285="",COUNT(G285:I285)&lt;&gt;3),"Angaben fehlen","Wirksam"))))</f>
        <v/>
      </c>
      <c r="L285">
        <f>IF(K285="Wirksam",SUM(G285:H285)-I285,IF(K285="","","n.a."))</f>
        <v/>
      </c>
    </row>
    <row r="286">
      <c r="K286">
        <f>IF(COUNTA(C286:J286)=0,"",IF(OR(C286&lt;&gt;Steuerung!$F$6,D286&lt;1,D286&gt;12),"Periode prüfen",IF(D286&lt;=Steuerung!$F$8,"IST gesperrt",IF(OR(E286="",F286="",COUNT(G286:I286)&lt;&gt;3),"Angaben fehlen","Wirksam"))))</f>
        <v/>
      </c>
      <c r="L286">
        <f>IF(K286="Wirksam",SUM(G286:H286)-I286,IF(K286="","","n.a."))</f>
        <v/>
      </c>
    </row>
    <row r="287">
      <c r="K287">
        <f>IF(COUNTA(C287:J287)=0,"",IF(OR(C287&lt;&gt;Steuerung!$F$6,D287&lt;1,D287&gt;12),"Periode prüfen",IF(D287&lt;=Steuerung!$F$8,"IST gesperrt",IF(OR(E287="",F287="",COUNT(G287:I287)&lt;&gt;3),"Angaben fehlen","Wirksam"))))</f>
        <v/>
      </c>
      <c r="L287">
        <f>IF(K287="Wirksam",SUM(G287:H287)-I287,IF(K287="","","n.a."))</f>
        <v/>
      </c>
    </row>
    <row r="288">
      <c r="K288">
        <f>IF(COUNTA(C288:J288)=0,"",IF(OR(C288&lt;&gt;Steuerung!$F$6,D288&lt;1,D288&gt;12),"Periode prüfen",IF(D288&lt;=Steuerung!$F$8,"IST gesperrt",IF(OR(E288="",F288="",COUNT(G288:I288)&lt;&gt;3),"Angaben fehlen","Wirksam"))))</f>
        <v/>
      </c>
      <c r="L288">
        <f>IF(K288="Wirksam",SUM(G288:H288)-I288,IF(K288="","","n.a."))</f>
        <v/>
      </c>
    </row>
    <row r="289">
      <c r="K289">
        <f>IF(COUNTA(C289:J289)=0,"",IF(OR(C289&lt;&gt;Steuerung!$F$6,D289&lt;1,D289&gt;12),"Periode prüfen",IF(D289&lt;=Steuerung!$F$8,"IST gesperrt",IF(OR(E289="",F289="",COUNT(G289:I289)&lt;&gt;3),"Angaben fehlen","Wirksam"))))</f>
        <v/>
      </c>
      <c r="L289">
        <f>IF(K289="Wirksam",SUM(G289:H289)-I289,IF(K289="","","n.a."))</f>
        <v/>
      </c>
    </row>
    <row r="290">
      <c r="K290">
        <f>IF(COUNTA(C290:J290)=0,"",IF(OR(C290&lt;&gt;Steuerung!$F$6,D290&lt;1,D290&gt;12),"Periode prüfen",IF(D290&lt;=Steuerung!$F$8,"IST gesperrt",IF(OR(E290="",F290="",COUNT(G290:I290)&lt;&gt;3),"Angaben fehlen","Wirksam"))))</f>
        <v/>
      </c>
      <c r="L290">
        <f>IF(K290="Wirksam",SUM(G290:H290)-I290,IF(K290="","","n.a."))</f>
        <v/>
      </c>
    </row>
    <row r="291">
      <c r="K291">
        <f>IF(COUNTA(C291:J291)=0,"",IF(OR(C291&lt;&gt;Steuerung!$F$6,D291&lt;1,D291&gt;12),"Periode prüfen",IF(D291&lt;=Steuerung!$F$8,"IST gesperrt",IF(OR(E291="",F291="",COUNT(G291:I291)&lt;&gt;3),"Angaben fehlen","Wirksam"))))</f>
        <v/>
      </c>
      <c r="L291">
        <f>IF(K291="Wirksam",SUM(G291:H291)-I291,IF(K291="","","n.a."))</f>
        <v/>
      </c>
    </row>
    <row r="292">
      <c r="K292">
        <f>IF(COUNTA(C292:J292)=0,"",IF(OR(C292&lt;&gt;Steuerung!$F$6,D292&lt;1,D292&gt;12),"Periode prüfen",IF(D292&lt;=Steuerung!$F$8,"IST gesperrt",IF(OR(E292="",F292="",COUNT(G292:I292)&lt;&gt;3),"Angaben fehlen","Wirksam"))))</f>
        <v/>
      </c>
      <c r="L292">
        <f>IF(K292="Wirksam",SUM(G292:H292)-I292,IF(K292="","","n.a."))</f>
        <v/>
      </c>
    </row>
    <row r="293">
      <c r="K293">
        <f>IF(COUNTA(C293:J293)=0,"",IF(OR(C293&lt;&gt;Steuerung!$F$6,D293&lt;1,D293&gt;12),"Periode prüfen",IF(D293&lt;=Steuerung!$F$8,"IST gesperrt",IF(OR(E293="",F293="",COUNT(G293:I293)&lt;&gt;3),"Angaben fehlen","Wirksam"))))</f>
        <v/>
      </c>
      <c r="L293">
        <f>IF(K293="Wirksam",SUM(G293:H293)-I293,IF(K293="","","n.a."))</f>
        <v/>
      </c>
    </row>
    <row r="294">
      <c r="K294">
        <f>IF(COUNTA(C294:J294)=0,"",IF(OR(C294&lt;&gt;Steuerung!$F$6,D294&lt;1,D294&gt;12),"Periode prüfen",IF(D294&lt;=Steuerung!$F$8,"IST gesperrt",IF(OR(E294="",F294="",COUNT(G294:I294)&lt;&gt;3),"Angaben fehlen","Wirksam"))))</f>
        <v/>
      </c>
      <c r="L294">
        <f>IF(K294="Wirksam",SUM(G294:H294)-I294,IF(K294="","","n.a."))</f>
        <v/>
      </c>
    </row>
    <row r="295">
      <c r="K295">
        <f>IF(COUNTA(C295:J295)=0,"",IF(OR(C295&lt;&gt;Steuerung!$F$6,D295&lt;1,D295&gt;12),"Periode prüfen",IF(D295&lt;=Steuerung!$F$8,"IST gesperrt",IF(OR(E295="",F295="",COUNT(G295:I295)&lt;&gt;3),"Angaben fehlen","Wirksam"))))</f>
        <v/>
      </c>
      <c r="L295">
        <f>IF(K295="Wirksam",SUM(G295:H295)-I295,IF(K295="","","n.a."))</f>
        <v/>
      </c>
    </row>
    <row r="296">
      <c r="K296">
        <f>IF(COUNTA(C296:J296)=0,"",IF(OR(C296&lt;&gt;Steuerung!$F$6,D296&lt;1,D296&gt;12),"Periode prüfen",IF(D296&lt;=Steuerung!$F$8,"IST gesperrt",IF(OR(E296="",F296="",COUNT(G296:I296)&lt;&gt;3),"Angaben fehlen","Wirksam"))))</f>
        <v/>
      </c>
      <c r="L296">
        <f>IF(K296="Wirksam",SUM(G296:H296)-I296,IF(K296="","","n.a."))</f>
        <v/>
      </c>
    </row>
    <row r="297">
      <c r="K297">
        <f>IF(COUNTA(C297:J297)=0,"",IF(OR(C297&lt;&gt;Steuerung!$F$6,D297&lt;1,D297&gt;12),"Periode prüfen",IF(D297&lt;=Steuerung!$F$8,"IST gesperrt",IF(OR(E297="",F297="",COUNT(G297:I297)&lt;&gt;3),"Angaben fehlen","Wirksam"))))</f>
        <v/>
      </c>
      <c r="L297">
        <f>IF(K297="Wirksam",SUM(G297:H297)-I297,IF(K297="","","n.a."))</f>
        <v/>
      </c>
    </row>
    <row r="298">
      <c r="K298">
        <f>IF(COUNTA(C298:J298)=0,"",IF(OR(C298&lt;&gt;Steuerung!$F$6,D298&lt;1,D298&gt;12),"Periode prüfen",IF(D298&lt;=Steuerung!$F$8,"IST gesperrt",IF(OR(E298="",F298="",COUNT(G298:I298)&lt;&gt;3),"Angaben fehlen","Wirksam"))))</f>
        <v/>
      </c>
      <c r="L298">
        <f>IF(K298="Wirksam",SUM(G298:H298)-I298,IF(K298="","","n.a."))</f>
        <v/>
      </c>
    </row>
    <row r="299">
      <c r="K299">
        <f>IF(COUNTA(C299:J299)=0,"",IF(OR(C299&lt;&gt;Steuerung!$F$6,D299&lt;1,D299&gt;12),"Periode prüfen",IF(D299&lt;=Steuerung!$F$8,"IST gesperrt",IF(OR(E299="",F299="",COUNT(G299:I299)&lt;&gt;3),"Angaben fehlen","Wirksam"))))</f>
        <v/>
      </c>
      <c r="L299">
        <f>IF(K299="Wirksam",SUM(G299:H299)-I299,IF(K299="","","n.a."))</f>
        <v/>
      </c>
    </row>
    <row r="300">
      <c r="K300">
        <f>IF(COUNTA(C300:J300)=0,"",IF(OR(C300&lt;&gt;Steuerung!$F$6,D300&lt;1,D300&gt;12),"Periode prüfen",IF(D300&lt;=Steuerung!$F$8,"IST gesperrt",IF(OR(E300="",F300="",COUNT(G300:I300)&lt;&gt;3),"Angaben fehlen","Wirksam"))))</f>
        <v/>
      </c>
      <c r="L300">
        <f>IF(K300="Wirksam",SUM(G300:H300)-I300,IF(K300="","","n.a."))</f>
        <v/>
      </c>
    </row>
    <row r="301">
      <c r="K301">
        <f>IF(COUNTA(C301:J301)=0,"",IF(OR(C301&lt;&gt;Steuerung!$F$6,D301&lt;1,D301&gt;12),"Periode prüfen",IF(D301&lt;=Steuerung!$F$8,"IST gesperrt",IF(OR(E301="",F301="",COUNT(G301:I301)&lt;&gt;3),"Angaben fehlen","Wirksam"))))</f>
        <v/>
      </c>
      <c r="L301">
        <f>IF(K301="Wirksam",SUM(G301:H301)-I301,IF(K301="","","n.a."))</f>
        <v/>
      </c>
    </row>
    <row r="302">
      <c r="K302">
        <f>IF(COUNTA(C302:J302)=0,"",IF(OR(C302&lt;&gt;Steuerung!$F$6,D302&lt;1,D302&gt;12),"Periode prüfen",IF(D302&lt;=Steuerung!$F$8,"IST gesperrt",IF(OR(E302="",F302="",COUNT(G302:I302)&lt;&gt;3),"Angaben fehlen","Wirksam"))))</f>
        <v/>
      </c>
      <c r="L302">
        <f>IF(K302="Wirksam",SUM(G302:H302)-I302,IF(K302="","","n.a."))</f>
        <v/>
      </c>
    </row>
    <row r="303">
      <c r="K303">
        <f>IF(COUNTA(C303:J303)=0,"",IF(OR(C303&lt;&gt;Steuerung!$F$6,D303&lt;1,D303&gt;12),"Periode prüfen",IF(D303&lt;=Steuerung!$F$8,"IST gesperrt",IF(OR(E303="",F303="",COUNT(G303:I303)&lt;&gt;3),"Angaben fehlen","Wirksam"))))</f>
        <v/>
      </c>
      <c r="L303">
        <f>IF(K303="Wirksam",SUM(G303:H303)-I303,IF(K303="","","n.a."))</f>
        <v/>
      </c>
    </row>
    <row r="304">
      <c r="K304">
        <f>IF(COUNTA(C304:J304)=0,"",IF(OR(C304&lt;&gt;Steuerung!$F$6,D304&lt;1,D304&gt;12),"Periode prüfen",IF(D304&lt;=Steuerung!$F$8,"IST gesperrt",IF(OR(E304="",F304="",COUNT(G304:I304)&lt;&gt;3),"Angaben fehlen","Wirksam"))))</f>
        <v/>
      </c>
      <c r="L304">
        <f>IF(K304="Wirksam",SUM(G304:H304)-I304,IF(K304="","","n.a."))</f>
        <v/>
      </c>
    </row>
    <row r="305">
      <c r="K305">
        <f>IF(COUNTA(C305:J305)=0,"",IF(OR(C305&lt;&gt;Steuerung!$F$6,D305&lt;1,D305&gt;12),"Periode prüfen",IF(D305&lt;=Steuerung!$F$8,"IST gesperrt",IF(OR(E305="",F305="",COUNT(G305:I305)&lt;&gt;3),"Angaben fehlen","Wirksam"))))</f>
        <v/>
      </c>
      <c r="L305">
        <f>IF(K305="Wirksam",SUM(G305:H305)-I305,IF(K305="","","n.a."))</f>
        <v/>
      </c>
    </row>
    <row r="306">
      <c r="K306">
        <f>IF(COUNTA(C306:J306)=0,"",IF(OR(C306&lt;&gt;Steuerung!$F$6,D306&lt;1,D306&gt;12),"Periode prüfen",IF(D306&lt;=Steuerung!$F$8,"IST gesperrt",IF(OR(E306="",F306="",COUNT(G306:I306)&lt;&gt;3),"Angaben fehlen","Wirksam"))))</f>
        <v/>
      </c>
      <c r="L306">
        <f>IF(K306="Wirksam",SUM(G306:H306)-I306,IF(K306="","","n.a."))</f>
        <v/>
      </c>
    </row>
    <row r="307">
      <c r="K307">
        <f>IF(COUNTA(C307:J307)=0,"",IF(OR(C307&lt;&gt;Steuerung!$F$6,D307&lt;1,D307&gt;12),"Periode prüfen",IF(D307&lt;=Steuerung!$F$8,"IST gesperrt",IF(OR(E307="",F307="",COUNT(G307:I307)&lt;&gt;3),"Angaben fehlen","Wirksam"))))</f>
        <v/>
      </c>
      <c r="L307">
        <f>IF(K307="Wirksam",SUM(G307:H307)-I307,IF(K307="","","n.a."))</f>
        <v/>
      </c>
    </row>
    <row r="308">
      <c r="K308">
        <f>IF(COUNTA(C308:J308)=0,"",IF(OR(C308&lt;&gt;Steuerung!$F$6,D308&lt;1,D308&gt;12),"Periode prüfen",IF(D308&lt;=Steuerung!$F$8,"IST gesperrt",IF(OR(E308="",F308="",COUNT(G308:I308)&lt;&gt;3),"Angaben fehlen","Wirksam"))))</f>
        <v/>
      </c>
      <c r="L308">
        <f>IF(K308="Wirksam",SUM(G308:H308)-I308,IF(K308="","","n.a."))</f>
        <v/>
      </c>
    </row>
    <row r="309">
      <c r="K309">
        <f>IF(COUNTA(C309:J309)=0,"",IF(OR(C309&lt;&gt;Steuerung!$F$6,D309&lt;1,D309&gt;12),"Periode prüfen",IF(D309&lt;=Steuerung!$F$8,"IST gesperrt",IF(OR(E309="",F309="",COUNT(G309:I309)&lt;&gt;3),"Angaben fehlen","Wirksam"))))</f>
        <v/>
      </c>
      <c r="L309">
        <f>IF(K309="Wirksam",SUM(G309:H309)-I309,IF(K309="","","n.a."))</f>
        <v/>
      </c>
    </row>
    <row r="310">
      <c r="K310">
        <f>IF(COUNTA(C310:J310)=0,"",IF(OR(C310&lt;&gt;Steuerung!$F$6,D310&lt;1,D310&gt;12),"Periode prüfen",IF(D310&lt;=Steuerung!$F$8,"IST gesperrt",IF(OR(E310="",F310="",COUNT(G310:I310)&lt;&gt;3),"Angaben fehlen","Wirksam"))))</f>
        <v/>
      </c>
      <c r="L310">
        <f>IF(K310="Wirksam",SUM(G310:H310)-I310,IF(K310="","","n.a."))</f>
        <v/>
      </c>
    </row>
    <row r="311">
      <c r="K311">
        <f>IF(COUNTA(C311:J311)=0,"",IF(OR(C311&lt;&gt;Steuerung!$F$6,D311&lt;1,D311&gt;12),"Periode prüfen",IF(D311&lt;=Steuerung!$F$8,"IST gesperrt",IF(OR(E311="",F311="",COUNT(G311:I311)&lt;&gt;3),"Angaben fehlen","Wirksam"))))</f>
        <v/>
      </c>
      <c r="L311">
        <f>IF(K311="Wirksam",SUM(G311:H311)-I311,IF(K311="","","n.a."))</f>
        <v/>
      </c>
    </row>
    <row r="312">
      <c r="K312">
        <f>IF(COUNTA(C312:J312)=0,"",IF(OR(C312&lt;&gt;Steuerung!$F$6,D312&lt;1,D312&gt;12),"Periode prüfen",IF(D312&lt;=Steuerung!$F$8,"IST gesperrt",IF(OR(E312="",F312="",COUNT(G312:I312)&lt;&gt;3),"Angaben fehlen","Wirksam"))))</f>
        <v/>
      </c>
      <c r="L312">
        <f>IF(K312="Wirksam",SUM(G312:H312)-I312,IF(K312="","","n.a."))</f>
        <v/>
      </c>
    </row>
    <row r="313">
      <c r="K313">
        <f>IF(COUNTA(C313:J313)=0,"",IF(OR(C313&lt;&gt;Steuerung!$F$6,D313&lt;1,D313&gt;12),"Periode prüfen",IF(D313&lt;=Steuerung!$F$8,"IST gesperrt",IF(OR(E313="",F313="",COUNT(G313:I313)&lt;&gt;3),"Angaben fehlen","Wirksam"))))</f>
        <v/>
      </c>
      <c r="L313">
        <f>IF(K313="Wirksam",SUM(G313:H313)-I313,IF(K313="","","n.a."))</f>
        <v/>
      </c>
    </row>
    <row r="314">
      <c r="K314">
        <f>IF(COUNTA(C314:J314)=0,"",IF(OR(C314&lt;&gt;Steuerung!$F$6,D314&lt;1,D314&gt;12),"Periode prüfen",IF(D314&lt;=Steuerung!$F$8,"IST gesperrt",IF(OR(E314="",F314="",COUNT(G314:I314)&lt;&gt;3),"Angaben fehlen","Wirksam"))))</f>
        <v/>
      </c>
      <c r="L314">
        <f>IF(K314="Wirksam",SUM(G314:H314)-I314,IF(K314="","","n.a."))</f>
        <v/>
      </c>
    </row>
    <row r="315">
      <c r="K315">
        <f>IF(COUNTA(C315:J315)=0,"",IF(OR(C315&lt;&gt;Steuerung!$F$6,D315&lt;1,D315&gt;12),"Periode prüfen",IF(D315&lt;=Steuerung!$F$8,"IST gesperrt",IF(OR(E315="",F315="",COUNT(G315:I315)&lt;&gt;3),"Angaben fehlen","Wirksam"))))</f>
        <v/>
      </c>
      <c r="L315">
        <f>IF(K315="Wirksam",SUM(G315:H315)-I315,IF(K315="","","n.a."))</f>
        <v/>
      </c>
    </row>
    <row r="316">
      <c r="K316">
        <f>IF(COUNTA(C316:J316)=0,"",IF(OR(C316&lt;&gt;Steuerung!$F$6,D316&lt;1,D316&gt;12),"Periode prüfen",IF(D316&lt;=Steuerung!$F$8,"IST gesperrt",IF(OR(E316="",F316="",COUNT(G316:I316)&lt;&gt;3),"Angaben fehlen","Wirksam"))))</f>
        <v/>
      </c>
      <c r="L316">
        <f>IF(K316="Wirksam",SUM(G316:H316)-I316,IF(K316="","","n.a."))</f>
        <v/>
      </c>
    </row>
    <row r="317">
      <c r="K317">
        <f>IF(COUNTA(C317:J317)=0,"",IF(OR(C317&lt;&gt;Steuerung!$F$6,D317&lt;1,D317&gt;12),"Periode prüfen",IF(D317&lt;=Steuerung!$F$8,"IST gesperrt",IF(OR(E317="",F317="",COUNT(G317:I317)&lt;&gt;3),"Angaben fehlen","Wirksam"))))</f>
        <v/>
      </c>
      <c r="L317">
        <f>IF(K317="Wirksam",SUM(G317:H317)-I317,IF(K317="","","n.a."))</f>
        <v/>
      </c>
    </row>
    <row r="318">
      <c r="K318">
        <f>IF(COUNTA(C318:J318)=0,"",IF(OR(C318&lt;&gt;Steuerung!$F$6,D318&lt;1,D318&gt;12),"Periode prüfen",IF(D318&lt;=Steuerung!$F$8,"IST gesperrt",IF(OR(E318="",F318="",COUNT(G318:I318)&lt;&gt;3),"Angaben fehlen","Wirksam"))))</f>
        <v/>
      </c>
      <c r="L318">
        <f>IF(K318="Wirksam",SUM(G318:H318)-I318,IF(K318="","","n.a."))</f>
        <v/>
      </c>
    </row>
    <row r="319">
      <c r="K319">
        <f>IF(COUNTA(C319:J319)=0,"",IF(OR(C319&lt;&gt;Steuerung!$F$6,D319&lt;1,D319&gt;12),"Periode prüfen",IF(D319&lt;=Steuerung!$F$8,"IST gesperrt",IF(OR(E319="",F319="",COUNT(G319:I319)&lt;&gt;3),"Angaben fehlen","Wirksam"))))</f>
        <v/>
      </c>
      <c r="L319">
        <f>IF(K319="Wirksam",SUM(G319:H319)-I319,IF(K319="","","n.a."))</f>
        <v/>
      </c>
    </row>
    <row r="320">
      <c r="K320">
        <f>IF(COUNTA(C320:J320)=0,"",IF(OR(C320&lt;&gt;Steuerung!$F$6,D320&lt;1,D320&gt;12),"Periode prüfen",IF(D320&lt;=Steuerung!$F$8,"IST gesperrt",IF(OR(E320="",F320="",COUNT(G320:I320)&lt;&gt;3),"Angaben fehlen","Wirksam"))))</f>
        <v/>
      </c>
      <c r="L320">
        <f>IF(K320="Wirksam",SUM(G320:H320)-I320,IF(K320="","","n.a."))</f>
        <v/>
      </c>
    </row>
    <row r="321">
      <c r="K321">
        <f>IF(COUNTA(C321:J321)=0,"",IF(OR(C321&lt;&gt;Steuerung!$F$6,D321&lt;1,D321&gt;12),"Periode prüfen",IF(D321&lt;=Steuerung!$F$8,"IST gesperrt",IF(OR(E321="",F321="",COUNT(G321:I321)&lt;&gt;3),"Angaben fehlen","Wirksam"))))</f>
        <v/>
      </c>
      <c r="L321">
        <f>IF(K321="Wirksam",SUM(G321:H321)-I321,IF(K321="","","n.a."))</f>
        <v/>
      </c>
    </row>
    <row r="322">
      <c r="K322">
        <f>IF(COUNTA(C322:J322)=0,"",IF(OR(C322&lt;&gt;Steuerung!$F$6,D322&lt;1,D322&gt;12),"Periode prüfen",IF(D322&lt;=Steuerung!$F$8,"IST gesperrt",IF(OR(E322="",F322="",COUNT(G322:I322)&lt;&gt;3),"Angaben fehlen","Wirksam"))))</f>
        <v/>
      </c>
      <c r="L322">
        <f>IF(K322="Wirksam",SUM(G322:H322)-I322,IF(K322="","","n.a."))</f>
        <v/>
      </c>
    </row>
    <row r="323">
      <c r="K323">
        <f>IF(COUNTA(C323:J323)=0,"",IF(OR(C323&lt;&gt;Steuerung!$F$6,D323&lt;1,D323&gt;12),"Periode prüfen",IF(D323&lt;=Steuerung!$F$8,"IST gesperrt",IF(OR(E323="",F323="",COUNT(G323:I323)&lt;&gt;3),"Angaben fehlen","Wirksam"))))</f>
        <v/>
      </c>
      <c r="L323">
        <f>IF(K323="Wirksam",SUM(G323:H323)-I323,IF(K323="","","n.a."))</f>
        <v/>
      </c>
    </row>
    <row r="324">
      <c r="K324">
        <f>IF(COUNTA(C324:J324)=0,"",IF(OR(C324&lt;&gt;Steuerung!$F$6,D324&lt;1,D324&gt;12),"Periode prüfen",IF(D324&lt;=Steuerung!$F$8,"IST gesperrt",IF(OR(E324="",F324="",COUNT(G324:I324)&lt;&gt;3),"Angaben fehlen","Wirksam"))))</f>
        <v/>
      </c>
      <c r="L324">
        <f>IF(K324="Wirksam",SUM(G324:H324)-I324,IF(K324="","","n.a."))</f>
        <v/>
      </c>
    </row>
    <row r="325">
      <c r="K325">
        <f>IF(COUNTA(C325:J325)=0,"",IF(OR(C325&lt;&gt;Steuerung!$F$6,D325&lt;1,D325&gt;12),"Periode prüfen",IF(D325&lt;=Steuerung!$F$8,"IST gesperrt",IF(OR(E325="",F325="",COUNT(G325:I325)&lt;&gt;3),"Angaben fehlen","Wirksam"))))</f>
        <v/>
      </c>
      <c r="L325">
        <f>IF(K325="Wirksam",SUM(G325:H325)-I325,IF(K325="","","n.a."))</f>
        <v/>
      </c>
    </row>
    <row r="326">
      <c r="K326">
        <f>IF(COUNTA(C326:J326)=0,"",IF(OR(C326&lt;&gt;Steuerung!$F$6,D326&lt;1,D326&gt;12),"Periode prüfen",IF(D326&lt;=Steuerung!$F$8,"IST gesperrt",IF(OR(E326="",F326="",COUNT(G326:I326)&lt;&gt;3),"Angaben fehlen","Wirksam"))))</f>
        <v/>
      </c>
      <c r="L326">
        <f>IF(K326="Wirksam",SUM(G326:H326)-I326,IF(K326="","","n.a."))</f>
        <v/>
      </c>
    </row>
    <row r="327">
      <c r="K327">
        <f>IF(COUNTA(C327:J327)=0,"",IF(OR(C327&lt;&gt;Steuerung!$F$6,D327&lt;1,D327&gt;12),"Periode prüfen",IF(D327&lt;=Steuerung!$F$8,"IST gesperrt",IF(OR(E327="",F327="",COUNT(G327:I327)&lt;&gt;3),"Angaben fehlen","Wirksam"))))</f>
        <v/>
      </c>
      <c r="L327">
        <f>IF(K327="Wirksam",SUM(G327:H327)-I327,IF(K327="","","n.a."))</f>
        <v/>
      </c>
    </row>
    <row r="328">
      <c r="K328">
        <f>IF(COUNTA(C328:J328)=0,"",IF(OR(C328&lt;&gt;Steuerung!$F$6,D328&lt;1,D328&gt;12),"Periode prüfen",IF(D328&lt;=Steuerung!$F$8,"IST gesperrt",IF(OR(E328="",F328="",COUNT(G328:I328)&lt;&gt;3),"Angaben fehlen","Wirksam"))))</f>
        <v/>
      </c>
      <c r="L328">
        <f>IF(K328="Wirksam",SUM(G328:H328)-I328,IF(K328="","","n.a."))</f>
        <v/>
      </c>
    </row>
    <row r="329">
      <c r="K329">
        <f>IF(COUNTA(C329:J329)=0,"",IF(OR(C329&lt;&gt;Steuerung!$F$6,D329&lt;1,D329&gt;12),"Periode prüfen",IF(D329&lt;=Steuerung!$F$8,"IST gesperrt",IF(OR(E329="",F329="",COUNT(G329:I329)&lt;&gt;3),"Angaben fehlen","Wirksam"))))</f>
        <v/>
      </c>
      <c r="L329">
        <f>IF(K329="Wirksam",SUM(G329:H329)-I329,IF(K329="","","n.a."))</f>
        <v/>
      </c>
    </row>
    <row r="330">
      <c r="K330">
        <f>IF(COUNTA(C330:J330)=0,"",IF(OR(C330&lt;&gt;Steuerung!$F$6,D330&lt;1,D330&gt;12),"Periode prüfen",IF(D330&lt;=Steuerung!$F$8,"IST gesperrt",IF(OR(E330="",F330="",COUNT(G330:I330)&lt;&gt;3),"Angaben fehlen","Wirksam"))))</f>
        <v/>
      </c>
      <c r="L330">
        <f>IF(K330="Wirksam",SUM(G330:H330)-I330,IF(K330="","","n.a."))</f>
        <v/>
      </c>
    </row>
    <row r="331">
      <c r="K331">
        <f>IF(COUNTA(C331:J331)=0,"",IF(OR(C331&lt;&gt;Steuerung!$F$6,D331&lt;1,D331&gt;12),"Periode prüfen",IF(D331&lt;=Steuerung!$F$8,"IST gesperrt",IF(OR(E331="",F331="",COUNT(G331:I331)&lt;&gt;3),"Angaben fehlen","Wirksam"))))</f>
        <v/>
      </c>
      <c r="L331">
        <f>IF(K331="Wirksam",SUM(G331:H331)-I331,IF(K331="","","n.a."))</f>
        <v/>
      </c>
    </row>
    <row r="332">
      <c r="K332">
        <f>IF(COUNTA(C332:J332)=0,"",IF(OR(C332&lt;&gt;Steuerung!$F$6,D332&lt;1,D332&gt;12),"Periode prüfen",IF(D332&lt;=Steuerung!$F$8,"IST gesperrt",IF(OR(E332="",F332="",COUNT(G332:I332)&lt;&gt;3),"Angaben fehlen","Wirksam"))))</f>
        <v/>
      </c>
      <c r="L332">
        <f>IF(K332="Wirksam",SUM(G332:H332)-I332,IF(K332="","","n.a."))</f>
        <v/>
      </c>
    </row>
    <row r="333">
      <c r="K333">
        <f>IF(COUNTA(C333:J333)=0,"",IF(OR(C333&lt;&gt;Steuerung!$F$6,D333&lt;1,D333&gt;12),"Periode prüfen",IF(D333&lt;=Steuerung!$F$8,"IST gesperrt",IF(OR(E333="",F333="",COUNT(G333:I333)&lt;&gt;3),"Angaben fehlen","Wirksam"))))</f>
        <v/>
      </c>
      <c r="L333">
        <f>IF(K333="Wirksam",SUM(G333:H333)-I333,IF(K333="","","n.a."))</f>
        <v/>
      </c>
    </row>
    <row r="334">
      <c r="K334">
        <f>IF(COUNTA(C334:J334)=0,"",IF(OR(C334&lt;&gt;Steuerung!$F$6,D334&lt;1,D334&gt;12),"Periode prüfen",IF(D334&lt;=Steuerung!$F$8,"IST gesperrt",IF(OR(E334="",F334="",COUNT(G334:I334)&lt;&gt;3),"Angaben fehlen","Wirksam"))))</f>
        <v/>
      </c>
      <c r="L334">
        <f>IF(K334="Wirksam",SUM(G334:H334)-I334,IF(K334="","","n.a."))</f>
        <v/>
      </c>
    </row>
    <row r="335">
      <c r="K335">
        <f>IF(COUNTA(C335:J335)=0,"",IF(OR(C335&lt;&gt;Steuerung!$F$6,D335&lt;1,D335&gt;12),"Periode prüfen",IF(D335&lt;=Steuerung!$F$8,"IST gesperrt",IF(OR(E335="",F335="",COUNT(G335:I335)&lt;&gt;3),"Angaben fehlen","Wirksam"))))</f>
        <v/>
      </c>
      <c r="L335">
        <f>IF(K335="Wirksam",SUM(G335:H335)-I335,IF(K335="","","n.a."))</f>
        <v/>
      </c>
    </row>
    <row r="336">
      <c r="K336">
        <f>IF(COUNTA(C336:J336)=0,"",IF(OR(C336&lt;&gt;Steuerung!$F$6,D336&lt;1,D336&gt;12),"Periode prüfen",IF(D336&lt;=Steuerung!$F$8,"IST gesperrt",IF(OR(E336="",F336="",COUNT(G336:I336)&lt;&gt;3),"Angaben fehlen","Wirksam"))))</f>
        <v/>
      </c>
      <c r="L336">
        <f>IF(K336="Wirksam",SUM(G336:H336)-I336,IF(K336="","","n.a."))</f>
        <v/>
      </c>
    </row>
    <row r="337">
      <c r="K337">
        <f>IF(COUNTA(C337:J337)=0,"",IF(OR(C337&lt;&gt;Steuerung!$F$6,D337&lt;1,D337&gt;12),"Periode prüfen",IF(D337&lt;=Steuerung!$F$8,"IST gesperrt",IF(OR(E337="",F337="",COUNT(G337:I337)&lt;&gt;3),"Angaben fehlen","Wirksam"))))</f>
        <v/>
      </c>
      <c r="L337">
        <f>IF(K337="Wirksam",SUM(G337:H337)-I337,IF(K337="","","n.a."))</f>
        <v/>
      </c>
    </row>
    <row r="338">
      <c r="K338">
        <f>IF(COUNTA(C338:J338)=0,"",IF(OR(C338&lt;&gt;Steuerung!$F$6,D338&lt;1,D338&gt;12),"Periode prüfen",IF(D338&lt;=Steuerung!$F$8,"IST gesperrt",IF(OR(E338="",F338="",COUNT(G338:I338)&lt;&gt;3),"Angaben fehlen","Wirksam"))))</f>
        <v/>
      </c>
      <c r="L338">
        <f>IF(K338="Wirksam",SUM(G338:H338)-I338,IF(K338="","","n.a."))</f>
        <v/>
      </c>
    </row>
    <row r="339">
      <c r="K339">
        <f>IF(COUNTA(C339:J339)=0,"",IF(OR(C339&lt;&gt;Steuerung!$F$6,D339&lt;1,D339&gt;12),"Periode prüfen",IF(D339&lt;=Steuerung!$F$8,"IST gesperrt",IF(OR(E339="",F339="",COUNT(G339:I339)&lt;&gt;3),"Angaben fehlen","Wirksam"))))</f>
        <v/>
      </c>
      <c r="L339">
        <f>IF(K339="Wirksam",SUM(G339:H339)-I339,IF(K339="","","n.a."))</f>
        <v/>
      </c>
    </row>
    <row r="340">
      <c r="K340">
        <f>IF(COUNTA(C340:J340)=0,"",IF(OR(C340&lt;&gt;Steuerung!$F$6,D340&lt;1,D340&gt;12),"Periode prüfen",IF(D340&lt;=Steuerung!$F$8,"IST gesperrt",IF(OR(E340="",F340="",COUNT(G340:I340)&lt;&gt;3),"Angaben fehlen","Wirksam"))))</f>
        <v/>
      </c>
      <c r="L340">
        <f>IF(K340="Wirksam",SUM(G340:H340)-I340,IF(K340="","","n.a."))</f>
        <v/>
      </c>
    </row>
    <row r="341">
      <c r="K341">
        <f>IF(COUNTA(C341:J341)=0,"",IF(OR(C341&lt;&gt;Steuerung!$F$6,D341&lt;1,D341&gt;12),"Periode prüfen",IF(D341&lt;=Steuerung!$F$8,"IST gesperrt",IF(OR(E341="",F341="",COUNT(G341:I341)&lt;&gt;3),"Angaben fehlen","Wirksam"))))</f>
        <v/>
      </c>
      <c r="L341">
        <f>IF(K341="Wirksam",SUM(G341:H341)-I341,IF(K341="","","n.a."))</f>
        <v/>
      </c>
    </row>
    <row r="342">
      <c r="K342">
        <f>IF(COUNTA(C342:J342)=0,"",IF(OR(C342&lt;&gt;Steuerung!$F$6,D342&lt;1,D342&gt;12),"Periode prüfen",IF(D342&lt;=Steuerung!$F$8,"IST gesperrt",IF(OR(E342="",F342="",COUNT(G342:I342)&lt;&gt;3),"Angaben fehlen","Wirksam"))))</f>
        <v/>
      </c>
      <c r="L342">
        <f>IF(K342="Wirksam",SUM(G342:H342)-I342,IF(K342="","","n.a."))</f>
        <v/>
      </c>
    </row>
    <row r="343">
      <c r="K343">
        <f>IF(COUNTA(C343:J343)=0,"",IF(OR(C343&lt;&gt;Steuerung!$F$6,D343&lt;1,D343&gt;12),"Periode prüfen",IF(D343&lt;=Steuerung!$F$8,"IST gesperrt",IF(OR(E343="",F343="",COUNT(G343:I343)&lt;&gt;3),"Angaben fehlen","Wirksam"))))</f>
        <v/>
      </c>
      <c r="L343">
        <f>IF(K343="Wirksam",SUM(G343:H343)-I343,IF(K343="","","n.a."))</f>
        <v/>
      </c>
    </row>
    <row r="344">
      <c r="K344">
        <f>IF(COUNTA(C344:J344)=0,"",IF(OR(C344&lt;&gt;Steuerung!$F$6,D344&lt;1,D344&gt;12),"Periode prüfen",IF(D344&lt;=Steuerung!$F$8,"IST gesperrt",IF(OR(E344="",F344="",COUNT(G344:I344)&lt;&gt;3),"Angaben fehlen","Wirksam"))))</f>
        <v/>
      </c>
      <c r="L344">
        <f>IF(K344="Wirksam",SUM(G344:H344)-I344,IF(K344="","","n.a."))</f>
        <v/>
      </c>
    </row>
    <row r="345">
      <c r="K345">
        <f>IF(COUNTA(C345:J345)=0,"",IF(OR(C345&lt;&gt;Steuerung!$F$6,D345&lt;1,D345&gt;12),"Periode prüfen",IF(D345&lt;=Steuerung!$F$8,"IST gesperrt",IF(OR(E345="",F345="",COUNT(G345:I345)&lt;&gt;3),"Angaben fehlen","Wirksam"))))</f>
        <v/>
      </c>
      <c r="L345">
        <f>IF(K345="Wirksam",SUM(G345:H345)-I345,IF(K345="","","n.a."))</f>
        <v/>
      </c>
    </row>
    <row r="346">
      <c r="K346">
        <f>IF(COUNTA(C346:J346)=0,"",IF(OR(C346&lt;&gt;Steuerung!$F$6,D346&lt;1,D346&gt;12),"Periode prüfen",IF(D346&lt;=Steuerung!$F$8,"IST gesperrt",IF(OR(E346="",F346="",COUNT(G346:I346)&lt;&gt;3),"Angaben fehlen","Wirksam"))))</f>
        <v/>
      </c>
      <c r="L346">
        <f>IF(K346="Wirksam",SUM(G346:H346)-I346,IF(K346="","","n.a."))</f>
        <v/>
      </c>
    </row>
    <row r="347">
      <c r="K347">
        <f>IF(COUNTA(C347:J347)=0,"",IF(OR(C347&lt;&gt;Steuerung!$F$6,D347&lt;1,D347&gt;12),"Periode prüfen",IF(D347&lt;=Steuerung!$F$8,"IST gesperrt",IF(OR(E347="",F347="",COUNT(G347:I347)&lt;&gt;3),"Angaben fehlen","Wirksam"))))</f>
        <v/>
      </c>
      <c r="L347">
        <f>IF(K347="Wirksam",SUM(G347:H347)-I347,IF(K347="","","n.a."))</f>
        <v/>
      </c>
    </row>
    <row r="348">
      <c r="K348">
        <f>IF(COUNTA(C348:J348)=0,"",IF(OR(C348&lt;&gt;Steuerung!$F$6,D348&lt;1,D348&gt;12),"Periode prüfen",IF(D348&lt;=Steuerung!$F$8,"IST gesperrt",IF(OR(E348="",F348="",COUNT(G348:I348)&lt;&gt;3),"Angaben fehlen","Wirksam"))))</f>
        <v/>
      </c>
      <c r="L348">
        <f>IF(K348="Wirksam",SUM(G348:H348)-I348,IF(K348="","","n.a."))</f>
        <v/>
      </c>
    </row>
    <row r="349">
      <c r="K349">
        <f>IF(COUNTA(C349:J349)=0,"",IF(OR(C349&lt;&gt;Steuerung!$F$6,D349&lt;1,D349&gt;12),"Periode prüfen",IF(D349&lt;=Steuerung!$F$8,"IST gesperrt",IF(OR(E349="",F349="",COUNT(G349:I349)&lt;&gt;3),"Angaben fehlen","Wirksam"))))</f>
        <v/>
      </c>
      <c r="L349">
        <f>IF(K349="Wirksam",SUM(G349:H349)-I349,IF(K349="","","n.a."))</f>
        <v/>
      </c>
    </row>
    <row r="350">
      <c r="K350">
        <f>IF(COUNTA(C350:J350)=0,"",IF(OR(C350&lt;&gt;Steuerung!$F$6,D350&lt;1,D350&gt;12),"Periode prüfen",IF(D350&lt;=Steuerung!$F$8,"IST gesperrt",IF(OR(E350="",F350="",COUNT(G350:I350)&lt;&gt;3),"Angaben fehlen","Wirksam"))))</f>
        <v/>
      </c>
      <c r="L350">
        <f>IF(K350="Wirksam",SUM(G350:H350)-I350,IF(K350="","","n.a."))</f>
        <v/>
      </c>
    </row>
    <row r="351">
      <c r="K351">
        <f>IF(COUNTA(C351:J351)=0,"",IF(OR(C351&lt;&gt;Steuerung!$F$6,D351&lt;1,D351&gt;12),"Periode prüfen",IF(D351&lt;=Steuerung!$F$8,"IST gesperrt",IF(OR(E351="",F351="",COUNT(G351:I351)&lt;&gt;3),"Angaben fehlen","Wirksam"))))</f>
        <v/>
      </c>
      <c r="L351">
        <f>IF(K351="Wirksam",SUM(G351:H351)-I351,IF(K351="","","n.a."))</f>
        <v/>
      </c>
    </row>
    <row r="352">
      <c r="K352">
        <f>IF(COUNTA(C352:J352)=0,"",IF(OR(C352&lt;&gt;Steuerung!$F$6,D352&lt;1,D352&gt;12),"Periode prüfen",IF(D352&lt;=Steuerung!$F$8,"IST gesperrt",IF(OR(E352="",F352="",COUNT(G352:I352)&lt;&gt;3),"Angaben fehlen","Wirksam"))))</f>
        <v/>
      </c>
      <c r="L352">
        <f>IF(K352="Wirksam",SUM(G352:H352)-I352,IF(K352="","","n.a."))</f>
        <v/>
      </c>
    </row>
    <row r="353">
      <c r="K353">
        <f>IF(COUNTA(C353:J353)=0,"",IF(OR(C353&lt;&gt;Steuerung!$F$6,D353&lt;1,D353&gt;12),"Periode prüfen",IF(D353&lt;=Steuerung!$F$8,"IST gesperrt",IF(OR(E353="",F353="",COUNT(G353:I353)&lt;&gt;3),"Angaben fehlen","Wirksam"))))</f>
        <v/>
      </c>
      <c r="L353">
        <f>IF(K353="Wirksam",SUM(G353:H353)-I353,IF(K353="","","n.a."))</f>
        <v/>
      </c>
    </row>
    <row r="354">
      <c r="K354">
        <f>IF(COUNTA(C354:J354)=0,"",IF(OR(C354&lt;&gt;Steuerung!$F$6,D354&lt;1,D354&gt;12),"Periode prüfen",IF(D354&lt;=Steuerung!$F$8,"IST gesperrt",IF(OR(E354="",F354="",COUNT(G354:I354)&lt;&gt;3),"Angaben fehlen","Wirksam"))))</f>
        <v/>
      </c>
      <c r="L354">
        <f>IF(K354="Wirksam",SUM(G354:H354)-I354,IF(K354="","","n.a."))</f>
        <v/>
      </c>
    </row>
    <row r="355">
      <c r="K355">
        <f>IF(COUNTA(C355:J355)=0,"",IF(OR(C355&lt;&gt;Steuerung!$F$6,D355&lt;1,D355&gt;12),"Periode prüfen",IF(D355&lt;=Steuerung!$F$8,"IST gesperrt",IF(OR(E355="",F355="",COUNT(G355:I355)&lt;&gt;3),"Angaben fehlen","Wirksam"))))</f>
        <v/>
      </c>
      <c r="L355">
        <f>IF(K355="Wirksam",SUM(G355:H355)-I355,IF(K355="","","n.a."))</f>
        <v/>
      </c>
    </row>
    <row r="356">
      <c r="K356">
        <f>IF(COUNTA(C356:J356)=0,"",IF(OR(C356&lt;&gt;Steuerung!$F$6,D356&lt;1,D356&gt;12),"Periode prüfen",IF(D356&lt;=Steuerung!$F$8,"IST gesperrt",IF(OR(E356="",F356="",COUNT(G356:I356)&lt;&gt;3),"Angaben fehlen","Wirksam"))))</f>
        <v/>
      </c>
      <c r="L356">
        <f>IF(K356="Wirksam",SUM(G356:H356)-I356,IF(K356="","","n.a."))</f>
        <v/>
      </c>
    </row>
    <row r="357">
      <c r="K357">
        <f>IF(COUNTA(C357:J357)=0,"",IF(OR(C357&lt;&gt;Steuerung!$F$6,D357&lt;1,D357&gt;12),"Periode prüfen",IF(D357&lt;=Steuerung!$F$8,"IST gesperrt",IF(OR(E357="",F357="",COUNT(G357:I357)&lt;&gt;3),"Angaben fehlen","Wirksam"))))</f>
        <v/>
      </c>
      <c r="L357">
        <f>IF(K357="Wirksam",SUM(G357:H357)-I357,IF(K357="","","n.a."))</f>
        <v/>
      </c>
    </row>
    <row r="358">
      <c r="K358">
        <f>IF(COUNTA(C358:J358)=0,"",IF(OR(C358&lt;&gt;Steuerung!$F$6,D358&lt;1,D358&gt;12),"Periode prüfen",IF(D358&lt;=Steuerung!$F$8,"IST gesperrt",IF(OR(E358="",F358="",COUNT(G358:I358)&lt;&gt;3),"Angaben fehlen","Wirksam"))))</f>
        <v/>
      </c>
      <c r="L358">
        <f>IF(K358="Wirksam",SUM(G358:H358)-I358,IF(K358="","","n.a."))</f>
        <v/>
      </c>
    </row>
    <row r="359">
      <c r="K359">
        <f>IF(COUNTA(C359:J359)=0,"",IF(OR(C359&lt;&gt;Steuerung!$F$6,D359&lt;1,D359&gt;12),"Periode prüfen",IF(D359&lt;=Steuerung!$F$8,"IST gesperrt",IF(OR(E359="",F359="",COUNT(G359:I359)&lt;&gt;3),"Angaben fehlen","Wirksam"))))</f>
        <v/>
      </c>
      <c r="L359">
        <f>IF(K359="Wirksam",SUM(G359:H359)-I359,IF(K359="","","n.a."))</f>
        <v/>
      </c>
    </row>
    <row r="360">
      <c r="K360">
        <f>IF(COUNTA(C360:J360)=0,"",IF(OR(C360&lt;&gt;Steuerung!$F$6,D360&lt;1,D360&gt;12),"Periode prüfen",IF(D360&lt;=Steuerung!$F$8,"IST gesperrt",IF(OR(E360="",F360="",COUNT(G360:I360)&lt;&gt;3),"Angaben fehlen","Wirksam"))))</f>
        <v/>
      </c>
      <c r="L360">
        <f>IF(K360="Wirksam",SUM(G360:H360)-I360,IF(K360="","","n.a."))</f>
        <v/>
      </c>
    </row>
    <row r="361">
      <c r="K361">
        <f>IF(COUNTA(C361:J361)=0,"",IF(OR(C361&lt;&gt;Steuerung!$F$6,D361&lt;1,D361&gt;12),"Periode prüfen",IF(D361&lt;=Steuerung!$F$8,"IST gesperrt",IF(OR(E361="",F361="",COUNT(G361:I361)&lt;&gt;3),"Angaben fehlen","Wirksam"))))</f>
        <v/>
      </c>
      <c r="L361">
        <f>IF(K361="Wirksam",SUM(G361:H361)-I361,IF(K361="","","n.a."))</f>
        <v/>
      </c>
    </row>
    <row r="362">
      <c r="K362">
        <f>IF(COUNTA(C362:J362)=0,"",IF(OR(C362&lt;&gt;Steuerung!$F$6,D362&lt;1,D362&gt;12),"Periode prüfen",IF(D362&lt;=Steuerung!$F$8,"IST gesperrt",IF(OR(E362="",F362="",COUNT(G362:I362)&lt;&gt;3),"Angaben fehlen","Wirksam"))))</f>
        <v/>
      </c>
      <c r="L362">
        <f>IF(K362="Wirksam",SUM(G362:H362)-I362,IF(K362="","","n.a."))</f>
        <v/>
      </c>
    </row>
    <row r="363">
      <c r="K363">
        <f>IF(COUNTA(C363:J363)=0,"",IF(OR(C363&lt;&gt;Steuerung!$F$6,D363&lt;1,D363&gt;12),"Periode prüfen",IF(D363&lt;=Steuerung!$F$8,"IST gesperrt",IF(OR(E363="",F363="",COUNT(G363:I363)&lt;&gt;3),"Angaben fehlen","Wirksam"))))</f>
        <v/>
      </c>
      <c r="L363">
        <f>IF(K363="Wirksam",SUM(G363:H363)-I363,IF(K363="","","n.a."))</f>
        <v/>
      </c>
    </row>
    <row r="364">
      <c r="K364">
        <f>IF(COUNTA(C364:J364)=0,"",IF(OR(C364&lt;&gt;Steuerung!$F$6,D364&lt;1,D364&gt;12),"Periode prüfen",IF(D364&lt;=Steuerung!$F$8,"IST gesperrt",IF(OR(E364="",F364="",COUNT(G364:I364)&lt;&gt;3),"Angaben fehlen","Wirksam"))))</f>
        <v/>
      </c>
      <c r="L364">
        <f>IF(K364="Wirksam",SUM(G364:H364)-I364,IF(K364="","","n.a."))</f>
        <v/>
      </c>
    </row>
    <row r="365">
      <c r="K365">
        <f>IF(COUNTA(C365:J365)=0,"",IF(OR(C365&lt;&gt;Steuerung!$F$6,D365&lt;1,D365&gt;12),"Periode prüfen",IF(D365&lt;=Steuerung!$F$8,"IST gesperrt",IF(OR(E365="",F365="",COUNT(G365:I365)&lt;&gt;3),"Angaben fehlen","Wirksam"))))</f>
        <v/>
      </c>
      <c r="L365">
        <f>IF(K365="Wirksam",SUM(G365:H365)-I365,IF(K365="","","n.a."))</f>
        <v/>
      </c>
    </row>
    <row r="366">
      <c r="K366">
        <f>IF(COUNTA(C366:J366)=0,"",IF(OR(C366&lt;&gt;Steuerung!$F$6,D366&lt;1,D366&gt;12),"Periode prüfen",IF(D366&lt;=Steuerung!$F$8,"IST gesperrt",IF(OR(E366="",F366="",COUNT(G366:I366)&lt;&gt;3),"Angaben fehlen","Wirksam"))))</f>
        <v/>
      </c>
      <c r="L366">
        <f>IF(K366="Wirksam",SUM(G366:H366)-I366,IF(K366="","","n.a."))</f>
        <v/>
      </c>
    </row>
    <row r="367">
      <c r="K367">
        <f>IF(COUNTA(C367:J367)=0,"",IF(OR(C367&lt;&gt;Steuerung!$F$6,D367&lt;1,D367&gt;12),"Periode prüfen",IF(D367&lt;=Steuerung!$F$8,"IST gesperrt",IF(OR(E367="",F367="",COUNT(G367:I367)&lt;&gt;3),"Angaben fehlen","Wirksam"))))</f>
        <v/>
      </c>
      <c r="L367">
        <f>IF(K367="Wirksam",SUM(G367:H367)-I367,IF(K367="","","n.a."))</f>
        <v/>
      </c>
    </row>
    <row r="368">
      <c r="K368">
        <f>IF(COUNTA(C368:J368)=0,"",IF(OR(C368&lt;&gt;Steuerung!$F$6,D368&lt;1,D368&gt;12),"Periode prüfen",IF(D368&lt;=Steuerung!$F$8,"IST gesperrt",IF(OR(E368="",F368="",COUNT(G368:I368)&lt;&gt;3),"Angaben fehlen","Wirksam"))))</f>
        <v/>
      </c>
      <c r="L368">
        <f>IF(K368="Wirksam",SUM(G368:H368)-I368,IF(K368="","","n.a."))</f>
        <v/>
      </c>
    </row>
    <row r="369">
      <c r="K369">
        <f>IF(COUNTA(C369:J369)=0,"",IF(OR(C369&lt;&gt;Steuerung!$F$6,D369&lt;1,D369&gt;12),"Periode prüfen",IF(D369&lt;=Steuerung!$F$8,"IST gesperrt",IF(OR(E369="",F369="",COUNT(G369:I369)&lt;&gt;3),"Angaben fehlen","Wirksam"))))</f>
        <v/>
      </c>
      <c r="L369">
        <f>IF(K369="Wirksam",SUM(G369:H369)-I369,IF(K369="","","n.a."))</f>
        <v/>
      </c>
    </row>
    <row r="370">
      <c r="K370">
        <f>IF(COUNTA(C370:J370)=0,"",IF(OR(C370&lt;&gt;Steuerung!$F$6,D370&lt;1,D370&gt;12),"Periode prüfen",IF(D370&lt;=Steuerung!$F$8,"IST gesperrt",IF(OR(E370="",F370="",COUNT(G370:I370)&lt;&gt;3),"Angaben fehlen","Wirksam"))))</f>
        <v/>
      </c>
      <c r="L370">
        <f>IF(K370="Wirksam",SUM(G370:H370)-I370,IF(K370="","","n.a."))</f>
        <v/>
      </c>
    </row>
    <row r="371">
      <c r="K371">
        <f>IF(COUNTA(C371:J371)=0,"",IF(OR(C371&lt;&gt;Steuerung!$F$6,D371&lt;1,D371&gt;12),"Periode prüfen",IF(D371&lt;=Steuerung!$F$8,"IST gesperrt",IF(OR(E371="",F371="",COUNT(G371:I371)&lt;&gt;3),"Angaben fehlen","Wirksam"))))</f>
        <v/>
      </c>
      <c r="L371">
        <f>IF(K371="Wirksam",SUM(G371:H371)-I371,IF(K371="","","n.a."))</f>
        <v/>
      </c>
    </row>
    <row r="372">
      <c r="K372">
        <f>IF(COUNTA(C372:J372)=0,"",IF(OR(C372&lt;&gt;Steuerung!$F$6,D372&lt;1,D372&gt;12),"Periode prüfen",IF(D372&lt;=Steuerung!$F$8,"IST gesperrt",IF(OR(E372="",F372="",COUNT(G372:I372)&lt;&gt;3),"Angaben fehlen","Wirksam"))))</f>
        <v/>
      </c>
      <c r="L372">
        <f>IF(K372="Wirksam",SUM(G372:H372)-I372,IF(K372="","","n.a."))</f>
        <v/>
      </c>
    </row>
    <row r="373">
      <c r="K373">
        <f>IF(COUNTA(C373:J373)=0,"",IF(OR(C373&lt;&gt;Steuerung!$F$6,D373&lt;1,D373&gt;12),"Periode prüfen",IF(D373&lt;=Steuerung!$F$8,"IST gesperrt",IF(OR(E373="",F373="",COUNT(G373:I373)&lt;&gt;3),"Angaben fehlen","Wirksam"))))</f>
        <v/>
      </c>
      <c r="L373">
        <f>IF(K373="Wirksam",SUM(G373:H373)-I373,IF(K373="","","n.a."))</f>
        <v/>
      </c>
    </row>
    <row r="374">
      <c r="K374">
        <f>IF(COUNTA(C374:J374)=0,"",IF(OR(C374&lt;&gt;Steuerung!$F$6,D374&lt;1,D374&gt;12),"Periode prüfen",IF(D374&lt;=Steuerung!$F$8,"IST gesperrt",IF(OR(E374="",F374="",COUNT(G374:I374)&lt;&gt;3),"Angaben fehlen","Wirksam"))))</f>
        <v/>
      </c>
      <c r="L374">
        <f>IF(K374="Wirksam",SUM(G374:H374)-I374,IF(K374="","","n.a."))</f>
        <v/>
      </c>
    </row>
    <row r="375">
      <c r="K375">
        <f>IF(COUNTA(C375:J375)=0,"",IF(OR(C375&lt;&gt;Steuerung!$F$6,D375&lt;1,D375&gt;12),"Periode prüfen",IF(D375&lt;=Steuerung!$F$8,"IST gesperrt",IF(OR(E375="",F375="",COUNT(G375:I375)&lt;&gt;3),"Angaben fehlen","Wirksam"))))</f>
        <v/>
      </c>
      <c r="L375">
        <f>IF(K375="Wirksam",SUM(G375:H375)-I375,IF(K375="","","n.a."))</f>
        <v/>
      </c>
    </row>
    <row r="376">
      <c r="K376">
        <f>IF(COUNTA(C376:J376)=0,"",IF(OR(C376&lt;&gt;Steuerung!$F$6,D376&lt;1,D376&gt;12),"Periode prüfen",IF(D376&lt;=Steuerung!$F$8,"IST gesperrt",IF(OR(E376="",F376="",COUNT(G376:I376)&lt;&gt;3),"Angaben fehlen","Wirksam"))))</f>
        <v/>
      </c>
      <c r="L376">
        <f>IF(K376="Wirksam",SUM(G376:H376)-I376,IF(K376="","","n.a."))</f>
        <v/>
      </c>
    </row>
    <row r="377">
      <c r="K377">
        <f>IF(COUNTA(C377:J377)=0,"",IF(OR(C377&lt;&gt;Steuerung!$F$6,D377&lt;1,D377&gt;12),"Periode prüfen",IF(D377&lt;=Steuerung!$F$8,"IST gesperrt",IF(OR(E377="",F377="",COUNT(G377:I377)&lt;&gt;3),"Angaben fehlen","Wirksam"))))</f>
        <v/>
      </c>
      <c r="L377">
        <f>IF(K377="Wirksam",SUM(G377:H377)-I377,IF(K377="","","n.a."))</f>
        <v/>
      </c>
    </row>
    <row r="378">
      <c r="K378">
        <f>IF(COUNTA(C378:J378)=0,"",IF(OR(C378&lt;&gt;Steuerung!$F$6,D378&lt;1,D378&gt;12),"Periode prüfen",IF(D378&lt;=Steuerung!$F$8,"IST gesperrt",IF(OR(E378="",F378="",COUNT(G378:I378)&lt;&gt;3),"Angaben fehlen","Wirksam"))))</f>
        <v/>
      </c>
      <c r="L378">
        <f>IF(K378="Wirksam",SUM(G378:H378)-I378,IF(K378="","","n.a."))</f>
        <v/>
      </c>
    </row>
    <row r="379">
      <c r="K379">
        <f>IF(COUNTA(C379:J379)=0,"",IF(OR(C379&lt;&gt;Steuerung!$F$6,D379&lt;1,D379&gt;12),"Periode prüfen",IF(D379&lt;=Steuerung!$F$8,"IST gesperrt",IF(OR(E379="",F379="",COUNT(G379:I379)&lt;&gt;3),"Angaben fehlen","Wirksam"))))</f>
        <v/>
      </c>
      <c r="L379">
        <f>IF(K379="Wirksam",SUM(G379:H379)-I379,IF(K379="","","n.a."))</f>
        <v/>
      </c>
    </row>
    <row r="380">
      <c r="K380">
        <f>IF(COUNTA(C380:J380)=0,"",IF(OR(C380&lt;&gt;Steuerung!$F$6,D380&lt;1,D380&gt;12),"Periode prüfen",IF(D380&lt;=Steuerung!$F$8,"IST gesperrt",IF(OR(E380="",F380="",COUNT(G380:I380)&lt;&gt;3),"Angaben fehlen","Wirksam"))))</f>
        <v/>
      </c>
      <c r="L380">
        <f>IF(K380="Wirksam",SUM(G380:H380)-I380,IF(K380="","","n.a."))</f>
        <v/>
      </c>
    </row>
    <row r="381">
      <c r="K381">
        <f>IF(COUNTA(C381:J381)=0,"",IF(OR(C381&lt;&gt;Steuerung!$F$6,D381&lt;1,D381&gt;12),"Periode prüfen",IF(D381&lt;=Steuerung!$F$8,"IST gesperrt",IF(OR(E381="",F381="",COUNT(G381:I381)&lt;&gt;3),"Angaben fehlen","Wirksam"))))</f>
        <v/>
      </c>
      <c r="L381">
        <f>IF(K381="Wirksam",SUM(G381:H381)-I381,IF(K381="","","n.a."))</f>
        <v/>
      </c>
    </row>
    <row r="382">
      <c r="K382">
        <f>IF(COUNTA(C382:J382)=0,"",IF(OR(C382&lt;&gt;Steuerung!$F$6,D382&lt;1,D382&gt;12),"Periode prüfen",IF(D382&lt;=Steuerung!$F$8,"IST gesperrt",IF(OR(E382="",F382="",COUNT(G382:I382)&lt;&gt;3),"Angaben fehlen","Wirksam"))))</f>
        <v/>
      </c>
      <c r="L382">
        <f>IF(K382="Wirksam",SUM(G382:H382)-I382,IF(K382="","","n.a."))</f>
        <v/>
      </c>
    </row>
    <row r="383">
      <c r="K383">
        <f>IF(COUNTA(C383:J383)=0,"",IF(OR(C383&lt;&gt;Steuerung!$F$6,D383&lt;1,D383&gt;12),"Periode prüfen",IF(D383&lt;=Steuerung!$F$8,"IST gesperrt",IF(OR(E383="",F383="",COUNT(G383:I383)&lt;&gt;3),"Angaben fehlen","Wirksam"))))</f>
        <v/>
      </c>
      <c r="L383">
        <f>IF(K383="Wirksam",SUM(G383:H383)-I383,IF(K383="","","n.a."))</f>
        <v/>
      </c>
    </row>
    <row r="384">
      <c r="K384">
        <f>IF(COUNTA(C384:J384)=0,"",IF(OR(C384&lt;&gt;Steuerung!$F$6,D384&lt;1,D384&gt;12),"Periode prüfen",IF(D384&lt;=Steuerung!$F$8,"IST gesperrt",IF(OR(E384="",F384="",COUNT(G384:I384)&lt;&gt;3),"Angaben fehlen","Wirksam"))))</f>
        <v/>
      </c>
      <c r="L384">
        <f>IF(K384="Wirksam",SUM(G384:H384)-I384,IF(K384="","","n.a."))</f>
        <v/>
      </c>
    </row>
    <row r="385">
      <c r="K385">
        <f>IF(COUNTA(C385:J385)=0,"",IF(OR(C385&lt;&gt;Steuerung!$F$6,D385&lt;1,D385&gt;12),"Periode prüfen",IF(D385&lt;=Steuerung!$F$8,"IST gesperrt",IF(OR(E385="",F385="",COUNT(G385:I385)&lt;&gt;3),"Angaben fehlen","Wirksam"))))</f>
        <v/>
      </c>
      <c r="L385">
        <f>IF(K385="Wirksam",SUM(G385:H385)-I385,IF(K385="","","n.a."))</f>
        <v/>
      </c>
    </row>
    <row r="386">
      <c r="K386">
        <f>IF(COUNTA(C386:J386)=0,"",IF(OR(C386&lt;&gt;Steuerung!$F$6,D386&lt;1,D386&gt;12),"Periode prüfen",IF(D386&lt;=Steuerung!$F$8,"IST gesperrt",IF(OR(E386="",F386="",COUNT(G386:I386)&lt;&gt;3),"Angaben fehlen","Wirksam"))))</f>
        <v/>
      </c>
      <c r="L386">
        <f>IF(K386="Wirksam",SUM(G386:H386)-I386,IF(K386="","","n.a."))</f>
        <v/>
      </c>
    </row>
    <row r="387">
      <c r="K387">
        <f>IF(COUNTA(C387:J387)=0,"",IF(OR(C387&lt;&gt;Steuerung!$F$6,D387&lt;1,D387&gt;12),"Periode prüfen",IF(D387&lt;=Steuerung!$F$8,"IST gesperrt",IF(OR(E387="",F387="",COUNT(G387:I387)&lt;&gt;3),"Angaben fehlen","Wirksam"))))</f>
        <v/>
      </c>
      <c r="L387">
        <f>IF(K387="Wirksam",SUM(G387:H387)-I387,IF(K387="","","n.a."))</f>
        <v/>
      </c>
    </row>
    <row r="388">
      <c r="K388">
        <f>IF(COUNTA(C388:J388)=0,"",IF(OR(C388&lt;&gt;Steuerung!$F$6,D388&lt;1,D388&gt;12),"Periode prüfen",IF(D388&lt;=Steuerung!$F$8,"IST gesperrt",IF(OR(E388="",F388="",COUNT(G388:I388)&lt;&gt;3),"Angaben fehlen","Wirksam"))))</f>
        <v/>
      </c>
      <c r="L388">
        <f>IF(K388="Wirksam",SUM(G388:H388)-I388,IF(K388="","","n.a."))</f>
        <v/>
      </c>
    </row>
    <row r="389">
      <c r="K389">
        <f>IF(COUNTA(C389:J389)=0,"",IF(OR(C389&lt;&gt;Steuerung!$F$6,D389&lt;1,D389&gt;12),"Periode prüfen",IF(D389&lt;=Steuerung!$F$8,"IST gesperrt",IF(OR(E389="",F389="",COUNT(G389:I389)&lt;&gt;3),"Angaben fehlen","Wirksam"))))</f>
        <v/>
      </c>
      <c r="L389">
        <f>IF(K389="Wirksam",SUM(G389:H389)-I389,IF(K389="","","n.a."))</f>
        <v/>
      </c>
    </row>
    <row r="390">
      <c r="K390">
        <f>IF(COUNTA(C390:J390)=0,"",IF(OR(C390&lt;&gt;Steuerung!$F$6,D390&lt;1,D390&gt;12),"Periode prüfen",IF(D390&lt;=Steuerung!$F$8,"IST gesperrt",IF(OR(E390="",F390="",COUNT(G390:I390)&lt;&gt;3),"Angaben fehlen","Wirksam"))))</f>
        <v/>
      </c>
      <c r="L390">
        <f>IF(K390="Wirksam",SUM(G390:H390)-I390,IF(K390="","","n.a."))</f>
        <v/>
      </c>
    </row>
    <row r="391">
      <c r="K391">
        <f>IF(COUNTA(C391:J391)=0,"",IF(OR(C391&lt;&gt;Steuerung!$F$6,D391&lt;1,D391&gt;12),"Periode prüfen",IF(D391&lt;=Steuerung!$F$8,"IST gesperrt",IF(OR(E391="",F391="",COUNT(G391:I391)&lt;&gt;3),"Angaben fehlen","Wirksam"))))</f>
        <v/>
      </c>
      <c r="L391">
        <f>IF(K391="Wirksam",SUM(G391:H391)-I391,IF(K391="","","n.a."))</f>
        <v/>
      </c>
    </row>
    <row r="392">
      <c r="K392">
        <f>IF(COUNTA(C392:J392)=0,"",IF(OR(C392&lt;&gt;Steuerung!$F$6,D392&lt;1,D392&gt;12),"Periode prüfen",IF(D392&lt;=Steuerung!$F$8,"IST gesperrt",IF(OR(E392="",F392="",COUNT(G392:I392)&lt;&gt;3),"Angaben fehlen","Wirksam"))))</f>
        <v/>
      </c>
      <c r="L392">
        <f>IF(K392="Wirksam",SUM(G392:H392)-I392,IF(K392="","","n.a."))</f>
        <v/>
      </c>
    </row>
    <row r="393">
      <c r="K393">
        <f>IF(COUNTA(C393:J393)=0,"",IF(OR(C393&lt;&gt;Steuerung!$F$6,D393&lt;1,D393&gt;12),"Periode prüfen",IF(D393&lt;=Steuerung!$F$8,"IST gesperrt",IF(OR(E393="",F393="",COUNT(G393:I393)&lt;&gt;3),"Angaben fehlen","Wirksam"))))</f>
        <v/>
      </c>
      <c r="L393">
        <f>IF(K393="Wirksam",SUM(G393:H393)-I393,IF(K393="","","n.a."))</f>
        <v/>
      </c>
    </row>
    <row r="394">
      <c r="K394">
        <f>IF(COUNTA(C394:J394)=0,"",IF(OR(C394&lt;&gt;Steuerung!$F$6,D394&lt;1,D394&gt;12),"Periode prüfen",IF(D394&lt;=Steuerung!$F$8,"IST gesperrt",IF(OR(E394="",F394="",COUNT(G394:I394)&lt;&gt;3),"Angaben fehlen","Wirksam"))))</f>
        <v/>
      </c>
      <c r="L394">
        <f>IF(K394="Wirksam",SUM(G394:H394)-I394,IF(K394="","","n.a."))</f>
        <v/>
      </c>
    </row>
    <row r="395">
      <c r="K395">
        <f>IF(COUNTA(C395:J395)=0,"",IF(OR(C395&lt;&gt;Steuerung!$F$6,D395&lt;1,D395&gt;12),"Periode prüfen",IF(D395&lt;=Steuerung!$F$8,"IST gesperrt",IF(OR(E395="",F395="",COUNT(G395:I395)&lt;&gt;3),"Angaben fehlen","Wirksam"))))</f>
        <v/>
      </c>
      <c r="L395">
        <f>IF(K395="Wirksam",SUM(G395:H395)-I395,IF(K395="","","n.a."))</f>
        <v/>
      </c>
    </row>
    <row r="396">
      <c r="K396">
        <f>IF(COUNTA(C396:J396)=0,"",IF(OR(C396&lt;&gt;Steuerung!$F$6,D396&lt;1,D396&gt;12),"Periode prüfen",IF(D396&lt;=Steuerung!$F$8,"IST gesperrt",IF(OR(E396="",F396="",COUNT(G396:I396)&lt;&gt;3),"Angaben fehlen","Wirksam"))))</f>
        <v/>
      </c>
      <c r="L396">
        <f>IF(K396="Wirksam",SUM(G396:H396)-I396,IF(K396="","","n.a."))</f>
        <v/>
      </c>
    </row>
    <row r="397">
      <c r="K397">
        <f>IF(COUNTA(C397:J397)=0,"",IF(OR(C397&lt;&gt;Steuerung!$F$6,D397&lt;1,D397&gt;12),"Periode prüfen",IF(D397&lt;=Steuerung!$F$8,"IST gesperrt",IF(OR(E397="",F397="",COUNT(G397:I397)&lt;&gt;3),"Angaben fehlen","Wirksam"))))</f>
        <v/>
      </c>
      <c r="L397">
        <f>IF(K397="Wirksam",SUM(G397:H397)-I397,IF(K397="","","n.a."))</f>
        <v/>
      </c>
    </row>
    <row r="398">
      <c r="K398">
        <f>IF(COUNTA(C398:J398)=0,"",IF(OR(C398&lt;&gt;Steuerung!$F$6,D398&lt;1,D398&gt;12),"Periode prüfen",IF(D398&lt;=Steuerung!$F$8,"IST gesperrt",IF(OR(E398="",F398="",COUNT(G398:I398)&lt;&gt;3),"Angaben fehlen","Wirksam"))))</f>
        <v/>
      </c>
      <c r="L398">
        <f>IF(K398="Wirksam",SUM(G398:H398)-I398,IF(K398="","","n.a."))</f>
        <v/>
      </c>
    </row>
    <row r="399">
      <c r="K399">
        <f>IF(COUNTA(C399:J399)=0,"",IF(OR(C399&lt;&gt;Steuerung!$F$6,D399&lt;1,D399&gt;12),"Periode prüfen",IF(D399&lt;=Steuerung!$F$8,"IST gesperrt",IF(OR(E399="",F399="",COUNT(G399:I399)&lt;&gt;3),"Angaben fehlen","Wirksam"))))</f>
        <v/>
      </c>
      <c r="L399">
        <f>IF(K399="Wirksam",SUM(G399:H399)-I399,IF(K399="","","n.a."))</f>
        <v/>
      </c>
    </row>
    <row r="400">
      <c r="K400">
        <f>IF(COUNTA(C400:J400)=0,"",IF(OR(C400&lt;&gt;Steuerung!$F$6,D400&lt;1,D400&gt;12),"Periode prüfen",IF(D400&lt;=Steuerung!$F$8,"IST gesperrt",IF(OR(E400="",F400="",COUNT(G400:I400)&lt;&gt;3),"Angaben fehlen","Wirksam"))))</f>
        <v/>
      </c>
      <c r="L400">
        <f>IF(K400="Wirksam",SUM(G400:H400)-I400,IF(K400="","","n.a."))</f>
        <v/>
      </c>
    </row>
    <row r="401">
      <c r="K401">
        <f>IF(COUNTA(C401:J401)=0,"",IF(OR(C401&lt;&gt;Steuerung!$F$6,D401&lt;1,D401&gt;12),"Periode prüfen",IF(D401&lt;=Steuerung!$F$8,"IST gesperrt",IF(OR(E401="",F401="",COUNT(G401:I401)&lt;&gt;3),"Angaben fehlen","Wirksam"))))</f>
        <v/>
      </c>
      <c r="L401">
        <f>IF(K401="Wirksam",SUM(G401:H401)-I401,IF(K401="","","n.a."))</f>
        <v/>
      </c>
    </row>
    <row r="402">
      <c r="K402">
        <f>IF(COUNTA(C402:J402)=0,"",IF(OR(C402&lt;&gt;Steuerung!$F$6,D402&lt;1,D402&gt;12),"Periode prüfen",IF(D402&lt;=Steuerung!$F$8,"IST gesperrt",IF(OR(E402="",F402="",COUNT(G402:I402)&lt;&gt;3),"Angaben fehlen","Wirksam"))))</f>
        <v/>
      </c>
      <c r="L402">
        <f>IF(K402="Wirksam",SUM(G402:H402)-I402,IF(K402="","","n.a."))</f>
        <v/>
      </c>
    </row>
    <row r="403">
      <c r="K403">
        <f>IF(COUNTA(C403:J403)=0,"",IF(OR(C403&lt;&gt;Steuerung!$F$6,D403&lt;1,D403&gt;12),"Periode prüfen",IF(D403&lt;=Steuerung!$F$8,"IST gesperrt",IF(OR(E403="",F403="",COUNT(G403:I403)&lt;&gt;3),"Angaben fehlen","Wirksam"))))</f>
        <v/>
      </c>
      <c r="L403">
        <f>IF(K403="Wirksam",SUM(G403:H403)-I403,IF(K403="","","n.a."))</f>
        <v/>
      </c>
    </row>
    <row r="404">
      <c r="K404">
        <f>IF(COUNTA(C404:J404)=0,"",IF(OR(C404&lt;&gt;Steuerung!$F$6,D404&lt;1,D404&gt;12),"Periode prüfen",IF(D404&lt;=Steuerung!$F$8,"IST gesperrt",IF(OR(E404="",F404="",COUNT(G404:I404)&lt;&gt;3),"Angaben fehlen","Wirksam"))))</f>
        <v/>
      </c>
      <c r="L404">
        <f>IF(K404="Wirksam",SUM(G404:H404)-I404,IF(K404="","","n.a."))</f>
        <v/>
      </c>
    </row>
    <row r="405">
      <c r="K405">
        <f>IF(COUNTA(C405:J405)=0,"",IF(OR(C405&lt;&gt;Steuerung!$F$6,D405&lt;1,D405&gt;12),"Periode prüfen",IF(D405&lt;=Steuerung!$F$8,"IST gesperrt",IF(OR(E405="",F405="",COUNT(G405:I405)&lt;&gt;3),"Angaben fehlen","Wirksam"))))</f>
        <v/>
      </c>
      <c r="L405">
        <f>IF(K405="Wirksam",SUM(G405:H405)-I405,IF(K405="","","n.a."))</f>
        <v/>
      </c>
    </row>
    <row r="406">
      <c r="K406">
        <f>IF(COUNTA(C406:J406)=0,"",IF(OR(C406&lt;&gt;Steuerung!$F$6,D406&lt;1,D406&gt;12),"Periode prüfen",IF(D406&lt;=Steuerung!$F$8,"IST gesperrt",IF(OR(E406="",F406="",COUNT(G406:I406)&lt;&gt;3),"Angaben fehlen","Wirksam"))))</f>
        <v/>
      </c>
      <c r="L406">
        <f>IF(K406="Wirksam",SUM(G406:H406)-I406,IF(K406="","","n.a."))</f>
        <v/>
      </c>
    </row>
    <row r="407">
      <c r="K407">
        <f>IF(COUNTA(C407:J407)=0,"",IF(OR(C407&lt;&gt;Steuerung!$F$6,D407&lt;1,D407&gt;12),"Periode prüfen",IF(D407&lt;=Steuerung!$F$8,"IST gesperrt",IF(OR(E407="",F407="",COUNT(G407:I407)&lt;&gt;3),"Angaben fehlen","Wirksam"))))</f>
        <v/>
      </c>
      <c r="L407">
        <f>IF(K407="Wirksam",SUM(G407:H407)-I407,IF(K407="","","n.a."))</f>
        <v/>
      </c>
    </row>
    <row r="408">
      <c r="K408">
        <f>IF(COUNTA(C408:J408)=0,"",IF(OR(C408&lt;&gt;Steuerung!$F$6,D408&lt;1,D408&gt;12),"Periode prüfen",IF(D408&lt;=Steuerung!$F$8,"IST gesperrt",IF(OR(E408="",F408="",COUNT(G408:I408)&lt;&gt;3),"Angaben fehlen","Wirksam"))))</f>
        <v/>
      </c>
      <c r="L408">
        <f>IF(K408="Wirksam",SUM(G408:H408)-I408,IF(K408="","","n.a."))</f>
        <v/>
      </c>
    </row>
    <row r="409">
      <c r="K409">
        <f>IF(COUNTA(C409:J409)=0,"",IF(OR(C409&lt;&gt;Steuerung!$F$6,D409&lt;1,D409&gt;12),"Periode prüfen",IF(D409&lt;=Steuerung!$F$8,"IST gesperrt",IF(OR(E409="",F409="",COUNT(G409:I409)&lt;&gt;3),"Angaben fehlen","Wirksam"))))</f>
        <v/>
      </c>
      <c r="L409">
        <f>IF(K409="Wirksam",SUM(G409:H409)-I409,IF(K409="","","n.a."))</f>
        <v/>
      </c>
    </row>
    <row r="410">
      <c r="K410">
        <f>IF(COUNTA(C410:J410)=0,"",IF(OR(C410&lt;&gt;Steuerung!$F$6,D410&lt;1,D410&gt;12),"Periode prüfen",IF(D410&lt;=Steuerung!$F$8,"IST gesperrt",IF(OR(E410="",F410="",COUNT(G410:I410)&lt;&gt;3),"Angaben fehlen","Wirksam"))))</f>
        <v/>
      </c>
      <c r="L410">
        <f>IF(K410="Wirksam",SUM(G410:H410)-I410,IF(K410="","","n.a."))</f>
        <v/>
      </c>
    </row>
    <row r="411">
      <c r="K411">
        <f>IF(COUNTA(C411:J411)=0,"",IF(OR(C411&lt;&gt;Steuerung!$F$6,D411&lt;1,D411&gt;12),"Periode prüfen",IF(D411&lt;=Steuerung!$F$8,"IST gesperrt",IF(OR(E411="",F411="",COUNT(G411:I411)&lt;&gt;3),"Angaben fehlen","Wirksam"))))</f>
        <v/>
      </c>
      <c r="L411">
        <f>IF(K411="Wirksam",SUM(G411:H411)-I411,IF(K411="","","n.a."))</f>
        <v/>
      </c>
    </row>
    <row r="412">
      <c r="K412">
        <f>IF(COUNTA(C412:J412)=0,"",IF(OR(C412&lt;&gt;Steuerung!$F$6,D412&lt;1,D412&gt;12),"Periode prüfen",IF(D412&lt;=Steuerung!$F$8,"IST gesperrt",IF(OR(E412="",F412="",COUNT(G412:I412)&lt;&gt;3),"Angaben fehlen","Wirksam"))))</f>
        <v/>
      </c>
      <c r="L412">
        <f>IF(K412="Wirksam",SUM(G412:H412)-I412,IF(K412="","","n.a."))</f>
        <v/>
      </c>
    </row>
    <row r="413">
      <c r="K413">
        <f>IF(COUNTA(C413:J413)=0,"",IF(OR(C413&lt;&gt;Steuerung!$F$6,D413&lt;1,D413&gt;12),"Periode prüfen",IF(D413&lt;=Steuerung!$F$8,"IST gesperrt",IF(OR(E413="",F413="",COUNT(G413:I413)&lt;&gt;3),"Angaben fehlen","Wirksam"))))</f>
        <v/>
      </c>
      <c r="L413">
        <f>IF(K413="Wirksam",SUM(G413:H413)-I413,IF(K413="","","n.a."))</f>
        <v/>
      </c>
    </row>
    <row r="414">
      <c r="K414">
        <f>IF(COUNTA(C414:J414)=0,"",IF(OR(C414&lt;&gt;Steuerung!$F$6,D414&lt;1,D414&gt;12),"Periode prüfen",IF(D414&lt;=Steuerung!$F$8,"IST gesperrt",IF(OR(E414="",F414="",COUNT(G414:I414)&lt;&gt;3),"Angaben fehlen","Wirksam"))))</f>
        <v/>
      </c>
      <c r="L414">
        <f>IF(K414="Wirksam",SUM(G414:H414)-I414,IF(K414="","","n.a."))</f>
        <v/>
      </c>
    </row>
    <row r="415">
      <c r="K415">
        <f>IF(COUNTA(C415:J415)=0,"",IF(OR(C415&lt;&gt;Steuerung!$F$6,D415&lt;1,D415&gt;12),"Periode prüfen",IF(D415&lt;=Steuerung!$F$8,"IST gesperrt",IF(OR(E415="",F415="",COUNT(G415:I415)&lt;&gt;3),"Angaben fehlen","Wirksam"))))</f>
        <v/>
      </c>
      <c r="L415">
        <f>IF(K415="Wirksam",SUM(G415:H415)-I415,IF(K415="","","n.a."))</f>
        <v/>
      </c>
    </row>
    <row r="416">
      <c r="K416">
        <f>IF(COUNTA(C416:J416)=0,"",IF(OR(C416&lt;&gt;Steuerung!$F$6,D416&lt;1,D416&gt;12),"Periode prüfen",IF(D416&lt;=Steuerung!$F$8,"IST gesperrt",IF(OR(E416="",F416="",COUNT(G416:I416)&lt;&gt;3),"Angaben fehlen","Wirksam"))))</f>
        <v/>
      </c>
      <c r="L416">
        <f>IF(K416="Wirksam",SUM(G416:H416)-I416,IF(K416="","","n.a."))</f>
        <v/>
      </c>
    </row>
    <row r="417">
      <c r="K417">
        <f>IF(COUNTA(C417:J417)=0,"",IF(OR(C417&lt;&gt;Steuerung!$F$6,D417&lt;1,D417&gt;12),"Periode prüfen",IF(D417&lt;=Steuerung!$F$8,"IST gesperrt",IF(OR(E417="",F417="",COUNT(G417:I417)&lt;&gt;3),"Angaben fehlen","Wirksam"))))</f>
        <v/>
      </c>
      <c r="L417">
        <f>IF(K417="Wirksam",SUM(G417:H417)-I417,IF(K417="","","n.a."))</f>
        <v/>
      </c>
    </row>
    <row r="418">
      <c r="K418">
        <f>IF(COUNTA(C418:J418)=0,"",IF(OR(C418&lt;&gt;Steuerung!$F$6,D418&lt;1,D418&gt;12),"Periode prüfen",IF(D418&lt;=Steuerung!$F$8,"IST gesperrt",IF(OR(E418="",F418="",COUNT(G418:I418)&lt;&gt;3),"Angaben fehlen","Wirksam"))))</f>
        <v/>
      </c>
      <c r="L418">
        <f>IF(K418="Wirksam",SUM(G418:H418)-I418,IF(K418="","","n.a."))</f>
        <v/>
      </c>
    </row>
    <row r="419">
      <c r="K419">
        <f>IF(COUNTA(C419:J419)=0,"",IF(OR(C419&lt;&gt;Steuerung!$F$6,D419&lt;1,D419&gt;12),"Periode prüfen",IF(D419&lt;=Steuerung!$F$8,"IST gesperrt",IF(OR(E419="",F419="",COUNT(G419:I419)&lt;&gt;3),"Angaben fehlen","Wirksam"))))</f>
        <v/>
      </c>
      <c r="L419">
        <f>IF(K419="Wirksam",SUM(G419:H419)-I419,IF(K419="","","n.a."))</f>
        <v/>
      </c>
    </row>
    <row r="420">
      <c r="K420">
        <f>IF(COUNTA(C420:J420)=0,"",IF(OR(C420&lt;&gt;Steuerung!$F$6,D420&lt;1,D420&gt;12),"Periode prüfen",IF(D420&lt;=Steuerung!$F$8,"IST gesperrt",IF(OR(E420="",F420="",COUNT(G420:I420)&lt;&gt;3),"Angaben fehlen","Wirksam"))))</f>
        <v/>
      </c>
      <c r="L420">
        <f>IF(K420="Wirksam",SUM(G420:H420)-I420,IF(K420="","","n.a."))</f>
        <v/>
      </c>
    </row>
    <row r="421">
      <c r="K421">
        <f>IF(COUNTA(C421:J421)=0,"",IF(OR(C421&lt;&gt;Steuerung!$F$6,D421&lt;1,D421&gt;12),"Periode prüfen",IF(D421&lt;=Steuerung!$F$8,"IST gesperrt",IF(OR(E421="",F421="",COUNT(G421:I421)&lt;&gt;3),"Angaben fehlen","Wirksam"))))</f>
        <v/>
      </c>
      <c r="L421">
        <f>IF(K421="Wirksam",SUM(G421:H421)-I421,IF(K421="","","n.a."))</f>
        <v/>
      </c>
    </row>
    <row r="422">
      <c r="K422">
        <f>IF(COUNTA(C422:J422)=0,"",IF(OR(C422&lt;&gt;Steuerung!$F$6,D422&lt;1,D422&gt;12),"Periode prüfen",IF(D422&lt;=Steuerung!$F$8,"IST gesperrt",IF(OR(E422="",F422="",COUNT(G422:I422)&lt;&gt;3),"Angaben fehlen","Wirksam"))))</f>
        <v/>
      </c>
      <c r="L422">
        <f>IF(K422="Wirksam",SUM(G422:H422)-I422,IF(K422="","","n.a."))</f>
        <v/>
      </c>
    </row>
    <row r="423">
      <c r="K423">
        <f>IF(COUNTA(C423:J423)=0,"",IF(OR(C423&lt;&gt;Steuerung!$F$6,D423&lt;1,D423&gt;12),"Periode prüfen",IF(D423&lt;=Steuerung!$F$8,"IST gesperrt",IF(OR(E423="",F423="",COUNT(G423:I423)&lt;&gt;3),"Angaben fehlen","Wirksam"))))</f>
        <v/>
      </c>
      <c r="L423">
        <f>IF(K423="Wirksam",SUM(G423:H423)-I423,IF(K423="","","n.a."))</f>
        <v/>
      </c>
    </row>
    <row r="424">
      <c r="K424">
        <f>IF(COUNTA(C424:J424)=0,"",IF(OR(C424&lt;&gt;Steuerung!$F$6,D424&lt;1,D424&gt;12),"Periode prüfen",IF(D424&lt;=Steuerung!$F$8,"IST gesperrt",IF(OR(E424="",F424="",COUNT(G424:I424)&lt;&gt;3),"Angaben fehlen","Wirksam"))))</f>
        <v/>
      </c>
      <c r="L424">
        <f>IF(K424="Wirksam",SUM(G424:H424)-I424,IF(K424="","","n.a."))</f>
        <v/>
      </c>
    </row>
    <row r="425">
      <c r="K425">
        <f>IF(COUNTA(C425:J425)=0,"",IF(OR(C425&lt;&gt;Steuerung!$F$6,D425&lt;1,D425&gt;12),"Periode prüfen",IF(D425&lt;=Steuerung!$F$8,"IST gesperrt",IF(OR(E425="",F425="",COUNT(G425:I425)&lt;&gt;3),"Angaben fehlen","Wirksam"))))</f>
        <v/>
      </c>
      <c r="L425">
        <f>IF(K425="Wirksam",SUM(G425:H425)-I425,IF(K425="","","n.a."))</f>
        <v/>
      </c>
    </row>
    <row r="426">
      <c r="K426">
        <f>IF(COUNTA(C426:J426)=0,"",IF(OR(C426&lt;&gt;Steuerung!$F$6,D426&lt;1,D426&gt;12),"Periode prüfen",IF(D426&lt;=Steuerung!$F$8,"IST gesperrt",IF(OR(E426="",F426="",COUNT(G426:I426)&lt;&gt;3),"Angaben fehlen","Wirksam"))))</f>
        <v/>
      </c>
      <c r="L426">
        <f>IF(K426="Wirksam",SUM(G426:H426)-I426,IF(K426="","","n.a."))</f>
        <v/>
      </c>
    </row>
    <row r="427">
      <c r="K427">
        <f>IF(COUNTA(C427:J427)=0,"",IF(OR(C427&lt;&gt;Steuerung!$F$6,D427&lt;1,D427&gt;12),"Periode prüfen",IF(D427&lt;=Steuerung!$F$8,"IST gesperrt",IF(OR(E427="",F427="",COUNT(G427:I427)&lt;&gt;3),"Angaben fehlen","Wirksam"))))</f>
        <v/>
      </c>
      <c r="L427">
        <f>IF(K427="Wirksam",SUM(G427:H427)-I427,IF(K427="","","n.a."))</f>
        <v/>
      </c>
    </row>
    <row r="428">
      <c r="K428">
        <f>IF(COUNTA(C428:J428)=0,"",IF(OR(C428&lt;&gt;Steuerung!$F$6,D428&lt;1,D428&gt;12),"Periode prüfen",IF(D428&lt;=Steuerung!$F$8,"IST gesperrt",IF(OR(E428="",F428="",COUNT(G428:I428)&lt;&gt;3),"Angaben fehlen","Wirksam"))))</f>
        <v/>
      </c>
      <c r="L428">
        <f>IF(K428="Wirksam",SUM(G428:H428)-I428,IF(K428="","","n.a."))</f>
        <v/>
      </c>
    </row>
    <row r="429">
      <c r="K429">
        <f>IF(COUNTA(C429:J429)=0,"",IF(OR(C429&lt;&gt;Steuerung!$F$6,D429&lt;1,D429&gt;12),"Periode prüfen",IF(D429&lt;=Steuerung!$F$8,"IST gesperrt",IF(OR(E429="",F429="",COUNT(G429:I429)&lt;&gt;3),"Angaben fehlen","Wirksam"))))</f>
        <v/>
      </c>
      <c r="L429">
        <f>IF(K429="Wirksam",SUM(G429:H429)-I429,IF(K429="","","n.a."))</f>
        <v/>
      </c>
    </row>
    <row r="430">
      <c r="K430">
        <f>IF(COUNTA(C430:J430)=0,"",IF(OR(C430&lt;&gt;Steuerung!$F$6,D430&lt;1,D430&gt;12),"Periode prüfen",IF(D430&lt;=Steuerung!$F$8,"IST gesperrt",IF(OR(E430="",F430="",COUNT(G430:I430)&lt;&gt;3),"Angaben fehlen","Wirksam"))))</f>
        <v/>
      </c>
      <c r="L430">
        <f>IF(K430="Wirksam",SUM(G430:H430)-I430,IF(K430="","","n.a."))</f>
        <v/>
      </c>
    </row>
    <row r="431">
      <c r="K431">
        <f>IF(COUNTA(C431:J431)=0,"",IF(OR(C431&lt;&gt;Steuerung!$F$6,D431&lt;1,D431&gt;12),"Periode prüfen",IF(D431&lt;=Steuerung!$F$8,"IST gesperrt",IF(OR(E431="",F431="",COUNT(G431:I431)&lt;&gt;3),"Angaben fehlen","Wirksam"))))</f>
        <v/>
      </c>
      <c r="L431">
        <f>IF(K431="Wirksam",SUM(G431:H431)-I431,IF(K431="","","n.a."))</f>
        <v/>
      </c>
    </row>
    <row r="432">
      <c r="K432">
        <f>IF(COUNTA(C432:J432)=0,"",IF(OR(C432&lt;&gt;Steuerung!$F$6,D432&lt;1,D432&gt;12),"Periode prüfen",IF(D432&lt;=Steuerung!$F$8,"IST gesperrt",IF(OR(E432="",F432="",COUNT(G432:I432)&lt;&gt;3),"Angaben fehlen","Wirksam"))))</f>
        <v/>
      </c>
      <c r="L432">
        <f>IF(K432="Wirksam",SUM(G432:H432)-I432,IF(K432="","","n.a."))</f>
        <v/>
      </c>
    </row>
    <row r="433">
      <c r="K433">
        <f>IF(COUNTA(C433:J433)=0,"",IF(OR(C433&lt;&gt;Steuerung!$F$6,D433&lt;1,D433&gt;12),"Periode prüfen",IF(D433&lt;=Steuerung!$F$8,"IST gesperrt",IF(OR(E433="",F433="",COUNT(G433:I433)&lt;&gt;3),"Angaben fehlen","Wirksam"))))</f>
        <v/>
      </c>
      <c r="L433">
        <f>IF(K433="Wirksam",SUM(G433:H433)-I433,IF(K433="","","n.a."))</f>
        <v/>
      </c>
    </row>
    <row r="434">
      <c r="K434">
        <f>IF(COUNTA(C434:J434)=0,"",IF(OR(C434&lt;&gt;Steuerung!$F$6,D434&lt;1,D434&gt;12),"Periode prüfen",IF(D434&lt;=Steuerung!$F$8,"IST gesperrt",IF(OR(E434="",F434="",COUNT(G434:I434)&lt;&gt;3),"Angaben fehlen","Wirksam"))))</f>
        <v/>
      </c>
      <c r="L434">
        <f>IF(K434="Wirksam",SUM(G434:H434)-I434,IF(K434="","","n.a."))</f>
        <v/>
      </c>
    </row>
    <row r="435">
      <c r="K435">
        <f>IF(COUNTA(C435:J435)=0,"",IF(OR(C435&lt;&gt;Steuerung!$F$6,D435&lt;1,D435&gt;12),"Periode prüfen",IF(D435&lt;=Steuerung!$F$8,"IST gesperrt",IF(OR(E435="",F435="",COUNT(G435:I435)&lt;&gt;3),"Angaben fehlen","Wirksam"))))</f>
        <v/>
      </c>
      <c r="L435">
        <f>IF(K435="Wirksam",SUM(G435:H435)-I435,IF(K435="","","n.a."))</f>
        <v/>
      </c>
    </row>
    <row r="436">
      <c r="K436">
        <f>IF(COUNTA(C436:J436)=0,"",IF(OR(C436&lt;&gt;Steuerung!$F$6,D436&lt;1,D436&gt;12),"Periode prüfen",IF(D436&lt;=Steuerung!$F$8,"IST gesperrt",IF(OR(E436="",F436="",COUNT(G436:I436)&lt;&gt;3),"Angaben fehlen","Wirksam"))))</f>
        <v/>
      </c>
      <c r="L436">
        <f>IF(K436="Wirksam",SUM(G436:H436)-I436,IF(K436="","","n.a."))</f>
        <v/>
      </c>
    </row>
    <row r="437">
      <c r="K437">
        <f>IF(COUNTA(C437:J437)=0,"",IF(OR(C437&lt;&gt;Steuerung!$F$6,D437&lt;1,D437&gt;12),"Periode prüfen",IF(D437&lt;=Steuerung!$F$8,"IST gesperrt",IF(OR(E437="",F437="",COUNT(G437:I437)&lt;&gt;3),"Angaben fehlen","Wirksam"))))</f>
        <v/>
      </c>
      <c r="L437">
        <f>IF(K437="Wirksam",SUM(G437:H437)-I437,IF(K437="","","n.a."))</f>
        <v/>
      </c>
    </row>
    <row r="438">
      <c r="K438">
        <f>IF(COUNTA(C438:J438)=0,"",IF(OR(C438&lt;&gt;Steuerung!$F$6,D438&lt;1,D438&gt;12),"Periode prüfen",IF(D438&lt;=Steuerung!$F$8,"IST gesperrt",IF(OR(E438="",F438="",COUNT(G438:I438)&lt;&gt;3),"Angaben fehlen","Wirksam"))))</f>
        <v/>
      </c>
      <c r="L438">
        <f>IF(K438="Wirksam",SUM(G438:H438)-I438,IF(K438="","","n.a."))</f>
        <v/>
      </c>
    </row>
    <row r="439">
      <c r="K439">
        <f>IF(COUNTA(C439:J439)=0,"",IF(OR(C439&lt;&gt;Steuerung!$F$6,D439&lt;1,D439&gt;12),"Periode prüfen",IF(D439&lt;=Steuerung!$F$8,"IST gesperrt",IF(OR(E439="",F439="",COUNT(G439:I439)&lt;&gt;3),"Angaben fehlen","Wirksam"))))</f>
        <v/>
      </c>
      <c r="L439">
        <f>IF(K439="Wirksam",SUM(G439:H439)-I439,IF(K439="","","n.a."))</f>
        <v/>
      </c>
    </row>
    <row r="440">
      <c r="K440">
        <f>IF(COUNTA(C440:J440)=0,"",IF(OR(C440&lt;&gt;Steuerung!$F$6,D440&lt;1,D440&gt;12),"Periode prüfen",IF(D440&lt;=Steuerung!$F$8,"IST gesperrt",IF(OR(E440="",F440="",COUNT(G440:I440)&lt;&gt;3),"Angaben fehlen","Wirksam"))))</f>
        <v/>
      </c>
      <c r="L440">
        <f>IF(K440="Wirksam",SUM(G440:H440)-I440,IF(K440="","","n.a."))</f>
        <v/>
      </c>
    </row>
    <row r="441">
      <c r="K441">
        <f>IF(COUNTA(C441:J441)=0,"",IF(OR(C441&lt;&gt;Steuerung!$F$6,D441&lt;1,D441&gt;12),"Periode prüfen",IF(D441&lt;=Steuerung!$F$8,"IST gesperrt",IF(OR(E441="",F441="",COUNT(G441:I441)&lt;&gt;3),"Angaben fehlen","Wirksam"))))</f>
        <v/>
      </c>
      <c r="L441">
        <f>IF(K441="Wirksam",SUM(G441:H441)-I441,IF(K441="","","n.a."))</f>
        <v/>
      </c>
    </row>
    <row r="442">
      <c r="K442">
        <f>IF(COUNTA(C442:J442)=0,"",IF(OR(C442&lt;&gt;Steuerung!$F$6,D442&lt;1,D442&gt;12),"Periode prüfen",IF(D442&lt;=Steuerung!$F$8,"IST gesperrt",IF(OR(E442="",F442="",COUNT(G442:I442)&lt;&gt;3),"Angaben fehlen","Wirksam"))))</f>
        <v/>
      </c>
      <c r="L442">
        <f>IF(K442="Wirksam",SUM(G442:H442)-I442,IF(K442="","","n.a."))</f>
        <v/>
      </c>
    </row>
    <row r="443">
      <c r="K443">
        <f>IF(COUNTA(C443:J443)=0,"",IF(OR(C443&lt;&gt;Steuerung!$F$6,D443&lt;1,D443&gt;12),"Periode prüfen",IF(D443&lt;=Steuerung!$F$8,"IST gesperrt",IF(OR(E443="",F443="",COUNT(G443:I443)&lt;&gt;3),"Angaben fehlen","Wirksam"))))</f>
        <v/>
      </c>
      <c r="L443">
        <f>IF(K443="Wirksam",SUM(G443:H443)-I443,IF(K443="","","n.a."))</f>
        <v/>
      </c>
    </row>
    <row r="444">
      <c r="K444">
        <f>IF(COUNTA(C444:J444)=0,"",IF(OR(C444&lt;&gt;Steuerung!$F$6,D444&lt;1,D444&gt;12),"Periode prüfen",IF(D444&lt;=Steuerung!$F$8,"IST gesperrt",IF(OR(E444="",F444="",COUNT(G444:I444)&lt;&gt;3),"Angaben fehlen","Wirksam"))))</f>
        <v/>
      </c>
      <c r="L444">
        <f>IF(K444="Wirksam",SUM(G444:H444)-I444,IF(K444="","","n.a."))</f>
        <v/>
      </c>
    </row>
    <row r="445">
      <c r="K445">
        <f>IF(COUNTA(C445:J445)=0,"",IF(OR(C445&lt;&gt;Steuerung!$F$6,D445&lt;1,D445&gt;12),"Periode prüfen",IF(D445&lt;=Steuerung!$F$8,"IST gesperrt",IF(OR(E445="",F445="",COUNT(G445:I445)&lt;&gt;3),"Angaben fehlen","Wirksam"))))</f>
        <v/>
      </c>
      <c r="L445">
        <f>IF(K445="Wirksam",SUM(G445:H445)-I445,IF(K445="","","n.a."))</f>
        <v/>
      </c>
    </row>
    <row r="446">
      <c r="K446">
        <f>IF(COUNTA(C446:J446)=0,"",IF(OR(C446&lt;&gt;Steuerung!$F$6,D446&lt;1,D446&gt;12),"Periode prüfen",IF(D446&lt;=Steuerung!$F$8,"IST gesperrt",IF(OR(E446="",F446="",COUNT(G446:I446)&lt;&gt;3),"Angaben fehlen","Wirksam"))))</f>
        <v/>
      </c>
      <c r="L446">
        <f>IF(K446="Wirksam",SUM(G446:H446)-I446,IF(K446="","","n.a."))</f>
        <v/>
      </c>
    </row>
    <row r="447">
      <c r="K447">
        <f>IF(COUNTA(C447:J447)=0,"",IF(OR(C447&lt;&gt;Steuerung!$F$6,D447&lt;1,D447&gt;12),"Periode prüfen",IF(D447&lt;=Steuerung!$F$8,"IST gesperrt",IF(OR(E447="",F447="",COUNT(G447:I447)&lt;&gt;3),"Angaben fehlen","Wirksam"))))</f>
        <v/>
      </c>
      <c r="L447">
        <f>IF(K447="Wirksam",SUM(G447:H447)-I447,IF(K447="","","n.a."))</f>
        <v/>
      </c>
    </row>
    <row r="448">
      <c r="K448">
        <f>IF(COUNTA(C448:J448)=0,"",IF(OR(C448&lt;&gt;Steuerung!$F$6,D448&lt;1,D448&gt;12),"Periode prüfen",IF(D448&lt;=Steuerung!$F$8,"IST gesperrt",IF(OR(E448="",F448="",COUNT(G448:I448)&lt;&gt;3),"Angaben fehlen","Wirksam"))))</f>
        <v/>
      </c>
      <c r="L448">
        <f>IF(K448="Wirksam",SUM(G448:H448)-I448,IF(K448="","","n.a."))</f>
        <v/>
      </c>
    </row>
    <row r="449">
      <c r="K449">
        <f>IF(COUNTA(C449:J449)=0,"",IF(OR(C449&lt;&gt;Steuerung!$F$6,D449&lt;1,D449&gt;12),"Periode prüfen",IF(D449&lt;=Steuerung!$F$8,"IST gesperrt",IF(OR(E449="",F449="",COUNT(G449:I449)&lt;&gt;3),"Angaben fehlen","Wirksam"))))</f>
        <v/>
      </c>
      <c r="L449">
        <f>IF(K449="Wirksam",SUM(G449:H449)-I449,IF(K449="","","n.a."))</f>
        <v/>
      </c>
    </row>
    <row r="450">
      <c r="K450">
        <f>IF(COUNTA(C450:J450)=0,"",IF(OR(C450&lt;&gt;Steuerung!$F$6,D450&lt;1,D450&gt;12),"Periode prüfen",IF(D450&lt;=Steuerung!$F$8,"IST gesperrt",IF(OR(E450="",F450="",COUNT(G450:I450)&lt;&gt;3),"Angaben fehlen","Wirksam"))))</f>
        <v/>
      </c>
      <c r="L450">
        <f>IF(K450="Wirksam",SUM(G450:H450)-I450,IF(K450="","","n.a."))</f>
        <v/>
      </c>
    </row>
    <row r="451">
      <c r="K451">
        <f>IF(COUNTA(C451:J451)=0,"",IF(OR(C451&lt;&gt;Steuerung!$F$6,D451&lt;1,D451&gt;12),"Periode prüfen",IF(D451&lt;=Steuerung!$F$8,"IST gesperrt",IF(OR(E451="",F451="",COUNT(G451:I451)&lt;&gt;3),"Angaben fehlen","Wirksam"))))</f>
        <v/>
      </c>
      <c r="L451">
        <f>IF(K451="Wirksam",SUM(G451:H451)-I451,IF(K451="","","n.a."))</f>
        <v/>
      </c>
    </row>
    <row r="452">
      <c r="K452">
        <f>IF(COUNTA(C452:J452)=0,"",IF(OR(C452&lt;&gt;Steuerung!$F$6,D452&lt;1,D452&gt;12),"Periode prüfen",IF(D452&lt;=Steuerung!$F$8,"IST gesperrt",IF(OR(E452="",F452="",COUNT(G452:I452)&lt;&gt;3),"Angaben fehlen","Wirksam"))))</f>
        <v/>
      </c>
      <c r="L452">
        <f>IF(K452="Wirksam",SUM(G452:H452)-I452,IF(K452="","","n.a."))</f>
        <v/>
      </c>
    </row>
    <row r="453">
      <c r="K453">
        <f>IF(COUNTA(C453:J453)=0,"",IF(OR(C453&lt;&gt;Steuerung!$F$6,D453&lt;1,D453&gt;12),"Periode prüfen",IF(D453&lt;=Steuerung!$F$8,"IST gesperrt",IF(OR(E453="",F453="",COUNT(G453:I453)&lt;&gt;3),"Angaben fehlen","Wirksam"))))</f>
        <v/>
      </c>
      <c r="L453">
        <f>IF(K453="Wirksam",SUM(G453:H453)-I453,IF(K453="","","n.a."))</f>
        <v/>
      </c>
    </row>
    <row r="454">
      <c r="K454">
        <f>IF(COUNTA(C454:J454)=0,"",IF(OR(C454&lt;&gt;Steuerung!$F$6,D454&lt;1,D454&gt;12),"Periode prüfen",IF(D454&lt;=Steuerung!$F$8,"IST gesperrt",IF(OR(E454="",F454="",COUNT(G454:I454)&lt;&gt;3),"Angaben fehlen","Wirksam"))))</f>
        <v/>
      </c>
      <c r="L454">
        <f>IF(K454="Wirksam",SUM(G454:H454)-I454,IF(K454="","","n.a."))</f>
        <v/>
      </c>
    </row>
    <row r="455">
      <c r="K455">
        <f>IF(COUNTA(C455:J455)=0,"",IF(OR(C455&lt;&gt;Steuerung!$F$6,D455&lt;1,D455&gt;12),"Periode prüfen",IF(D455&lt;=Steuerung!$F$8,"IST gesperrt",IF(OR(E455="",F455="",COUNT(G455:I455)&lt;&gt;3),"Angaben fehlen","Wirksam"))))</f>
        <v/>
      </c>
      <c r="L455">
        <f>IF(K455="Wirksam",SUM(G455:H455)-I455,IF(K455="","","n.a."))</f>
        <v/>
      </c>
    </row>
    <row r="456">
      <c r="K456">
        <f>IF(COUNTA(C456:J456)=0,"",IF(OR(C456&lt;&gt;Steuerung!$F$6,D456&lt;1,D456&gt;12),"Periode prüfen",IF(D456&lt;=Steuerung!$F$8,"IST gesperrt",IF(OR(E456="",F456="",COUNT(G456:I456)&lt;&gt;3),"Angaben fehlen","Wirksam"))))</f>
        <v/>
      </c>
      <c r="L456">
        <f>IF(K456="Wirksam",SUM(G456:H456)-I456,IF(K456="","","n.a."))</f>
        <v/>
      </c>
    </row>
    <row r="457">
      <c r="K457">
        <f>IF(COUNTA(C457:J457)=0,"",IF(OR(C457&lt;&gt;Steuerung!$F$6,D457&lt;1,D457&gt;12),"Periode prüfen",IF(D457&lt;=Steuerung!$F$8,"IST gesperrt",IF(OR(E457="",F457="",COUNT(G457:I457)&lt;&gt;3),"Angaben fehlen","Wirksam"))))</f>
        <v/>
      </c>
      <c r="L457">
        <f>IF(K457="Wirksam",SUM(G457:H457)-I457,IF(K457="","","n.a."))</f>
        <v/>
      </c>
    </row>
    <row r="458">
      <c r="K458">
        <f>IF(COUNTA(C458:J458)=0,"",IF(OR(C458&lt;&gt;Steuerung!$F$6,D458&lt;1,D458&gt;12),"Periode prüfen",IF(D458&lt;=Steuerung!$F$8,"IST gesperrt",IF(OR(E458="",F458="",COUNT(G458:I458)&lt;&gt;3),"Angaben fehlen","Wirksam"))))</f>
        <v/>
      </c>
      <c r="L458">
        <f>IF(K458="Wirksam",SUM(G458:H458)-I458,IF(K458="","","n.a."))</f>
        <v/>
      </c>
    </row>
    <row r="459">
      <c r="K459">
        <f>IF(COUNTA(C459:J459)=0,"",IF(OR(C459&lt;&gt;Steuerung!$F$6,D459&lt;1,D459&gt;12),"Periode prüfen",IF(D459&lt;=Steuerung!$F$8,"IST gesperrt",IF(OR(E459="",F459="",COUNT(G459:I459)&lt;&gt;3),"Angaben fehlen","Wirksam"))))</f>
        <v/>
      </c>
      <c r="L459">
        <f>IF(K459="Wirksam",SUM(G459:H459)-I459,IF(K459="","","n.a."))</f>
        <v/>
      </c>
    </row>
    <row r="460">
      <c r="K460">
        <f>IF(COUNTA(C460:J460)=0,"",IF(OR(C460&lt;&gt;Steuerung!$F$6,D460&lt;1,D460&gt;12),"Periode prüfen",IF(D460&lt;=Steuerung!$F$8,"IST gesperrt",IF(OR(E460="",F460="",COUNT(G460:I460)&lt;&gt;3),"Angaben fehlen","Wirksam"))))</f>
        <v/>
      </c>
      <c r="L460">
        <f>IF(K460="Wirksam",SUM(G460:H460)-I460,IF(K460="","","n.a."))</f>
        <v/>
      </c>
    </row>
    <row r="461">
      <c r="K461">
        <f>IF(COUNTA(C461:J461)=0,"",IF(OR(C461&lt;&gt;Steuerung!$F$6,D461&lt;1,D461&gt;12),"Periode prüfen",IF(D461&lt;=Steuerung!$F$8,"IST gesperrt",IF(OR(E461="",F461="",COUNT(G461:I461)&lt;&gt;3),"Angaben fehlen","Wirksam"))))</f>
        <v/>
      </c>
      <c r="L461">
        <f>IF(K461="Wirksam",SUM(G461:H461)-I461,IF(K461="","","n.a."))</f>
        <v/>
      </c>
    </row>
    <row r="462">
      <c r="K462">
        <f>IF(COUNTA(C462:J462)=0,"",IF(OR(C462&lt;&gt;Steuerung!$F$6,D462&lt;1,D462&gt;12),"Periode prüfen",IF(D462&lt;=Steuerung!$F$8,"IST gesperrt",IF(OR(E462="",F462="",COUNT(G462:I462)&lt;&gt;3),"Angaben fehlen","Wirksam"))))</f>
        <v/>
      </c>
      <c r="L462">
        <f>IF(K462="Wirksam",SUM(G462:H462)-I462,IF(K462="","","n.a."))</f>
        <v/>
      </c>
    </row>
    <row r="463">
      <c r="K463">
        <f>IF(COUNTA(C463:J463)=0,"",IF(OR(C463&lt;&gt;Steuerung!$F$6,D463&lt;1,D463&gt;12),"Periode prüfen",IF(D463&lt;=Steuerung!$F$8,"IST gesperrt",IF(OR(E463="",F463="",COUNT(G463:I463)&lt;&gt;3),"Angaben fehlen","Wirksam"))))</f>
        <v/>
      </c>
      <c r="L463">
        <f>IF(K463="Wirksam",SUM(G463:H463)-I463,IF(K463="","","n.a."))</f>
        <v/>
      </c>
    </row>
    <row r="464">
      <c r="K464">
        <f>IF(COUNTA(C464:J464)=0,"",IF(OR(C464&lt;&gt;Steuerung!$F$6,D464&lt;1,D464&gt;12),"Periode prüfen",IF(D464&lt;=Steuerung!$F$8,"IST gesperrt",IF(OR(E464="",F464="",COUNT(G464:I464)&lt;&gt;3),"Angaben fehlen","Wirksam"))))</f>
        <v/>
      </c>
      <c r="L464">
        <f>IF(K464="Wirksam",SUM(G464:H464)-I464,IF(K464="","","n.a."))</f>
        <v/>
      </c>
    </row>
    <row r="465">
      <c r="K465">
        <f>IF(COUNTA(C465:J465)=0,"",IF(OR(C465&lt;&gt;Steuerung!$F$6,D465&lt;1,D465&gt;12),"Periode prüfen",IF(D465&lt;=Steuerung!$F$8,"IST gesperrt",IF(OR(E465="",F465="",COUNT(G465:I465)&lt;&gt;3),"Angaben fehlen","Wirksam"))))</f>
        <v/>
      </c>
      <c r="L465">
        <f>IF(K465="Wirksam",SUM(G465:H465)-I465,IF(K465="","","n.a."))</f>
        <v/>
      </c>
    </row>
    <row r="466">
      <c r="K466">
        <f>IF(COUNTA(C466:J466)=0,"",IF(OR(C466&lt;&gt;Steuerung!$F$6,D466&lt;1,D466&gt;12),"Periode prüfen",IF(D466&lt;=Steuerung!$F$8,"IST gesperrt",IF(OR(E466="",F466="",COUNT(G466:I466)&lt;&gt;3),"Angaben fehlen","Wirksam"))))</f>
        <v/>
      </c>
      <c r="L466">
        <f>IF(K466="Wirksam",SUM(G466:H466)-I466,IF(K466="","","n.a."))</f>
        <v/>
      </c>
    </row>
    <row r="467">
      <c r="K467">
        <f>IF(COUNTA(C467:J467)=0,"",IF(OR(C467&lt;&gt;Steuerung!$F$6,D467&lt;1,D467&gt;12),"Periode prüfen",IF(D467&lt;=Steuerung!$F$8,"IST gesperrt",IF(OR(E467="",F467="",COUNT(G467:I467)&lt;&gt;3),"Angaben fehlen","Wirksam"))))</f>
        <v/>
      </c>
      <c r="L467">
        <f>IF(K467="Wirksam",SUM(G467:H467)-I467,IF(K467="","","n.a."))</f>
        <v/>
      </c>
    </row>
    <row r="468">
      <c r="K468">
        <f>IF(COUNTA(C468:J468)=0,"",IF(OR(C468&lt;&gt;Steuerung!$F$6,D468&lt;1,D468&gt;12),"Periode prüfen",IF(D468&lt;=Steuerung!$F$8,"IST gesperrt",IF(OR(E468="",F468="",COUNT(G468:I468)&lt;&gt;3),"Angaben fehlen","Wirksam"))))</f>
        <v/>
      </c>
      <c r="L468">
        <f>IF(K468="Wirksam",SUM(G468:H468)-I468,IF(K468="","","n.a."))</f>
        <v/>
      </c>
    </row>
    <row r="469">
      <c r="K469">
        <f>IF(COUNTA(C469:J469)=0,"",IF(OR(C469&lt;&gt;Steuerung!$F$6,D469&lt;1,D469&gt;12),"Periode prüfen",IF(D469&lt;=Steuerung!$F$8,"IST gesperrt",IF(OR(E469="",F469="",COUNT(G469:I469)&lt;&gt;3),"Angaben fehlen","Wirksam"))))</f>
        <v/>
      </c>
      <c r="L469">
        <f>IF(K469="Wirksam",SUM(G469:H469)-I469,IF(K469="","","n.a."))</f>
        <v/>
      </c>
    </row>
    <row r="470">
      <c r="K470">
        <f>IF(COUNTA(C470:J470)=0,"",IF(OR(C470&lt;&gt;Steuerung!$F$6,D470&lt;1,D470&gt;12),"Periode prüfen",IF(D470&lt;=Steuerung!$F$8,"IST gesperrt",IF(OR(E470="",F470="",COUNT(G470:I470)&lt;&gt;3),"Angaben fehlen","Wirksam"))))</f>
        <v/>
      </c>
      <c r="L470">
        <f>IF(K470="Wirksam",SUM(G470:H470)-I470,IF(K470="","","n.a."))</f>
        <v/>
      </c>
    </row>
    <row r="471">
      <c r="K471">
        <f>IF(COUNTA(C471:J471)=0,"",IF(OR(C471&lt;&gt;Steuerung!$F$6,D471&lt;1,D471&gt;12),"Periode prüfen",IF(D471&lt;=Steuerung!$F$8,"IST gesperrt",IF(OR(E471="",F471="",COUNT(G471:I471)&lt;&gt;3),"Angaben fehlen","Wirksam"))))</f>
        <v/>
      </c>
      <c r="L471">
        <f>IF(K471="Wirksam",SUM(G471:H471)-I471,IF(K471="","","n.a."))</f>
        <v/>
      </c>
    </row>
    <row r="472">
      <c r="K472">
        <f>IF(COUNTA(C472:J472)=0,"",IF(OR(C472&lt;&gt;Steuerung!$F$6,D472&lt;1,D472&gt;12),"Periode prüfen",IF(D472&lt;=Steuerung!$F$8,"IST gesperrt",IF(OR(E472="",F472="",COUNT(G472:I472)&lt;&gt;3),"Angaben fehlen","Wirksam"))))</f>
        <v/>
      </c>
      <c r="L472">
        <f>IF(K472="Wirksam",SUM(G472:H472)-I472,IF(K472="","","n.a."))</f>
        <v/>
      </c>
    </row>
    <row r="473">
      <c r="K473">
        <f>IF(COUNTA(C473:J473)=0,"",IF(OR(C473&lt;&gt;Steuerung!$F$6,D473&lt;1,D473&gt;12),"Periode prüfen",IF(D473&lt;=Steuerung!$F$8,"IST gesperrt",IF(OR(E473="",F473="",COUNT(G473:I473)&lt;&gt;3),"Angaben fehlen","Wirksam"))))</f>
        <v/>
      </c>
      <c r="L473">
        <f>IF(K473="Wirksam",SUM(G473:H473)-I473,IF(K473="","","n.a."))</f>
        <v/>
      </c>
    </row>
    <row r="474">
      <c r="K474">
        <f>IF(COUNTA(C474:J474)=0,"",IF(OR(C474&lt;&gt;Steuerung!$F$6,D474&lt;1,D474&gt;12),"Periode prüfen",IF(D474&lt;=Steuerung!$F$8,"IST gesperrt",IF(OR(E474="",F474="",COUNT(G474:I474)&lt;&gt;3),"Angaben fehlen","Wirksam"))))</f>
        <v/>
      </c>
      <c r="L474">
        <f>IF(K474="Wirksam",SUM(G474:H474)-I474,IF(K474="","","n.a."))</f>
        <v/>
      </c>
    </row>
    <row r="475">
      <c r="K475">
        <f>IF(COUNTA(C475:J475)=0,"",IF(OR(C475&lt;&gt;Steuerung!$F$6,D475&lt;1,D475&gt;12),"Periode prüfen",IF(D475&lt;=Steuerung!$F$8,"IST gesperrt",IF(OR(E475="",F475="",COUNT(G475:I475)&lt;&gt;3),"Angaben fehlen","Wirksam"))))</f>
        <v/>
      </c>
      <c r="L475">
        <f>IF(K475="Wirksam",SUM(G475:H475)-I475,IF(K475="","","n.a."))</f>
        <v/>
      </c>
    </row>
    <row r="476">
      <c r="K476">
        <f>IF(COUNTA(C476:J476)=0,"",IF(OR(C476&lt;&gt;Steuerung!$F$6,D476&lt;1,D476&gt;12),"Periode prüfen",IF(D476&lt;=Steuerung!$F$8,"IST gesperrt",IF(OR(E476="",F476="",COUNT(G476:I476)&lt;&gt;3),"Angaben fehlen","Wirksam"))))</f>
        <v/>
      </c>
      <c r="L476">
        <f>IF(K476="Wirksam",SUM(G476:H476)-I476,IF(K476="","","n.a."))</f>
        <v/>
      </c>
    </row>
    <row r="477">
      <c r="K477">
        <f>IF(COUNTA(C477:J477)=0,"",IF(OR(C477&lt;&gt;Steuerung!$F$6,D477&lt;1,D477&gt;12),"Periode prüfen",IF(D477&lt;=Steuerung!$F$8,"IST gesperrt",IF(OR(E477="",F477="",COUNT(G477:I477)&lt;&gt;3),"Angaben fehlen","Wirksam"))))</f>
        <v/>
      </c>
      <c r="L477">
        <f>IF(K477="Wirksam",SUM(G477:H477)-I477,IF(K477="","","n.a."))</f>
        <v/>
      </c>
    </row>
    <row r="478">
      <c r="K478">
        <f>IF(COUNTA(C478:J478)=0,"",IF(OR(C478&lt;&gt;Steuerung!$F$6,D478&lt;1,D478&gt;12),"Periode prüfen",IF(D478&lt;=Steuerung!$F$8,"IST gesperrt",IF(OR(E478="",F478="",COUNT(G478:I478)&lt;&gt;3),"Angaben fehlen","Wirksam"))))</f>
        <v/>
      </c>
      <c r="L478">
        <f>IF(K478="Wirksam",SUM(G478:H478)-I478,IF(K478="","","n.a."))</f>
        <v/>
      </c>
    </row>
    <row r="479">
      <c r="K479">
        <f>IF(COUNTA(C479:J479)=0,"",IF(OR(C479&lt;&gt;Steuerung!$F$6,D479&lt;1,D479&gt;12),"Periode prüfen",IF(D479&lt;=Steuerung!$F$8,"IST gesperrt",IF(OR(E479="",F479="",COUNT(G479:I479)&lt;&gt;3),"Angaben fehlen","Wirksam"))))</f>
        <v/>
      </c>
      <c r="L479">
        <f>IF(K479="Wirksam",SUM(G479:H479)-I479,IF(K479="","","n.a."))</f>
        <v/>
      </c>
    </row>
    <row r="480">
      <c r="K480">
        <f>IF(COUNTA(C480:J480)=0,"",IF(OR(C480&lt;&gt;Steuerung!$F$6,D480&lt;1,D480&gt;12),"Periode prüfen",IF(D480&lt;=Steuerung!$F$8,"IST gesperrt",IF(OR(E480="",F480="",COUNT(G480:I480)&lt;&gt;3),"Angaben fehlen","Wirksam"))))</f>
        <v/>
      </c>
      <c r="L480">
        <f>IF(K480="Wirksam",SUM(G480:H480)-I480,IF(K480="","","n.a."))</f>
        <v/>
      </c>
    </row>
    <row r="481">
      <c r="K481">
        <f>IF(COUNTA(C481:J481)=0,"",IF(OR(C481&lt;&gt;Steuerung!$F$6,D481&lt;1,D481&gt;12),"Periode prüfen",IF(D481&lt;=Steuerung!$F$8,"IST gesperrt",IF(OR(E481="",F481="",COUNT(G481:I481)&lt;&gt;3),"Angaben fehlen","Wirksam"))))</f>
        <v/>
      </c>
      <c r="L481">
        <f>IF(K481="Wirksam",SUM(G481:H481)-I481,IF(K481="","","n.a."))</f>
        <v/>
      </c>
    </row>
    <row r="482">
      <c r="K482">
        <f>IF(COUNTA(C482:J482)=0,"",IF(OR(C482&lt;&gt;Steuerung!$F$6,D482&lt;1,D482&gt;12),"Periode prüfen",IF(D482&lt;=Steuerung!$F$8,"IST gesperrt",IF(OR(E482="",F482="",COUNT(G482:I482)&lt;&gt;3),"Angaben fehlen","Wirksam"))))</f>
        <v/>
      </c>
      <c r="L482">
        <f>IF(K482="Wirksam",SUM(G482:H482)-I482,IF(K482="","","n.a."))</f>
        <v/>
      </c>
    </row>
    <row r="483">
      <c r="K483">
        <f>IF(COUNTA(C483:J483)=0,"",IF(OR(C483&lt;&gt;Steuerung!$F$6,D483&lt;1,D483&gt;12),"Periode prüfen",IF(D483&lt;=Steuerung!$F$8,"IST gesperrt",IF(OR(E483="",F483="",COUNT(G483:I483)&lt;&gt;3),"Angaben fehlen","Wirksam"))))</f>
        <v/>
      </c>
      <c r="L483">
        <f>IF(K483="Wirksam",SUM(G483:H483)-I483,IF(K483="","","n.a."))</f>
        <v/>
      </c>
    </row>
    <row r="484">
      <c r="K484">
        <f>IF(COUNTA(C484:J484)=0,"",IF(OR(C484&lt;&gt;Steuerung!$F$6,D484&lt;1,D484&gt;12),"Periode prüfen",IF(D484&lt;=Steuerung!$F$8,"IST gesperrt",IF(OR(E484="",F484="",COUNT(G484:I484)&lt;&gt;3),"Angaben fehlen","Wirksam"))))</f>
        <v/>
      </c>
      <c r="L484">
        <f>IF(K484="Wirksam",SUM(G484:H484)-I484,IF(K484="","","n.a."))</f>
        <v/>
      </c>
    </row>
    <row r="485">
      <c r="K485">
        <f>IF(COUNTA(C485:J485)=0,"",IF(OR(C485&lt;&gt;Steuerung!$F$6,D485&lt;1,D485&gt;12),"Periode prüfen",IF(D485&lt;=Steuerung!$F$8,"IST gesperrt",IF(OR(E485="",F485="",COUNT(G485:I485)&lt;&gt;3),"Angaben fehlen","Wirksam"))))</f>
        <v/>
      </c>
      <c r="L485">
        <f>IF(K485="Wirksam",SUM(G485:H485)-I485,IF(K485="","","n.a."))</f>
        <v/>
      </c>
    </row>
    <row r="486">
      <c r="K486">
        <f>IF(COUNTA(C486:J486)=0,"",IF(OR(C486&lt;&gt;Steuerung!$F$6,D486&lt;1,D486&gt;12),"Periode prüfen",IF(D486&lt;=Steuerung!$F$8,"IST gesperrt",IF(OR(E486="",F486="",COUNT(G486:I486)&lt;&gt;3),"Angaben fehlen","Wirksam"))))</f>
        <v/>
      </c>
      <c r="L486">
        <f>IF(K486="Wirksam",SUM(G486:H486)-I486,IF(K486="","","n.a."))</f>
        <v/>
      </c>
    </row>
    <row r="487">
      <c r="K487">
        <f>IF(COUNTA(C487:J487)=0,"",IF(OR(C487&lt;&gt;Steuerung!$F$6,D487&lt;1,D487&gt;12),"Periode prüfen",IF(D487&lt;=Steuerung!$F$8,"IST gesperrt",IF(OR(E487="",F487="",COUNT(G487:I487)&lt;&gt;3),"Angaben fehlen","Wirksam"))))</f>
        <v/>
      </c>
      <c r="L487">
        <f>IF(K487="Wirksam",SUM(G487:H487)-I487,IF(K487="","","n.a."))</f>
        <v/>
      </c>
    </row>
    <row r="488">
      <c r="K488">
        <f>IF(COUNTA(C488:J488)=0,"",IF(OR(C488&lt;&gt;Steuerung!$F$6,D488&lt;1,D488&gt;12),"Periode prüfen",IF(D488&lt;=Steuerung!$F$8,"IST gesperrt",IF(OR(E488="",F488="",COUNT(G488:I488)&lt;&gt;3),"Angaben fehlen","Wirksam"))))</f>
        <v/>
      </c>
      <c r="L488">
        <f>IF(K488="Wirksam",SUM(G488:H488)-I488,IF(K488="","","n.a."))</f>
        <v/>
      </c>
    </row>
    <row r="489">
      <c r="K489">
        <f>IF(COUNTA(C489:J489)=0,"",IF(OR(C489&lt;&gt;Steuerung!$F$6,D489&lt;1,D489&gt;12),"Periode prüfen",IF(D489&lt;=Steuerung!$F$8,"IST gesperrt",IF(OR(E489="",F489="",COUNT(G489:I489)&lt;&gt;3),"Angaben fehlen","Wirksam"))))</f>
        <v/>
      </c>
      <c r="L489">
        <f>IF(K489="Wirksam",SUM(G489:H489)-I489,IF(K489="","","n.a."))</f>
        <v/>
      </c>
    </row>
    <row r="490">
      <c r="K490">
        <f>IF(COUNTA(C490:J490)=0,"",IF(OR(C490&lt;&gt;Steuerung!$F$6,D490&lt;1,D490&gt;12),"Periode prüfen",IF(D490&lt;=Steuerung!$F$8,"IST gesperrt",IF(OR(E490="",F490="",COUNT(G490:I490)&lt;&gt;3),"Angaben fehlen","Wirksam"))))</f>
        <v/>
      </c>
      <c r="L490">
        <f>IF(K490="Wirksam",SUM(G490:H490)-I490,IF(K490="","","n.a."))</f>
        <v/>
      </c>
    </row>
    <row r="491">
      <c r="K491">
        <f>IF(COUNTA(C491:J491)=0,"",IF(OR(C491&lt;&gt;Steuerung!$F$6,D491&lt;1,D491&gt;12),"Periode prüfen",IF(D491&lt;=Steuerung!$F$8,"IST gesperrt",IF(OR(E491="",F491="",COUNT(G491:I491)&lt;&gt;3),"Angaben fehlen","Wirksam"))))</f>
        <v/>
      </c>
      <c r="L491">
        <f>IF(K491="Wirksam",SUM(G491:H491)-I491,IF(K491="","","n.a."))</f>
        <v/>
      </c>
    </row>
    <row r="492">
      <c r="K492">
        <f>IF(COUNTA(C492:J492)=0,"",IF(OR(C492&lt;&gt;Steuerung!$F$6,D492&lt;1,D492&gt;12),"Periode prüfen",IF(D492&lt;=Steuerung!$F$8,"IST gesperrt",IF(OR(E492="",F492="",COUNT(G492:I492)&lt;&gt;3),"Angaben fehlen","Wirksam"))))</f>
        <v/>
      </c>
      <c r="L492">
        <f>IF(K492="Wirksam",SUM(G492:H492)-I492,IF(K492="","","n.a."))</f>
        <v/>
      </c>
    </row>
    <row r="493">
      <c r="K493">
        <f>IF(COUNTA(C493:J493)=0,"",IF(OR(C493&lt;&gt;Steuerung!$F$6,D493&lt;1,D493&gt;12),"Periode prüfen",IF(D493&lt;=Steuerung!$F$8,"IST gesperrt",IF(OR(E493="",F493="",COUNT(G493:I493)&lt;&gt;3),"Angaben fehlen","Wirksam"))))</f>
        <v/>
      </c>
      <c r="L493">
        <f>IF(K493="Wirksam",SUM(G493:H493)-I493,IF(K493="","","n.a."))</f>
        <v/>
      </c>
    </row>
    <row r="494">
      <c r="K494">
        <f>IF(COUNTA(C494:J494)=0,"",IF(OR(C494&lt;&gt;Steuerung!$F$6,D494&lt;1,D494&gt;12),"Periode prüfen",IF(D494&lt;=Steuerung!$F$8,"IST gesperrt",IF(OR(E494="",F494="",COUNT(G494:I494)&lt;&gt;3),"Angaben fehlen","Wirksam"))))</f>
        <v/>
      </c>
      <c r="L494">
        <f>IF(K494="Wirksam",SUM(G494:H494)-I494,IF(K494="","","n.a."))</f>
        <v/>
      </c>
    </row>
    <row r="495">
      <c r="K495">
        <f>IF(COUNTA(C495:J495)=0,"",IF(OR(C495&lt;&gt;Steuerung!$F$6,D495&lt;1,D495&gt;12),"Periode prüfen",IF(D495&lt;=Steuerung!$F$8,"IST gesperrt",IF(OR(E495="",F495="",COUNT(G495:I495)&lt;&gt;3),"Angaben fehlen","Wirksam"))))</f>
        <v/>
      </c>
      <c r="L495">
        <f>IF(K495="Wirksam",SUM(G495:H495)-I495,IF(K495="","","n.a."))</f>
        <v/>
      </c>
    </row>
    <row r="496">
      <c r="K496">
        <f>IF(COUNTA(C496:J496)=0,"",IF(OR(C496&lt;&gt;Steuerung!$F$6,D496&lt;1,D496&gt;12),"Periode prüfen",IF(D496&lt;=Steuerung!$F$8,"IST gesperrt",IF(OR(E496="",F496="",COUNT(G496:I496)&lt;&gt;3),"Angaben fehlen","Wirksam"))))</f>
        <v/>
      </c>
      <c r="L496">
        <f>IF(K496="Wirksam",SUM(G496:H496)-I496,IF(K496="","","n.a."))</f>
        <v/>
      </c>
    </row>
    <row r="497">
      <c r="K497">
        <f>IF(COUNTA(C497:J497)=0,"",IF(OR(C497&lt;&gt;Steuerung!$F$6,D497&lt;1,D497&gt;12),"Periode prüfen",IF(D497&lt;=Steuerung!$F$8,"IST gesperrt",IF(OR(E497="",F497="",COUNT(G497:I497)&lt;&gt;3),"Angaben fehlen","Wirksam"))))</f>
        <v/>
      </c>
      <c r="L497">
        <f>IF(K497="Wirksam",SUM(G497:H497)-I497,IF(K497="","","n.a."))</f>
        <v/>
      </c>
    </row>
    <row r="498">
      <c r="K498">
        <f>IF(COUNTA(C498:J498)=0,"",IF(OR(C498&lt;&gt;Steuerung!$F$6,D498&lt;1,D498&gt;12),"Periode prüfen",IF(D498&lt;=Steuerung!$F$8,"IST gesperrt",IF(OR(E498="",F498="",COUNT(G498:I498)&lt;&gt;3),"Angaben fehlen","Wirksam"))))</f>
        <v/>
      </c>
      <c r="L498">
        <f>IF(K498="Wirksam",SUM(G498:H498)-I498,IF(K498="","","n.a."))</f>
        <v/>
      </c>
    </row>
    <row r="499">
      <c r="K499">
        <f>IF(COUNTA(C499:J499)=0,"",IF(OR(C499&lt;&gt;Steuerung!$F$6,D499&lt;1,D499&gt;12),"Periode prüfen",IF(D499&lt;=Steuerung!$F$8,"IST gesperrt",IF(OR(E499="",F499="",COUNT(G499:I499)&lt;&gt;3),"Angaben fehlen","Wirksam"))))</f>
        <v/>
      </c>
      <c r="L499">
        <f>IF(K499="Wirksam",SUM(G499:H499)-I499,IF(K499="","","n.a."))</f>
        <v/>
      </c>
    </row>
    <row r="500">
      <c r="K500">
        <f>IF(COUNTA(C500:J500)=0,"",IF(OR(C500&lt;&gt;Steuerung!$F$6,D500&lt;1,D500&gt;12),"Periode prüfen",IF(D500&lt;=Steuerung!$F$8,"IST gesperrt",IF(OR(E500="",F500="",COUNT(G500:I500)&lt;&gt;3),"Angaben fehlen","Wirksam"))))</f>
        <v/>
      </c>
      <c r="L500">
        <f>IF(K500="Wirksam",SUM(G500:H500)-I500,IF(K500="","","n.a."))</f>
        <v/>
      </c>
    </row>
    <row r="501">
      <c r="K501">
        <f>IF(COUNTA(C501:J501)=0,"",IF(OR(C501&lt;&gt;Steuerung!$F$6,D501&lt;1,D501&gt;12),"Periode prüfen",IF(D501&lt;=Steuerung!$F$8,"IST gesperrt",IF(OR(E501="",F501="",COUNT(G501:I501)&lt;&gt;3),"Angaben fehlen","Wirksam"))))</f>
        <v/>
      </c>
      <c r="L501">
        <f>IF(K501="Wirksam",SUM(G501:H501)-I501,IF(K501="","","n.a."))</f>
        <v/>
      </c>
    </row>
    <row r="502">
      <c r="K502">
        <f>IF(COUNTA(C502:J502)=0,"",IF(OR(C502&lt;&gt;Steuerung!$F$6,D502&lt;1,D502&gt;12),"Periode prüfen",IF(D502&lt;=Steuerung!$F$8,"IST gesperrt",IF(OR(E502="",F502="",COUNT(G502:I502)&lt;&gt;3),"Angaben fehlen","Wirksam"))))</f>
        <v/>
      </c>
      <c r="L502">
        <f>IF(K502="Wirksam",SUM(G502:H502)-I502,IF(K502="","","n.a."))</f>
        <v/>
      </c>
    </row>
    <row r="503">
      <c r="K503">
        <f>IF(COUNTA(C503:J503)=0,"",IF(OR(C503&lt;&gt;Steuerung!$F$6,D503&lt;1,D503&gt;12),"Periode prüfen",IF(D503&lt;=Steuerung!$F$8,"IST gesperrt",IF(OR(E503="",F503="",COUNT(G503:I503)&lt;&gt;3),"Angaben fehlen","Wirksam"))))</f>
        <v/>
      </c>
      <c r="L503">
        <f>IF(K503="Wirksam",SUM(G503:H503)-I503,IF(K503="","","n.a."))</f>
        <v/>
      </c>
    </row>
    <row r="504">
      <c r="K504">
        <f>IF(COUNTA(C504:J504)=0,"",IF(OR(C504&lt;&gt;Steuerung!$F$6,D504&lt;1,D504&gt;12),"Periode prüfen",IF(D504&lt;=Steuerung!$F$8,"IST gesperrt",IF(OR(E504="",F504="",COUNT(G504:I504)&lt;&gt;3),"Angaben fehlen","Wirksam"))))</f>
        <v/>
      </c>
      <c r="L504">
        <f>IF(K504="Wirksam",SUM(G504:H504)-I504,IF(K504="","","n.a."))</f>
        <v/>
      </c>
    </row>
    <row r="505">
      <c r="K505">
        <f>IF(COUNTA(C505:J505)=0,"",IF(OR(C505&lt;&gt;Steuerung!$F$6,D505&lt;1,D505&gt;12),"Periode prüfen",IF(D505&lt;=Steuerung!$F$8,"IST gesperrt",IF(OR(E505="",F505="",COUNT(G505:I505)&lt;&gt;3),"Angaben fehlen","Wirksam"))))</f>
        <v/>
      </c>
      <c r="L505">
        <f>IF(K505="Wirksam",SUM(G505:H505)-I505,IF(K505="","","n.a."))</f>
        <v/>
      </c>
    </row>
    <row r="506">
      <c r="K506">
        <f>IF(COUNTA(C506:J506)=0,"",IF(OR(C506&lt;&gt;Steuerung!$F$6,D506&lt;1,D506&gt;12),"Periode prüfen",IF(D506&lt;=Steuerung!$F$8,"IST gesperrt",IF(OR(E506="",F506="",COUNT(G506:I506)&lt;&gt;3),"Angaben fehlen","Wirksam"))))</f>
        <v/>
      </c>
      <c r="L506">
        <f>IF(K506="Wirksam",SUM(G506:H506)-I506,IF(K506="","","n.a."))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C2:M6"/>
  <sheetViews>
    <sheetView workbookViewId="0">
      <selection activeCell="A1" sqref="A1"/>
    </sheetView>
  </sheetViews>
  <sheetFormatPr baseColWidth="8" defaultRowHeight="15"/>
  <sheetData>
    <row r="2">
      <c r="C2" t="inlineStr">
        <is>
          <t>Importierte Monats-GuV</t>
        </is>
      </c>
    </row>
    <row r="3">
      <c r="C3" t="inlineStr">
        <is>
          <t>Befüllung über TVF_Import.ts. Eine Zeile je Jahr und Monat. Vorhandene Monate werden gezielt ersetzt. Originalquellen bleiben erhalten.</t>
        </is>
      </c>
    </row>
    <row r="6">
      <c r="C6" t="inlineStr">
        <is>
          <t>Jahr</t>
        </is>
      </c>
      <c r="D6" t="inlineStr">
        <is>
          <t>Monat</t>
        </is>
      </c>
      <c r="E6" t="inlineStr">
        <is>
          <t>Umsatz</t>
        </is>
      </c>
      <c r="F6" t="inlineStr">
        <is>
          <t>Bestand</t>
        </is>
      </c>
      <c r="G6" t="inlineStr">
        <is>
          <t>Sonstige_Ertraege</t>
        </is>
      </c>
      <c r="H6" t="inlineStr">
        <is>
          <t>Materialaufwand</t>
        </is>
      </c>
      <c r="I6" t="inlineStr">
        <is>
          <t>Personalaufwand</t>
        </is>
      </c>
      <c r="J6" t="inlineStr">
        <is>
          <t>Sonstiger_Aufwand</t>
        </is>
      </c>
      <c r="K6" t="inlineStr">
        <is>
          <t>Abschreibungen</t>
        </is>
      </c>
      <c r="L6" t="inlineStr">
        <is>
          <t>Finanzergebnis</t>
        </is>
      </c>
      <c r="M6" t="inlineStr">
        <is>
          <t>Neutrales_Ergebnis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2026-10-12T10:58:34Z</dcterms:created>
  <dcterms:modified xsi:type="dcterms:W3CDTF">2026-10-12T10:59:59Z</dcterms:modified>
</cp:coreProperties>
</file>