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38400" windowHeight="22220" tabRatio="600" firstSheet="0" activeTab="0" autoFilterDateGrouping="1"/>
  </bookViews>
  <sheets>
    <sheet name="Cockpit" sheetId="1" state="visible" r:id="rId1"/>
    <sheet name="Steuerung" sheetId="2" state="visible" r:id="rId2"/>
    <sheet name="GuV" sheetId="3" state="visible" r:id="rId3"/>
    <sheet name="Forecast" sheetId="4" state="visible" r:id="rId4"/>
    <sheet name="Monatsroll" sheetId="5" state="visible" r:id="rId5"/>
    <sheet name="FC Eingabe" sheetId="6" state="visible" r:id="rId6"/>
    <sheet name="Import Monatsdaten" sheetId="7" state="visible" r:id="rId7"/>
    <sheet name="D Finanzen" sheetId="8" state="visible" r:id="rId8"/>
  </sheets>
  <definedNames/>
  <calcPr calcId="191029" calcMode="auto" fullCalcOnLoad="1"/>
</workbook>
</file>

<file path=xl/styles.xml><?xml version="1.0" encoding="utf-8"?>
<styleSheet xmlns="http://schemas.openxmlformats.org/spreadsheetml/2006/main">
  <numFmts count="6">
    <numFmt numFmtId="164" formatCode="#,##0.00;[Red]\(#,##0.00\);&quot;–&quot;"/>
    <numFmt numFmtId="165" formatCode="dd\.mm\.yyyy"/>
    <numFmt numFmtId="166" formatCode="#,##0;[Red]\(#,##0\);&quot;–&quot;"/>
    <numFmt numFmtId="167" formatCode="0.0%;[Red]\(0.0%\);&quot;–&quot;"/>
    <numFmt numFmtId="168" formatCode="#,##0.00;[Red]\(#,##0.00\);0.00"/>
    <numFmt numFmtId="169" formatCode="#,##0,&quot; T€&quot;;[Red]\(#,##0,&quot; T€&quot;\);&quot;–&quot;"/>
  </numFmts>
  <fonts count="15">
    <font>
      <name val="Carlito"/>
      <sz val="11"/>
    </font>
    <font>
      <name val="Arial"/>
      <family val="2"/>
      <color rgb="FF1E293B"/>
      <sz val="10"/>
    </font>
    <font>
      <name val="Arial"/>
      <family val="2"/>
      <b val="1"/>
      <color rgb="FF1E293B"/>
      <sz val="16"/>
    </font>
    <font>
      <name val="Arial"/>
      <family val="2"/>
      <color rgb="FF64748B"/>
      <sz val="10"/>
    </font>
    <font>
      <name val="Arial"/>
      <family val="2"/>
      <b val="1"/>
      <color rgb="FF1E293B"/>
      <sz val="10"/>
    </font>
    <font>
      <name val="Arial"/>
      <family val="2"/>
      <b val="1"/>
      <color rgb="FFFFFFFF"/>
      <sz val="10"/>
    </font>
    <font>
      <name val="Carlito"/>
      <b val="1"/>
      <color rgb="FF1E293B"/>
      <sz val="11"/>
    </font>
    <font>
      <name val="Arial"/>
      <family val="2"/>
      <color rgb="FF2563EB"/>
      <sz val="10"/>
    </font>
    <font>
      <name val="Arial"/>
      <family val="2"/>
      <b val="1"/>
      <color rgb="FF2563EB"/>
      <sz val="10"/>
    </font>
    <font>
      <name val="Carlito"/>
      <color rgb="FF2563EB"/>
      <sz val="11"/>
    </font>
    <font>
      <name val="Arial"/>
      <family val="2"/>
      <b val="1"/>
      <color rgb="FF1E293B"/>
      <sz val="20"/>
    </font>
    <font>
      <name val="Arial"/>
      <family val="2"/>
      <color rgb="FF2563EB"/>
      <sz val="10"/>
      <u val="single"/>
    </font>
    <font>
      <name val="Arial"/>
      <family val="2"/>
      <color rgb="FF00804A"/>
      <sz val="10"/>
    </font>
    <font>
      <name val="Arial"/>
      <family val="2"/>
      <b val="1"/>
      <color rgb="FF00804A"/>
      <sz val="10"/>
    </font>
    <font>
      <name val="Carlito"/>
      <sz val="11"/>
    </font>
  </fonts>
  <fills count="8">
    <fill>
      <patternFill/>
    </fill>
    <fill>
      <patternFill patternType="gray125"/>
    </fill>
    <fill>
      <patternFill patternType="solid">
        <fgColor rgb="FFF0F4F8"/>
      </patternFill>
    </fill>
    <fill>
      <patternFill patternType="solid">
        <fgColor rgb="FF1E293B"/>
      </patternFill>
    </fill>
    <fill>
      <patternFill patternType="solid">
        <fgColor rgb="FFFFF3CD"/>
      </patternFill>
    </fill>
    <fill>
      <patternFill patternType="solid">
        <fgColor rgb="FFEFF6FF"/>
      </patternFill>
    </fill>
    <fill>
      <patternFill patternType="solid">
        <fgColor rgb="FF2563EB"/>
      </patternFill>
    </fill>
    <fill>
      <patternFill patternType="solid">
        <fgColor rgb="FF8B5CF6"/>
      </patternFill>
    </fill>
  </fills>
  <borders count="3">
    <border>
      <left/>
      <right/>
      <top/>
      <bottom/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/>
      <diagonal/>
    </border>
  </borders>
  <cellStyleXfs count="2">
    <xf numFmtId="0" fontId="14" fillId="0" borderId="0"/>
    <xf numFmtId="0" fontId="14" fillId="0" borderId="0"/>
  </cellStyleXfs>
  <cellXfs count="61">
    <xf numFmtId="0" fontId="0" fillId="0" borderId="0" pivotButton="0" quotePrefix="0" xfId="0"/>
    <xf numFmtId="0" fontId="1" fillId="0" borderId="0" pivotButton="0" quotePrefix="0" xfId="1"/>
    <xf numFmtId="0" fontId="1" fillId="0" borderId="0" applyAlignment="1" pivotButton="0" quotePrefix="0" xfId="1">
      <alignment vertical="center"/>
    </xf>
    <xf numFmtId="0" fontId="5" fillId="3" borderId="0" applyAlignment="1" pivotButton="0" quotePrefix="0" xfId="1">
      <alignment horizontal="center" vertical="center" wrapText="1"/>
    </xf>
    <xf numFmtId="1" fontId="1" fillId="0" borderId="0" applyAlignment="1" pivotButton="0" quotePrefix="0" xfId="1">
      <alignment horizontal="right" vertical="center"/>
    </xf>
    <xf numFmtId="164" fontId="1" fillId="0" borderId="0" applyAlignment="1" pivotButton="0" quotePrefix="0" xfId="1">
      <alignment horizontal="right" vertical="center"/>
    </xf>
    <xf numFmtId="0" fontId="1" fillId="0" borderId="0" applyAlignment="1" pivotButton="0" quotePrefix="0" xfId="1">
      <alignment vertical="center"/>
    </xf>
    <xf numFmtId="1" fontId="1" fillId="0" borderId="0" applyAlignment="1" pivotButton="0" quotePrefix="0" xfId="1">
      <alignment horizontal="right"/>
    </xf>
    <xf numFmtId="164" fontId="1" fillId="0" borderId="0" applyAlignment="1" pivotButton="0" quotePrefix="0" xfId="1">
      <alignment horizontal="right"/>
    </xf>
    <xf numFmtId="0" fontId="6" fillId="2" borderId="0" pivotButton="0" quotePrefix="0" xfId="1"/>
    <xf numFmtId="0" fontId="1" fillId="0" borderId="0" pivotButton="0" quotePrefix="0" xfId="1"/>
    <xf numFmtId="0" fontId="1" fillId="0" borderId="0" applyAlignment="1" pivotButton="0" quotePrefix="0" xfId="1">
      <alignment vertical="center" wrapText="1"/>
    </xf>
    <xf numFmtId="0" fontId="7" fillId="4" borderId="0" applyAlignment="1" pivotButton="0" quotePrefix="0" xfId="1">
      <alignment vertical="center"/>
    </xf>
    <xf numFmtId="165" fontId="7" fillId="4" borderId="0" applyAlignment="1" pivotButton="0" quotePrefix="0" xfId="1">
      <alignment horizontal="right" vertical="center"/>
    </xf>
    <xf numFmtId="0" fontId="7" fillId="4" borderId="0" pivotButton="0" quotePrefix="0" xfId="1"/>
    <xf numFmtId="164" fontId="7" fillId="4" borderId="0" applyAlignment="1" pivotButton="0" quotePrefix="0" xfId="1">
      <alignment horizontal="right" vertical="center"/>
    </xf>
    <xf numFmtId="164" fontId="7" fillId="4" borderId="0" applyAlignment="1" pivotButton="0" quotePrefix="0" xfId="1">
      <alignment horizontal="right"/>
    </xf>
    <xf numFmtId="166" fontId="1" fillId="0" borderId="0" applyAlignment="1" pivotButton="0" quotePrefix="0" xfId="1">
      <alignment horizontal="right" vertical="center"/>
    </xf>
    <xf numFmtId="167" fontId="1" fillId="0" borderId="0" applyAlignment="1" pivotButton="0" quotePrefix="0" xfId="1">
      <alignment horizontal="right" vertical="center"/>
    </xf>
    <xf numFmtId="0" fontId="4" fillId="5" borderId="0" applyAlignment="1" pivotButton="0" quotePrefix="0" xfId="1">
      <alignment vertical="center"/>
    </xf>
    <xf numFmtId="0" fontId="4" fillId="5" borderId="2" applyAlignment="1" pivotButton="0" quotePrefix="0" xfId="1">
      <alignment vertical="center"/>
    </xf>
    <xf numFmtId="166" fontId="4" fillId="5" borderId="2" applyAlignment="1" pivotButton="0" quotePrefix="0" xfId="1">
      <alignment horizontal="right" vertical="center"/>
    </xf>
    <xf numFmtId="167" fontId="4" fillId="5" borderId="2" applyAlignment="1" pivotButton="0" quotePrefix="0" xfId="1">
      <alignment horizontal="right" vertical="center"/>
    </xf>
    <xf numFmtId="166" fontId="1" fillId="0" borderId="0" applyAlignment="1" pivotButton="0" quotePrefix="0" xfId="1">
      <alignment horizontal="right"/>
    </xf>
    <xf numFmtId="167" fontId="1" fillId="0" borderId="0" applyAlignment="1" pivotButton="0" quotePrefix="0" xfId="1">
      <alignment horizontal="right"/>
    </xf>
    <xf numFmtId="164" fontId="4" fillId="5" borderId="0" applyAlignment="1" pivotButton="0" quotePrefix="0" xfId="1">
      <alignment horizontal="right" vertical="center"/>
    </xf>
    <xf numFmtId="164" fontId="4" fillId="5" borderId="2" applyAlignment="1" pivotButton="0" quotePrefix="0" xfId="1">
      <alignment horizontal="right" vertical="center"/>
    </xf>
    <xf numFmtId="167" fontId="7" fillId="4" borderId="0" applyAlignment="1" pivotButton="0" quotePrefix="0" xfId="1">
      <alignment horizontal="right" vertical="center"/>
    </xf>
    <xf numFmtId="165" fontId="1" fillId="0" borderId="0" applyAlignment="1" pivotButton="0" quotePrefix="0" xfId="1">
      <alignment horizontal="right" vertical="center"/>
    </xf>
    <xf numFmtId="165" fontId="1" fillId="0" borderId="0" applyAlignment="1" pivotButton="0" quotePrefix="0" xfId="1">
      <alignment horizontal="right"/>
    </xf>
    <xf numFmtId="167" fontId="7" fillId="4" borderId="0" applyAlignment="1" pivotButton="0" quotePrefix="0" xfId="1">
      <alignment horizontal="right"/>
    </xf>
    <xf numFmtId="165" fontId="7" fillId="4" borderId="0" applyAlignment="1" pivotButton="0" quotePrefix="0" xfId="1">
      <alignment horizontal="right"/>
    </xf>
    <xf numFmtId="0" fontId="1" fillId="0" borderId="0" applyAlignment="1" pivotButton="0" quotePrefix="0" xfId="1">
      <alignment wrapText="1"/>
    </xf>
    <xf numFmtId="166" fontId="0" fillId="0" borderId="0" applyAlignment="1" pivotButton="0" quotePrefix="0" xfId="1">
      <alignment horizontal="right"/>
    </xf>
    <xf numFmtId="164" fontId="0" fillId="0" borderId="0" applyAlignment="1" pivotButton="0" quotePrefix="0" xfId="1">
      <alignment horizontal="right"/>
    </xf>
    <xf numFmtId="0" fontId="9" fillId="4" borderId="0" pivotButton="0" quotePrefix="0" xfId="1"/>
    <xf numFmtId="168" fontId="1" fillId="0" borderId="0" applyAlignment="1" pivotButton="0" quotePrefix="0" xfId="1">
      <alignment horizontal="right" vertical="center"/>
    </xf>
    <xf numFmtId="0" fontId="11" fillId="0" borderId="0" applyAlignment="1" pivotButton="0" quotePrefix="0" xfId="1">
      <alignment vertical="center"/>
    </xf>
    <xf numFmtId="164" fontId="5" fillId="3" borderId="0" applyAlignment="1" pivotButton="0" quotePrefix="0" xfId="1">
      <alignment horizontal="center" vertical="center" wrapText="1"/>
    </xf>
    <xf numFmtId="167" fontId="8" fillId="4" borderId="0" applyAlignment="1" pivotButton="0" quotePrefix="0" xfId="1">
      <alignment horizontal="right" vertical="center" wrapText="1"/>
    </xf>
    <xf numFmtId="164" fontId="12" fillId="0" borderId="0" applyAlignment="1" pivotButton="0" quotePrefix="0" xfId="1">
      <alignment horizontal="right" vertical="center"/>
    </xf>
    <xf numFmtId="167" fontId="12" fillId="0" borderId="0" applyAlignment="1" pivotButton="0" quotePrefix="0" xfId="1">
      <alignment horizontal="right" vertical="center"/>
    </xf>
    <xf numFmtId="0" fontId="12" fillId="0" borderId="0" applyAlignment="1" pivotButton="0" quotePrefix="0" xfId="1">
      <alignment vertical="center"/>
    </xf>
    <xf numFmtId="166" fontId="12" fillId="0" borderId="0" applyAlignment="1" pivotButton="0" quotePrefix="0" xfId="1">
      <alignment horizontal="right" vertical="center"/>
    </xf>
    <xf numFmtId="166" fontId="13" fillId="5" borderId="2" applyAlignment="1" pivotButton="0" quotePrefix="0" xfId="1">
      <alignment horizontal="right" vertical="center"/>
    </xf>
    <xf numFmtId="166" fontId="12" fillId="0" borderId="0" applyAlignment="1" pivotButton="0" quotePrefix="0" xfId="1">
      <alignment horizontal="right"/>
    </xf>
    <xf numFmtId="0" fontId="12" fillId="0" borderId="0" pivotButton="0" quotePrefix="0" xfId="1"/>
    <xf numFmtId="0" fontId="11" fillId="0" borderId="0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0" fillId="0" borderId="0" applyAlignment="1" pivotButton="0" quotePrefix="0" xfId="1">
      <alignment wrapText="1"/>
    </xf>
    <xf numFmtId="0" fontId="3" fillId="0" borderId="0" applyAlignment="1" pivotButton="0" quotePrefix="0" xfId="1">
      <alignment vertical="center"/>
    </xf>
    <xf numFmtId="0" fontId="1" fillId="0" borderId="0" applyAlignment="1" pivotButton="0" quotePrefix="0" xfId="1">
      <alignment vertical="center" wrapText="1"/>
    </xf>
    <xf numFmtId="0" fontId="4" fillId="2" borderId="0" applyAlignment="1" pivotButton="0" quotePrefix="0" xfId="1">
      <alignment vertical="center"/>
    </xf>
    <xf numFmtId="0" fontId="2" fillId="0" borderId="1" applyAlignment="1" pivotButton="0" quotePrefix="0" xfId="1">
      <alignment vertical="center"/>
    </xf>
    <xf numFmtId="0" fontId="3" fillId="0" borderId="0" applyAlignment="1" pivotButton="0" quotePrefix="0" xfId="1">
      <alignment vertical="center" wrapText="1"/>
    </xf>
    <xf numFmtId="0" fontId="5" fillId="6" borderId="0" applyAlignment="1" pivotButton="0" quotePrefix="0" xfId="1">
      <alignment vertical="center"/>
    </xf>
    <xf numFmtId="169" fontId="10" fillId="5" borderId="0" applyAlignment="1" pivotButton="0" quotePrefix="0" xfId="1">
      <alignment horizontal="right" vertical="center"/>
    </xf>
    <xf numFmtId="0" fontId="5" fillId="7" borderId="0" applyAlignment="1" pivotButton="0" quotePrefix="0" xfId="1">
      <alignment vertical="center"/>
    </xf>
    <xf numFmtId="0" fontId="6" fillId="2" borderId="0" pivotButton="0" quotePrefix="0" xfId="1"/>
    <xf numFmtId="0" fontId="7" fillId="4" borderId="0" applyAlignment="1" pivotButton="0" quotePrefix="0" xfId="1">
      <alignment vertical="center"/>
    </xf>
    <xf numFmtId="0" fontId="0" fillId="0" borderId="1" pivotButton="0" quotePrefix="0" xfId="0"/>
  </cellXfs>
  <cellStyles count="2">
    <cellStyle name="Standard" xfId="0" builtinId="0"/>
    <cellStyle name="Normal" xfId="1"/>
  </cellStyles>
  <dxfs count="9">
    <dxf>
      <font>
        <color rgb="FFB91C1C"/>
      </font>
      <fill>
        <patternFill patternType="solid">
          <bgColor rgb="FFFEE2E2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color rgb="FFB91C1C"/>
      </font>
      <fill>
        <patternFill patternType="solid">
          <bgColor rgb="FFFEE2E2"/>
        </patternFill>
      </fill>
    </dxf>
    <dxf>
      <font>
        <color rgb="FFB91C1C"/>
      </font>
      <fill>
        <patternFill patternType="solid">
          <bgColor rgb="FFFEE2E2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color rgb="FFB91C1C"/>
      </font>
      <fill>
        <patternFill patternType="solid">
          <bgColor rgb="FFFEE2E2"/>
        </patternFill>
      </fill>
    </dxf>
    <dxf>
      <font>
        <color rgb="FFB91C1C"/>
      </font>
      <fill>
        <patternFill patternType="solid">
          <bgColor rgb="FFFEE2E2"/>
        </patternFill>
      </fill>
    </dxf>
    <dxf>
      <font>
        <color rgb="FFB91C1C"/>
      </font>
      <fill>
        <patternFill patternType="solid">
          <bgColor rgb="FFFEE2E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de-DE" sz="900">
                <a:latin typeface="Arial"/>
                <a:ea typeface="Arial"/>
                <a:cs typeface="Arial"/>
              </a:rPr>
              <a:t>Gesamtleistung Ist/Forecast und Plan (EUR)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v>Gesamtleistung</v>
          </tx>
          <spPr>
            <a:ln w="1905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Cockpit!$C$32:$C$43</f>
              <strCache>
                <ptCount val="12"/>
                <pt idx="0">
                  <v>Jan</v>
                </pt>
                <pt idx="1">
                  <v>Feb</v>
                </pt>
                <pt idx="2">
                  <v>Mär</v>
                </pt>
                <pt idx="3">
                  <v>Apr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Okt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Cockpit!$D$32:$D$43</f>
              <numCache>
                <formatCode>#,##0;[Red]\(#,##0\);"–"</formatCode>
                <ptCount val="12"/>
                <pt idx="0">
                  <v>1920412.71</v>
                </pt>
                <pt idx="1">
                  <v>2577067.73</v>
                </pt>
                <pt idx="2">
                  <v>2412212.87</v>
                </pt>
                <pt idx="3">
                  <v>1939563.48</v>
                </pt>
                <pt idx="4">
                  <v>1083981.39</v>
                </pt>
                <pt idx="5">
                  <v>2784687.33</v>
                </pt>
                <pt idx="6">
                  <v>1618644.66</v>
                </pt>
                <pt idx="7">
                  <v>1876864.98</v>
                </pt>
                <pt idx="8">
                  <v>2604944</v>
                </pt>
                <pt idx="9">
                  <v>1333000</v>
                </pt>
                <pt idx="10">
                  <v>1775000</v>
                </pt>
                <pt idx="11">
                  <v>1073000</v>
                </pt>
              </numCache>
            </numRef>
          </val>
          <smooth val="0"/>
        </ser>
        <ser>
          <idx val="1"/>
          <order val="1"/>
          <tx>
            <v>GL Plan</v>
          </tx>
          <spPr>
            <a:ln w="19050">
              <a:solidFill>
                <a:srgbClr val="8B5C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Cockpit!$C$32:$C$43</f>
              <strCache>
                <ptCount val="12"/>
                <pt idx="0">
                  <v>Jan</v>
                </pt>
                <pt idx="1">
                  <v>Feb</v>
                </pt>
                <pt idx="2">
                  <v>Mär</v>
                </pt>
                <pt idx="3">
                  <v>Apr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Okt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Cockpit!$E$32:$E$43</f>
              <numCache>
                <formatCode>#,##0;[Red]\(#,##0\);"–"</formatCode>
                <ptCount val="12"/>
                <pt idx="0">
                  <v>1416000</v>
                </pt>
                <pt idx="1">
                  <v>1348000</v>
                </pt>
                <pt idx="2">
                  <v>1483000</v>
                </pt>
                <pt idx="3">
                  <v>1348000</v>
                </pt>
                <pt idx="4">
                  <v>1213000</v>
                </pt>
                <pt idx="5">
                  <v>1483000</v>
                </pt>
                <pt idx="6">
                  <v>1551000</v>
                </pt>
                <pt idx="7">
                  <v>1416000</v>
                </pt>
                <pt idx="8">
                  <v>1483000</v>
                </pt>
                <pt idx="9">
                  <v>1483000</v>
                </pt>
                <pt idx="10">
                  <v>1416000</v>
                </pt>
                <pt idx="11">
                  <v>1483000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  <a:endParaRPr lang="de-DE"/>
          </a:p>
        </txPr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.0,,&quot; Mio.&quot;" sourceLinked="0"/>
        <majorTickMark val="none"/>
        <minorTickMark val="none"/>
        <tickLblPos val="nextTo"/>
        <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  <a:endParaRPr lang="de-DE"/>
          </a:p>
        </txPr>
        <crossAx val="48650112"/>
        <crosses val="autoZero"/>
        <crossBetween val="between"/>
      </valAx>
    </plotArea>
    <legend>
      <legendPos val="t"/>
      <overlay val="0"/>
      <txPr>
        <a:bodyPr anchorCtr="1"/>
        <a:lstStyle/>
        <a:p>
          <a:pPr>
            <a:defRPr sz="750">
              <a:latin typeface="Arial"/>
              <a:ea typeface="Arial"/>
              <a:cs typeface="Arial"/>
            </a:defRPr>
          </a:pPr>
          <a:r>
            <a:t>None</a:t>
          </a:r>
          <a:endParaRPr lang="de-DE"/>
        </a:p>
      </txPr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de-DE" sz="900">
                <a:latin typeface="Arial"/>
                <a:ea typeface="Arial"/>
                <a:cs typeface="Arial"/>
              </a:rPr>
              <a:t>EBITDA Ist/Forecast und Plan (EUR)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EBITDA Ist/FC</v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Cockpit!$C$32:$C$43</f>
              <strCache>
                <ptCount val="12"/>
                <pt idx="0">
                  <v>Jan</v>
                </pt>
                <pt idx="1">
                  <v>Feb</v>
                </pt>
                <pt idx="2">
                  <v>Mär</v>
                </pt>
                <pt idx="3">
                  <v>Apr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Okt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Cockpit!$F$32:$F$43</f>
              <numCache>
                <formatCode>#,##0;[Red]\(#,##0\);"–"</formatCode>
                <ptCount val="12"/>
                <pt idx="0">
                  <v>294942.37</v>
                </pt>
                <pt idx="1">
                  <v>318570.76</v>
                </pt>
                <pt idx="2">
                  <v>23595.18</v>
                </pt>
                <pt idx="3">
                  <v>-179274.07</v>
                </pt>
                <pt idx="4">
                  <v>-141241.9</v>
                </pt>
                <pt idx="5">
                  <v>58553.86</v>
                </pt>
                <pt idx="6">
                  <v>-495291.54</v>
                </pt>
                <pt idx="7">
                  <v>-138242.37</v>
                </pt>
                <pt idx="8">
                  <v>309886</v>
                </pt>
                <pt idx="9">
                  <v>118692</v>
                </pt>
                <pt idx="10">
                  <v>380092</v>
                </pt>
                <pt idx="11">
                  <v>-110405</v>
                </pt>
              </numCache>
            </numRef>
          </val>
        </ser>
        <ser>
          <idx val="1"/>
          <order val="1"/>
          <tx>
            <v>EBITDA Plan</v>
          </tx>
          <spPr>
            <a:solidFill>
              <a:srgbClr val="8B5CF6"/>
            </a:solidFill>
            <a:ln>
              <a:prstDash val="solid"/>
            </a:ln>
          </spPr>
          <invertIfNegative val="1"/>
          <cat>
            <strRef>
              <f>Cockpit!$C$32:$C$43</f>
              <strCache>
                <ptCount val="12"/>
                <pt idx="0">
                  <v>Jan</v>
                </pt>
                <pt idx="1">
                  <v>Feb</v>
                </pt>
                <pt idx="2">
                  <v>Mär</v>
                </pt>
                <pt idx="3">
                  <v>Apr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Okt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Cockpit!$G$32:$G$43</f>
              <numCache>
                <formatCode>#,##0;[Red]\(#,##0\);"–"</formatCode>
                <ptCount val="12"/>
                <pt idx="0">
                  <v>76000</v>
                </pt>
                <pt idx="1">
                  <v>25000</v>
                </pt>
                <pt idx="2">
                  <v>127000</v>
                </pt>
                <pt idx="3">
                  <v>24000</v>
                </pt>
                <pt idx="4">
                  <v>-79000</v>
                </pt>
                <pt idx="5">
                  <v>126000</v>
                </pt>
                <pt idx="6">
                  <v>178000</v>
                </pt>
                <pt idx="7">
                  <v>76000</v>
                </pt>
                <pt idx="8">
                  <v>125000</v>
                </pt>
                <pt idx="9">
                  <v>125000</v>
                </pt>
                <pt idx="10">
                  <v>73000</v>
                </pt>
                <pt idx="11">
                  <v>124000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  <a:endParaRPr lang="de-DE"/>
          </a:p>
        </txPr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.0,,&quot; Mio.&quot;" sourceLinked="0"/>
        <majorTickMark val="none"/>
        <minorTickMark val="none"/>
        <tickLblPos val="nextTo"/>
        <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  <a:endParaRPr lang="de-DE"/>
          </a:p>
        </txPr>
        <crossAx val="48650112"/>
        <crosses val="autoZero"/>
        <crossBetween val="between"/>
      </valAx>
    </plotArea>
    <legend>
      <legendPos val="t"/>
      <overlay val="0"/>
      <txPr>
        <a:bodyPr anchorCtr="1"/>
        <a:lstStyle/>
        <a:p>
          <a:pPr>
            <a:defRPr sz="750">
              <a:latin typeface="Arial"/>
              <a:ea typeface="Arial"/>
              <a:cs typeface="Arial"/>
            </a:defRPr>
          </a:pPr>
          <a:r>
            <a:t>None</a:t>
          </a:r>
          <a:endParaRPr lang="de-DE"/>
        </a:p>
      </txPr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sz="900">
                <a:latin typeface="Arial"/>
                <a:ea typeface="Arial"/>
                <a:cs typeface="Arial"/>
              </a:rPr>
              <a:t>EBITDA Ist/Forecast und Plan (EUR)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EBITDA aktiv</v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numRef>
              <f>Forecast!$C$7:$C$18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Forecast!$L$7:$L$18</f>
              <numCache>
                <formatCode>#,##0;[Red]\(#,##0\);"–"</formatCode>
                <ptCount val="12"/>
                <pt idx="0">
                  <v>294942.37</v>
                </pt>
                <pt idx="1">
                  <v>318570.76</v>
                </pt>
                <pt idx="2">
                  <v>23595.18</v>
                </pt>
                <pt idx="3">
                  <v>-179274.07</v>
                </pt>
                <pt idx="4">
                  <v>-141241.9</v>
                </pt>
                <pt idx="5">
                  <v>58553.86</v>
                </pt>
                <pt idx="6">
                  <v>-495291.54</v>
                </pt>
                <pt idx="7">
                  <v>-138242.37</v>
                </pt>
                <pt idx="8">
                  <v>309886</v>
                </pt>
                <pt idx="9">
                  <v>118692</v>
                </pt>
                <pt idx="10">
                  <v>380092</v>
                </pt>
                <pt idx="11">
                  <v>-110405</v>
                </pt>
              </numCache>
            </numRef>
          </val>
        </ser>
        <ser>
          <idx val="1"/>
          <order val="1"/>
          <tx>
            <v>EBITDA Plan</v>
          </tx>
          <spPr>
            <a:solidFill>
              <a:srgbClr val="8B5CF6"/>
            </a:solidFill>
            <a:ln>
              <a:prstDash val="solid"/>
            </a:ln>
          </spPr>
          <invertIfNegative val="1"/>
          <cat>
            <numRef>
              <f>Forecast!$C$7:$C$18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Forecast!$N$7:$N$18</f>
              <numCache>
                <formatCode>#,##0;[Red]\(#,##0\);"–"</formatCode>
                <ptCount val="12"/>
                <pt idx="0">
                  <v>76000</v>
                </pt>
                <pt idx="1">
                  <v>25000</v>
                </pt>
                <pt idx="2">
                  <v>127000</v>
                </pt>
                <pt idx="3">
                  <v>24000</v>
                </pt>
                <pt idx="4">
                  <v>-79000</v>
                </pt>
                <pt idx="5">
                  <v>126000</v>
                </pt>
                <pt idx="6">
                  <v>178000</v>
                </pt>
                <pt idx="7">
                  <v>76000</v>
                </pt>
                <pt idx="8">
                  <v>125000</v>
                </pt>
                <pt idx="9">
                  <v>125000</v>
                </pt>
                <pt idx="10">
                  <v>73000</v>
                </pt>
                <pt idx="11">
                  <v>124000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  <a:endParaRPr lang="de-DE"/>
          </a:p>
        </txPr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.0,,&quot; Mio.&quot;" sourceLinked="0"/>
        <majorTickMark val="none"/>
        <minorTickMark val="none"/>
        <tickLblPos val="nextTo"/>
        <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  <a:endParaRPr lang="de-DE"/>
          </a:p>
        </txPr>
        <crossAx val="48650112"/>
        <crosses val="autoZero"/>
        <crossBetween val="between"/>
      </valAx>
    </plotArea>
    <legend>
      <legendPos val="t"/>
      <overlay val="0"/>
      <txPr>
        <a:bodyPr anchorCtr="1"/>
        <a:lstStyle/>
        <a:p>
          <a:pPr>
            <a:defRPr sz="750">
              <a:latin typeface="Arial"/>
              <a:ea typeface="Arial"/>
              <a:cs typeface="Arial"/>
            </a:defRPr>
          </a:pPr>
          <a:r>
            <a:t>None</a:t>
          </a:r>
          <a:endParaRPr lang="de-DE"/>
        </a:p>
      </txPr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sz="900">
                <a:latin typeface="Arial"/>
                <a:ea typeface="Arial"/>
                <a:cs typeface="Arial"/>
              </a:rPr>
              <a:t>Gesamtleistung Ist/Forecast und Plan (EUR)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v>Gesamtleistung</v>
          </tx>
          <spPr>
            <a:ln w="1905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Forecast!$C$7:$C$18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Forecast!$I$7:$I$18</f>
              <numCache>
                <formatCode>#,##0;[Red]\(#,##0\);"–"</formatCode>
                <ptCount val="12"/>
                <pt idx="0">
                  <v>1920412.71</v>
                </pt>
                <pt idx="1">
                  <v>2577067.73</v>
                </pt>
                <pt idx="2">
                  <v>2412212.87</v>
                </pt>
                <pt idx="3">
                  <v>1939563.48</v>
                </pt>
                <pt idx="4">
                  <v>1083981.39</v>
                </pt>
                <pt idx="5">
                  <v>2784687.33</v>
                </pt>
                <pt idx="6">
                  <v>1618644.66</v>
                </pt>
                <pt idx="7">
                  <v>1876864.98</v>
                </pt>
                <pt idx="8">
                  <v>2604944</v>
                </pt>
                <pt idx="9">
                  <v>1333000</v>
                </pt>
                <pt idx="10">
                  <v>1775000</v>
                </pt>
                <pt idx="11">
                  <v>1073000</v>
                </pt>
              </numCache>
            </numRef>
          </val>
          <smooth val="0"/>
        </ser>
        <ser>
          <idx val="1"/>
          <order val="1"/>
          <tx>
            <v>GL Plan</v>
          </tx>
          <spPr>
            <a:ln w="19050">
              <a:solidFill>
                <a:srgbClr val="8B5C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Forecast!$C$7:$C$18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Forecast!$M$7:$M$18</f>
              <numCache>
                <formatCode>#,##0;[Red]\(#,##0\);"–"</formatCode>
                <ptCount val="12"/>
                <pt idx="0">
                  <v>1416000</v>
                </pt>
                <pt idx="1">
                  <v>1348000</v>
                </pt>
                <pt idx="2">
                  <v>1483000</v>
                </pt>
                <pt idx="3">
                  <v>1348000</v>
                </pt>
                <pt idx="4">
                  <v>1213000</v>
                </pt>
                <pt idx="5">
                  <v>1483000</v>
                </pt>
                <pt idx="6">
                  <v>1551000</v>
                </pt>
                <pt idx="7">
                  <v>1416000</v>
                </pt>
                <pt idx="8">
                  <v>1483000</v>
                </pt>
                <pt idx="9">
                  <v>1483000</v>
                </pt>
                <pt idx="10">
                  <v>1416000</v>
                </pt>
                <pt idx="11">
                  <v>1483000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  <a:endParaRPr lang="de-DE"/>
          </a:p>
        </txPr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.0,,&quot; Mio.&quot;" sourceLinked="0"/>
        <majorTickMark val="none"/>
        <minorTickMark val="none"/>
        <tickLblPos val="nextTo"/>
        <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  <a:endParaRPr lang="de-DE"/>
          </a:p>
        </txPr>
        <crossAx val="48650112"/>
        <crosses val="autoZero"/>
        <crossBetween val="between"/>
      </valAx>
    </plotArea>
    <legend>
      <legendPos val="t"/>
      <overlay val="0"/>
      <txPr>
        <a:bodyPr anchorCtr="1"/>
        <a:lstStyle/>
        <a:p>
          <a:pPr>
            <a:defRPr sz="750">
              <a:latin typeface="Arial"/>
              <a:ea typeface="Arial"/>
              <a:cs typeface="Arial"/>
            </a:defRPr>
          </a:pPr>
          <a:r>
            <a:t>None</a:t>
          </a:r>
          <a:endParaRPr lang="de-DE"/>
        </a:p>
      </txPr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sz="900">
                <a:latin typeface="Arial"/>
                <a:ea typeface="Arial"/>
                <a:cs typeface="Arial"/>
              </a:rPr>
              <a:t>Cash-Pool Ist und Modell (EUR)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v>Cash-Ende</v>
          </tx>
          <spPr>
            <a:ln w="1905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Monatsroll!$C$7:$C$18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Monatsroll!$Q$7:$Q$18</f>
              <numCache>
                <formatCode>#,##0;[Red]\(#,##0\);"–"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1491961.89</v>
                </pt>
                <pt idx="9">
                  <v>2040660.25</v>
                </pt>
                <pt idx="10">
                  <v>2507994.71</v>
                </pt>
                <pt idx="11">
                  <v>2319140.81</v>
                </pt>
              </numCache>
            </numRef>
          </val>
          <smooth val="0"/>
        </ser>
        <ser>
          <idx val="1"/>
          <order val="1"/>
          <tx>
            <v>Ist-Cash</v>
          </tx>
          <spPr>
            <a:ln w="19050">
              <a:solidFill>
                <a:srgbClr val="8B5C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Monatsroll!$C$7:$C$18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Monatsroll!$R$7:$R$18</f>
              <numCache>
                <formatCode>#,##0;[Red]\(#,##0\);"–"</formatCode>
                <ptCount val="12"/>
                <pt idx="0">
                  <v>-967394.51</v>
                </pt>
                <pt idx="1">
                  <v>-1687613.22</v>
                </pt>
                <pt idx="2">
                  <v>-1081708.41</v>
                </pt>
                <pt idx="3">
                  <v>-1858253.62</v>
                </pt>
                <pt idx="4">
                  <v>-2445311.2</v>
                </pt>
                <pt idx="5">
                  <v>-1778289.46</v>
                </pt>
                <pt idx="6">
                  <v>-919229.04</v>
                </pt>
                <pt idx="7">
                  <v>1944327.5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  <a:endParaRPr lang="de-DE"/>
          </a:p>
        </txPr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.0,,&quot; Mio.&quot;" sourceLinked="0"/>
        <majorTickMark val="none"/>
        <minorTickMark val="none"/>
        <tickLblPos val="nextTo"/>
        <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  <a:endParaRPr lang="de-DE"/>
          </a:p>
        </txPr>
        <crossAx val="48650112"/>
        <crosses val="autoZero"/>
        <crossBetween val="between"/>
      </valAx>
    </plotArea>
    <legend>
      <legendPos val="t"/>
      <overlay val="0"/>
      <txPr>
        <a:bodyPr anchorCtr="1"/>
        <a:lstStyle/>
        <a:p>
          <a:pPr>
            <a:defRPr sz="750">
              <a:latin typeface="Arial"/>
              <a:ea typeface="Arial"/>
              <a:cs typeface="Arial"/>
            </a:defRPr>
          </a:pPr>
          <a:r>
            <a:t>None</a:t>
          </a:r>
          <a:endParaRPr lang="de-DE"/>
        </a:p>
      </txPr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0</colOff>
      <row>10</row>
      <rowOff>0</rowOff>
    </from>
    <to>
      <col>10</col>
      <colOff>0</colOff>
      <row>27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0</colOff>
      <row>10</row>
      <rowOff>0</rowOff>
    </from>
    <to>
      <col>18</col>
      <colOff>0</colOff>
      <row>27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0</colOff>
      <row>25</row>
      <rowOff>0</rowOff>
    </from>
    <to>
      <col>10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0</colOff>
      <row>25</row>
      <rowOff>0</rowOff>
    </from>
    <to>
      <col>18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0</colOff>
      <row>25</row>
      <rowOff>0</rowOff>
    </from>
    <to>
      <col>14</col>
      <colOff>0</colOff>
      <row>43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VF_104" displayName="TVF_104" ref="C48:O222" headerRowCount="1" totalsRowShown="0">
  <tableColumns count="13">
    <tableColumn id="1" name="Auftrag"/>
    <tableColumn id="2" name="Bezeichnung"/>
    <tableColumn id="3" name="Region"/>
    <tableColumn id="4" name="Umsatz Ist"/>
    <tableColumn id="5" name="Kosten Ist (neg.)"/>
    <tableColumn id="6" name="Bestand Ist"/>
    <tableColumn id="7" name="Umsatz Rest"/>
    <tableColumn id="8" name="Kosten Rest (neg.)"/>
    <tableColumn id="9" name="Bestand Rest"/>
    <tableColumn id="10" name="Umsatz erwartet"/>
    <tableColumn id="11" name="Kosten erwartet"/>
    <tableColumn id="12" name="Bestand erwartet"/>
    <tableColumn id="13" name="Ergebnis erwarte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VF_80" displayName="TVF_80" ref="C6:L506" headerRowCount="1" totalsRowShown="0">
  <tableColumns count="10">
    <tableColumn id="1" name="Jahr"/>
    <tableColumn id="2" name="Monat"/>
    <tableColumn id="3" name="Region"/>
    <tableColumn id="4" name="Auftrag / Projekt"/>
    <tableColumn id="5" name="Δ Umsatz EUR"/>
    <tableColumn id="6" name="Δ Bestand EUR"/>
    <tableColumn id="7" name="Δ Kosten EUR"/>
    <tableColumn id="8" name="Kommentar"/>
    <tableColumn id="9" name="Status"/>
    <tableColumn id="10" name="Δ EBITDA EU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VFImportMonate" displayName="TVFImportMonate" ref="C6:M8" headerRowCount="1" totalsRowShown="0">
  <tableColumns count="11">
    <tableColumn id="1" name="Jahr"/>
    <tableColumn id="2" name="Monat"/>
    <tableColumn id="3" name="Umsatz"/>
    <tableColumn id="4" name="Bestand"/>
    <tableColumn id="5" name="Sonstige_Ertraege"/>
    <tableColumn id="6" name="Materialaufwand"/>
    <tableColumn id="7" name="Personalaufwand"/>
    <tableColumn id="8" name="Sonstiger_Aufwand"/>
    <tableColumn id="9" name="Abschreibungen"/>
    <tableColumn id="10" name="Finanzergebnis"/>
    <tableColumn id="11" name="Neutrales_Ergebni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VF_1" displayName="TVF_1" ref="A7:J16" headerRowCount="1" totalsRowShown="0">
  <tableColumns count="10">
    <tableColumn id="1" name="jahr"/>
    <tableColumn id="2" name="monat"/>
    <tableColumn id="3" name="umsatzerloese"/>
    <tableColumn id="4" name="bestandsveraenderung"/>
    <tableColumn id="5" name="gesamtleistung"/>
    <tableColumn id="6" name="ebitda"/>
    <tableColumn id="7" name="neutrales_ergebnis"/>
    <tableColumn id="8" name="ebitda_nach_neutral"/>
    <tableColumn id="9" name="abschreibungen"/>
    <tableColumn id="10" name="finanzergebni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VF_2" displayName="TVF_2" ref="A21:H33" headerRowCount="1" totalsRowShown="0">
  <tableColumns count="8">
    <tableColumn id="1" name="jahr"/>
    <tableColumn id="2" name="monat"/>
    <tableColumn id="3" name="art"/>
    <tableColumn id="4" name="operatives_ergebnis"/>
    <tableColumn id="5" name="overhead"/>
    <tableColumn id="6" name="bewertung"/>
    <tableColumn id="7" name="ebitda"/>
    <tableColumn id="8" name="gerechne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VF_3" displayName="TVF_3" ref="A38:J39" headerRowCount="1" totalsRowShown="0">
  <tableColumns count="10">
    <tableColumn id="1" name="jahr"/>
    <tableColumn id="2" name="ist_bis"/>
    <tableColumn id="3" name="ist"/>
    <tableColumn id="4" name="fc"/>
    <tableColumn id="5" name="ebitda_reihe"/>
    <tableColumn id="6" name="bewertung_offen"/>
    <tableColumn id="7" name="bewertung_nachrichtlich"/>
    <tableColumn id="8" name="bewertet_gesamt"/>
    <tableColumn id="9" name="ebitda"/>
    <tableColumn id="10" name="ebitda_mit_nachrichtlic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VF_4" displayName="TVF_4" ref="A44:F115" headerRowCount="1" totalsRowShown="0">
  <tableColumns count="6">
    <tableColumn id="1" name="jahr"/>
    <tableColumn id="2" name="monat"/>
    <tableColumn id="3" name="guv_sort"/>
    <tableColumn id="4" name="guv_gruppe"/>
    <tableColumn id="5" name="betrag"/>
    <tableColumn id="6" name="beleg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VF_9" displayName="TVF_9" ref="A120:O176" headerRowCount="1" totalsRowShown="0">
  <tableColumns count="15">
    <tableColumn id="1" name="jahr"/>
    <tableColumn id="2" name="region"/>
    <tableColumn id="3" name="monat"/>
    <tableColumn id="4" name="umsatz_plan"/>
    <tableColumn id="5" name="kosten_plan"/>
    <tableColumn id="6" name="umsatz_gemeldet"/>
    <tableColumn id="7" name="kosten_gemeldet"/>
    <tableColumn id="8" name="umsatz_sap"/>
    <tableColumn id="9" name="kosten_sap"/>
    <tableColumn id="10" name="db_plan"/>
    <tableColumn id="11" name="db_sap"/>
    <tableColumn id="12" name="umsatz_meldediff"/>
    <tableColumn id="13" name="kosten_meldediff"/>
    <tableColumn id="14" name="ba_plan"/>
    <tableColumn id="15" name="ba_sap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VF_10" displayName="TVF_10" ref="A181:I193" headerRowCount="1" totalsRowShown="0">
  <tableColumns count="9">
    <tableColumn id="1" name="jahr"/>
    <tableColumn id="2" name="monat"/>
    <tableColumn id="3" name="art"/>
    <tableColumn id="4" name="gl_plan"/>
    <tableColumn id="5" name="gl_ist"/>
    <tableColumn id="6" name="gl_delta"/>
    <tableColumn id="7" name="ebitda_plan"/>
    <tableColumn id="8" name="ebitda_ist"/>
    <tableColumn id="9" name="ebitda_delta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VF_12" displayName="TVF_12" ref="A198:O207" headerRowCount="1" totalsRowShown="0">
  <tableColumns count="15">
    <tableColumn id="1" name="jahr"/>
    <tableColumn id="2" name="monat"/>
    <tableColumn id="3" name="belege"/>
    <tableColumn id="4" name="median_belege"/>
    <tableColumn id="5" name="fuellgrad"/>
    <tableColumn id="6" name="belastbar"/>
    <tableColumn id="7" name="freigabe"/>
    <tableColumn id="8" name="belastbar_effektiv"/>
    <tableColumn id="9" name="lohn_gebucht"/>
    <tableColumn id="10" name="co_gebucht"/>
    <tableColumn id="11" name="abgeschlossen"/>
    <tableColumn id="12" name="quelle"/>
    <tableColumn id="13" name="belege_journal"/>
    <tableColumn id="14" name="belege_fi"/>
    <tableColumn id="15" name="belege_sap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VF_13" displayName="TVF_13" ref="A212:N263" headerRowCount="1" totalsRowShown="0">
  <tableColumns count="14">
    <tableColumn id="1" name="jahr"/>
    <tableColumn id="2" name="monat"/>
    <tableColumn id="3" name="region"/>
    <tableColumn id="4" name="umsatzerloese"/>
    <tableColumn id="5" name="bestandsveraenderung"/>
    <tableColumn id="6" name="sonstige_ertraege"/>
    <tableColumn id="7" name="betriebsaufwand"/>
    <tableColumn id="8" name="gesamtleistung"/>
    <tableColumn id="9" name="ebitda"/>
    <tableColumn id="10" name="finanzergebnis"/>
    <tableColumn id="11" name="abschreibungen"/>
    <tableColumn id="12" name="neutral_steuern"/>
    <tableColumn id="13" name="ergebnis"/>
    <tableColumn id="14" name="beleg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VF_14" displayName="TVF_14" ref="A268:D272" headerRowCount="1" totalsRowShown="0">
  <tableColumns count="4">
    <tableColumn id="1" name="sort"/>
    <tableColumn id="2" name="position"/>
    <tableColumn id="3" name="quelle"/>
    <tableColumn id="4" name="wer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VF_17" displayName="TVF_17" ref="A277:H301" headerRowCount="1" totalsRowShown="0">
  <tableColumns count="8">
    <tableColumn id="1" name="monat"/>
    <tableColumn id="2" name="quelle"/>
    <tableColumn id="3" name="ist"/>
    <tableColumn id="4" name="ergebnis"/>
    <tableColumn id="5" name="umsatz"/>
    <tableColumn id="6" name="bestandsaenderung"/>
    <tableColumn id="7" name="ebitda"/>
    <tableColumn id="8" name="jahr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VF_23" displayName="TVF_23" ref="A306:G438" headerRowCount="1" totalsRowShown="0">
  <tableColumns count="7">
    <tableColumn id="1" name="konto"/>
    <tableColumn id="2" name="bezeichnung"/>
    <tableColumn id="3" name="kategorie"/>
    <tableColumn id="4" name="bilanz_seite"/>
    <tableColumn id="5" name="bestand"/>
    <tableColumn id="6" name="bewegung_2026"/>
    <tableColumn id="7" name="eroeffnungsbilanz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VF_26" displayName="TVF_26" ref="A443:P617" headerRowCount="1" totalsRowShown="0">
  <tableColumns count="16">
    <tableColumn id="1" name="auftrag"/>
    <tableColumn id="2" name="auftragname"/>
    <tableColumn id="3" name="region"/>
    <tableColumn id="4" name="umsatz_plan"/>
    <tableColumn id="5" name="kosten_plan"/>
    <tableColumn id="6" name="umsatz_ist"/>
    <tableColumn id="7" name="kosten_ist"/>
    <tableColumn id="8" name="umsatz_restplan"/>
    <tableColumn id="9" name="kosten_restplan"/>
    <tableColumn id="10" name="umsatz_erwartet"/>
    <tableColumn id="11" name="kosten_erwartet"/>
    <tableColumn id="12" name="ba_plan"/>
    <tableColumn id="13" name="ba_restplan"/>
    <tableColumn id="14" name="ba_ist"/>
    <tableColumn id="15" name="ba_erwartet"/>
    <tableColumn id="16" name="jahr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VF_37" displayName="TVF_37" ref="A622:A623" headerRowCount="1" totalsRowShown="0">
  <tableColumns count="1">
    <tableColumn id="1" name="Keine Datensätze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VF_46" displayName="TVF_46" ref="A628:H797" headerRowCount="1" totalsRowShown="0">
  <tableColumns count="8">
    <tableColumn id="1" name="typ"/>
    <tableColumn id="2" name="pos"/>
    <tableColumn id="3" name="text"/>
    <tableColumn id="4" name="saldo"/>
    <tableColumn id="5" name="stufe"/>
    <tableColumn id="6" name="order"/>
    <tableColumn id="7" name="summe"/>
    <tableColumn id="8" name="kont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VF_47" displayName="TVF_47" ref="A802:H1052" headerRowCount="1" totalsRowShown="0">
  <tableColumns count="8">
    <tableColumn id="1" name="typ"/>
    <tableColumn id="2" name="pos"/>
    <tableColumn id="3" name="text"/>
    <tableColumn id="4" name="saldo"/>
    <tableColumn id="5" name="stufe"/>
    <tableColumn id="6" name="order"/>
    <tableColumn id="7" name="summe"/>
    <tableColumn id="8" name="kont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VF_48" displayName="TVF_48" ref="A1057:U1066" headerRowCount="1" totalsRowShown="0">
  <tableColumns count="21">
    <tableColumn id="1" name="jahr"/>
    <tableColumn id="2" name="monat"/>
    <tableColumn id="3" name="belege"/>
    <tableColumn id="4" name="fuellgrad"/>
    <tableColumn id="5" name="lohn_gebucht"/>
    <tableColumn id="6" name="co_gebucht"/>
    <tableColumn id="7" name="freigabe"/>
    <tableColumn id="8" name="belastbar_effektiv"/>
    <tableColumn id="9" name="umsatz"/>
    <tableColumn id="10" name="bestand"/>
    <tableColumn id="11" name="personal"/>
    <tableColumn id="12" name="ergebnis"/>
    <tableColumn id="13" name="sap_bericht"/>
    <tableColumn id="14" name="abweichend"/>
    <tableColumn id="15" name="max_differenz"/>
    <tableColumn id="16" name="ampel"/>
    <tableColumn id="17" name="hinweis"/>
    <tableColumn id="18" name="quelle"/>
    <tableColumn id="19" name="belege_journal"/>
    <tableColumn id="20" name="belege_fi"/>
    <tableColumn id="21" name="belege_sap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VF_49" displayName="TVF_49" ref="A1071:J1135" headerRowCount="1" totalsRowShown="0">
  <tableColumns count="10">
    <tableColumn id="1" name="jahr"/>
    <tableColumn id="2" name="periode"/>
    <tableColumn id="3" name="sortierung"/>
    <tableColumn id="4" name="guv_gruppe"/>
    <tableColumn id="5" name="sap_monat"/>
    <tableColumn id="6" name="staffel_monat"/>
    <tableColumn id="7" name="differenz"/>
    <tableColumn id="8" name="sap_ytd"/>
    <tableColumn id="9" name="staffel_ytd"/>
    <tableColumn id="10" name="stimmt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VF_50" displayName="TVF_50" ref="A1140:Q1152" headerRowCount="1" totalsRowShown="0">
  <tableColumns count="17">
    <tableColumn id="1" name="jahr"/>
    <tableColumn id="2" name="monat"/>
    <tableColumn id="3" name="art"/>
    <tableColumn id="4" name="ebitda_plan"/>
    <tableColumn id="5" name="ebitda_wirklich"/>
    <tableColumn id="6" name="abweichung_gesamt"/>
    <tableColumn id="7" name="gl_plan"/>
    <tableColumn id="8" name="gl_wirklich"/>
    <tableColumn id="9" name="abweichung_leistung"/>
    <tableColumn id="10" name="umsatz"/>
    <tableColumn id="11" name="bestand"/>
    <tableColumn id="12" name="sbe"/>
    <tableColumn id="13" name="material"/>
    <tableColumn id="14" name="personal"/>
    <tableColumn id="15" name="sonstige"/>
    <tableColumn id="16" name="overhead"/>
    <tableColumn id="17" name="bewertung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VF_51" displayName="TVF_51" ref="A1157:F3557" headerRowCount="1" totalsRowShown="0">
  <tableColumns count="6">
    <tableColumn id="1" name="jahr"/>
    <tableColumn id="2" name="monat"/>
    <tableColumn id="3" name="guv_position"/>
    <tableColumn id="4" name="kostenblock"/>
    <tableColumn id="5" name="plan_monat"/>
    <tableColumn id="6" name="jahr_wert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VF_52" displayName="TVF_52" ref="A3562:G3571" headerRowCount="1" totalsRowShown="0">
  <tableColumns count="7">
    <tableColumn id="1" name="jahr"/>
    <tableColumn id="2" name="monat"/>
    <tableColumn id="3" name="co_belege"/>
    <tableColumn id="4" name="co_vollstaendig"/>
    <tableColumn id="5" name="fi_belege"/>
    <tableColumn id="6" name="fi_vollstaendig"/>
    <tableColumn id="7" name="quel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.xml" Id="rId2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table" Target="/xl/tables/table5.xml" Id="rId2" /><Relationship Type="http://schemas.openxmlformats.org/officeDocument/2006/relationships/table" Target="/xl/tables/table6.xml" Id="rId3" /><Relationship Type="http://schemas.openxmlformats.org/officeDocument/2006/relationships/table" Target="/xl/tables/table7.xml" Id="rId4" /><Relationship Type="http://schemas.openxmlformats.org/officeDocument/2006/relationships/table" Target="/xl/tables/table8.xml" Id="rId5" /><Relationship Type="http://schemas.openxmlformats.org/officeDocument/2006/relationships/table" Target="/xl/tables/table9.xml" Id="rId6" /><Relationship Type="http://schemas.openxmlformats.org/officeDocument/2006/relationships/table" Target="/xl/tables/table10.xml" Id="rId7" /><Relationship Type="http://schemas.openxmlformats.org/officeDocument/2006/relationships/table" Target="/xl/tables/table11.xml" Id="rId8" /><Relationship Type="http://schemas.openxmlformats.org/officeDocument/2006/relationships/table" Target="/xl/tables/table12.xml" Id="rId9" /><Relationship Type="http://schemas.openxmlformats.org/officeDocument/2006/relationships/table" Target="/xl/tables/table13.xml" Id="rId10" /><Relationship Type="http://schemas.openxmlformats.org/officeDocument/2006/relationships/table" Target="/xl/tables/table14.xml" Id="rId11" /><Relationship Type="http://schemas.openxmlformats.org/officeDocument/2006/relationships/table" Target="/xl/tables/table15.xml" Id="rId12" /><Relationship Type="http://schemas.openxmlformats.org/officeDocument/2006/relationships/table" Target="/xl/tables/table16.xml" Id="rId13" /><Relationship Type="http://schemas.openxmlformats.org/officeDocument/2006/relationships/table" Target="/xl/tables/table17.xml" Id="rId14" /><Relationship Type="http://schemas.openxmlformats.org/officeDocument/2006/relationships/table" Target="/xl/tables/table18.xml" Id="rId15" /><Relationship Type="http://schemas.openxmlformats.org/officeDocument/2006/relationships/table" Target="/xl/tables/table19.xml" Id="rId16" /><Relationship Type="http://schemas.openxmlformats.org/officeDocument/2006/relationships/table" Target="/xl/tables/table20.xml" Id="rId17" /><Relationship Type="http://schemas.openxmlformats.org/officeDocument/2006/relationships/table" Target="/xl/tables/table21.xml" Id="rId18" /><Relationship Type="http://schemas.openxmlformats.org/officeDocument/2006/relationships/table" Target="/xl/tables/table22.xml" Id="rId19" /><Relationship Type="http://schemas.openxmlformats.org/officeDocument/2006/relationships/table" Target="/xl/tables/table23.xml" Id="rId20" /></Relationships>
</file>

<file path=xl/worksheets/sheet1.xml><?xml version="1.0" encoding="utf-8"?>
<worksheet xmlns="http://schemas.openxmlformats.org/spreadsheetml/2006/main">
  <sheetPr>
    <tabColor rgb="FF1E293B"/>
    <outlinePr summaryBelow="1" summaryRight="1"/>
    <pageSetUpPr/>
  </sheetPr>
  <dimension ref="A1:R66"/>
  <sheetViews>
    <sheetView showGridLines="0" tabSelected="1" workbookViewId="0">
      <selection activeCell="C3" sqref="C3:R3"/>
    </sheetView>
  </sheetViews>
  <sheetFormatPr baseColWidth="10" defaultColWidth="8.83203125" defaultRowHeight="14"/>
  <cols>
    <col width="2.5" customWidth="1" min="1" max="2"/>
    <col width="12" customWidth="1" min="3" max="18"/>
  </cols>
  <sheetData>
    <row r="1">
      <c r="A1" s="48" t="n"/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  <c r="O1" s="48" t="n"/>
      <c r="P1" s="48" t="n"/>
      <c r="Q1" s="48" t="n"/>
      <c r="R1" s="48" t="n"/>
    </row>
    <row r="2" ht="30" customHeight="1">
      <c r="A2" s="48" t="n"/>
      <c r="B2" s="48" t="n"/>
      <c r="C2" s="53" t="inlineStr">
        <is>
          <t>TVF ALTWERT – Controlling Cockpit</t>
        </is>
      </c>
      <c r="D2" s="60" t="n"/>
      <c r="E2" s="60" t="n"/>
      <c r="F2" s="60" t="n"/>
      <c r="G2" s="60" t="n"/>
      <c r="H2" s="60" t="n"/>
      <c r="I2" s="60" t="n"/>
      <c r="J2" s="60" t="n"/>
      <c r="K2" s="60" t="n"/>
      <c r="L2" s="60" t="n"/>
      <c r="M2" s="60" t="n"/>
      <c r="N2" s="60" t="n"/>
      <c r="O2" s="60" t="n"/>
      <c r="P2" s="60" t="n"/>
      <c r="Q2" s="60" t="n"/>
      <c r="R2" s="60" t="n"/>
    </row>
    <row r="3" ht="32" customHeight="1">
      <c r="A3" s="48" t="n"/>
      <c r="B3" s="48" t="n"/>
      <c r="C3" s="54" t="inlineStr">
        <is>
          <t>Excel-Ausgabe des gelieferten Cockpits. Datenstände, Filter und bearbeitbare Parameter auf Steuerung.</t>
        </is>
      </c>
    </row>
    <row r="4">
      <c r="A4" s="48" t="n"/>
      <c r="B4" s="48" t="n"/>
      <c r="C4" s="48" t="n"/>
      <c r="D4" s="48" t="n"/>
      <c r="E4" s="48" t="n"/>
      <c r="F4" s="48" t="n"/>
      <c r="G4" s="48" t="n"/>
      <c r="H4" s="48" t="n"/>
      <c r="I4" s="48" t="n"/>
      <c r="J4" s="48" t="n"/>
      <c r="K4" s="48" t="n"/>
      <c r="L4" s="48" t="n"/>
      <c r="M4" s="48" t="n"/>
      <c r="N4" s="48" t="n"/>
      <c r="O4" s="48" t="n"/>
      <c r="P4" s="48" t="n"/>
      <c r="Q4" s="48" t="n"/>
      <c r="R4" s="48" t="n"/>
    </row>
    <row r="5" ht="26" customHeight="1">
      <c r="A5" s="48" t="n"/>
      <c r="B5" s="48" t="n"/>
      <c r="C5" s="55" t="inlineStr">
        <is>
          <t>Gesamtleistung YTD</t>
        </is>
      </c>
      <c r="G5" s="55" t="inlineStr">
        <is>
          <t>EBITDA YTD</t>
        </is>
      </c>
      <c r="K5" s="57" t="inlineStr">
        <is>
          <t>EBITDA Jahresforecast</t>
        </is>
      </c>
      <c r="O5" s="55" t="inlineStr">
        <is>
          <t>Cash-Pool Ende Plan</t>
        </is>
      </c>
    </row>
    <row r="6">
      <c r="A6" s="48" t="n"/>
      <c r="B6" s="48" t="n"/>
      <c r="C6" s="56">
        <f>GuV!D9</f>
        <v/>
      </c>
      <c r="G6" s="56">
        <f>GuV!D20</f>
        <v/>
      </c>
      <c r="K6" s="56">
        <f>Forecast!L23</f>
        <v/>
      </c>
      <c r="O6" s="56">
        <f>Monatsroll!Q18</f>
        <v/>
      </c>
    </row>
    <row r="7">
      <c r="A7" s="48" t="n"/>
      <c r="B7" s="48" t="n"/>
    </row>
    <row r="8">
      <c r="A8" s="48" t="n"/>
      <c r="B8" s="48" t="n"/>
      <c r="C8" s="48" t="n"/>
      <c r="D8" s="48" t="n"/>
      <c r="E8" s="48" t="n"/>
      <c r="F8" s="48" t="n"/>
      <c r="G8" s="48" t="n"/>
      <c r="H8" s="48" t="n"/>
      <c r="I8" s="48" t="n"/>
      <c r="J8" s="48" t="n"/>
      <c r="K8" s="48" t="n"/>
      <c r="L8" s="48" t="n"/>
      <c r="M8" s="48" t="n"/>
      <c r="N8" s="48" t="n"/>
      <c r="O8" s="48" t="n"/>
      <c r="P8" s="48" t="n"/>
      <c r="Q8" s="48" t="n"/>
      <c r="R8" s="48" t="n"/>
    </row>
    <row r="9">
      <c r="A9" s="48" t="n"/>
      <c r="B9" s="48" t="n"/>
      <c r="C9" s="50">
        <f>"Berichtszeitraum: 01–"&amp;TEXT(Steuerung!$F$7,"00")&amp;" / "&amp;Steuerung!$F$6</f>
        <v/>
      </c>
      <c r="I9" s="50" t="inlineStr">
        <is>
          <t>Forecast: Ist bis August, September–Dezember Planung</t>
        </is>
      </c>
    </row>
    <row r="10">
      <c r="A10" s="48" t="n"/>
      <c r="B10" s="48" t="n"/>
      <c r="C10" s="48" t="n"/>
      <c r="D10" s="48" t="n"/>
      <c r="E10" s="48" t="n"/>
      <c r="F10" s="48" t="n"/>
      <c r="G10" s="48" t="n"/>
      <c r="H10" s="48" t="n"/>
      <c r="I10" s="48" t="n"/>
      <c r="J10" s="48" t="n"/>
      <c r="K10" s="48" t="n"/>
      <c r="L10" s="48" t="n"/>
      <c r="M10" s="48" t="n"/>
      <c r="N10" s="48" t="n"/>
      <c r="O10" s="48" t="n"/>
      <c r="P10" s="48" t="n"/>
      <c r="Q10" s="48" t="n"/>
      <c r="R10" s="48" t="n"/>
    </row>
    <row r="11">
      <c r="A11" s="48" t="n"/>
      <c r="B11" s="48" t="n"/>
      <c r="C11" s="48" t="n"/>
      <c r="D11" s="48" t="n"/>
      <c r="E11" s="48" t="n"/>
      <c r="F11" s="48" t="n"/>
      <c r="G11" s="48" t="n"/>
      <c r="H11" s="48" t="n"/>
      <c r="I11" s="48" t="n"/>
      <c r="J11" s="48" t="n"/>
      <c r="K11" s="48" t="n"/>
      <c r="L11" s="48" t="n"/>
      <c r="M11" s="48" t="n"/>
      <c r="N11" s="48" t="n"/>
      <c r="O11" s="48" t="n"/>
      <c r="P11" s="48" t="n"/>
      <c r="Q11" s="48" t="n"/>
      <c r="R11" s="48" t="n"/>
    </row>
    <row r="12">
      <c r="A12" s="48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</row>
    <row r="13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</row>
    <row r="14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</row>
    <row r="15">
      <c r="A15" s="48" t="n"/>
      <c r="B15" s="48" t="n"/>
      <c r="C15" s="48" t="n"/>
      <c r="D15" s="48" t="n"/>
      <c r="E15" s="48" t="n"/>
      <c r="F15" s="48" t="n"/>
      <c r="G15" s="48" t="n"/>
      <c r="H15" s="48" t="n"/>
      <c r="I15" s="48" t="n"/>
      <c r="J15" s="48" t="n"/>
      <c r="K15" s="48" t="n"/>
      <c r="L15" s="48" t="n"/>
      <c r="M15" s="48" t="n"/>
      <c r="N15" s="48" t="n"/>
      <c r="O15" s="48" t="n"/>
      <c r="P15" s="48" t="n"/>
      <c r="Q15" s="48" t="n"/>
      <c r="R15" s="48" t="n"/>
    </row>
    <row r="16">
      <c r="A16" s="48" t="n"/>
      <c r="B16" s="48" t="n"/>
      <c r="C16" s="48" t="n"/>
      <c r="D16" s="48" t="n"/>
      <c r="E16" s="48" t="n"/>
      <c r="F16" s="48" t="n"/>
      <c r="G16" s="48" t="n"/>
      <c r="H16" s="48" t="n"/>
      <c r="I16" s="48" t="n"/>
      <c r="J16" s="48" t="n"/>
      <c r="K16" s="48" t="n"/>
      <c r="L16" s="48" t="n"/>
      <c r="M16" s="48" t="n"/>
      <c r="N16" s="48" t="n"/>
      <c r="O16" s="48" t="n"/>
      <c r="P16" s="48" t="n"/>
      <c r="Q16" s="48" t="n"/>
      <c r="R16" s="48" t="n"/>
    </row>
    <row r="17">
      <c r="A17" s="48" t="n"/>
      <c r="B17" s="48" t="n"/>
      <c r="C17" s="48" t="n"/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</row>
    <row r="18">
      <c r="A18" s="48" t="n"/>
      <c r="B18" s="48" t="n"/>
      <c r="C18" s="48" t="n"/>
      <c r="D18" s="48" t="n"/>
      <c r="E18" s="48" t="n"/>
      <c r="F18" s="48" t="n"/>
      <c r="G18" s="48" t="n"/>
      <c r="H18" s="48" t="n"/>
      <c r="I18" s="48" t="n"/>
      <c r="J18" s="48" t="n"/>
      <c r="K18" s="48" t="n"/>
      <c r="L18" s="48" t="n"/>
      <c r="M18" s="48" t="n"/>
      <c r="N18" s="48" t="n"/>
      <c r="O18" s="48" t="n"/>
      <c r="P18" s="48" t="n"/>
      <c r="Q18" s="48" t="n"/>
      <c r="R18" s="48" t="n"/>
    </row>
    <row r="19">
      <c r="A19" s="48" t="n"/>
      <c r="B19" s="48" t="n"/>
      <c r="C19" s="48" t="n"/>
      <c r="D19" s="48" t="n"/>
      <c r="E19" s="48" t="n"/>
      <c r="F19" s="48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 t="n"/>
      <c r="P19" s="48" t="n"/>
      <c r="Q19" s="48" t="n"/>
      <c r="R19" s="48" t="n"/>
    </row>
    <row r="20">
      <c r="A20" s="48" t="n"/>
      <c r="B20" s="48" t="n"/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8" t="n"/>
      <c r="O20" s="48" t="n"/>
      <c r="P20" s="48" t="n"/>
      <c r="Q20" s="48" t="n"/>
      <c r="R20" s="48" t="n"/>
    </row>
    <row r="21">
      <c r="A21" s="48" t="n"/>
      <c r="B21" s="48" t="n"/>
      <c r="C21" s="48" t="n"/>
      <c r="D21" s="48" t="n"/>
      <c r="E21" s="48" t="n"/>
      <c r="F21" s="48" t="n"/>
      <c r="G21" s="48" t="n"/>
      <c r="H21" s="48" t="n"/>
      <c r="I21" s="48" t="n"/>
      <c r="J21" s="48" t="n"/>
      <c r="K21" s="48" t="n"/>
      <c r="L21" s="48" t="n"/>
      <c r="M21" s="48" t="n"/>
      <c r="N21" s="48" t="n"/>
      <c r="O21" s="48" t="n"/>
      <c r="P21" s="48" t="n"/>
      <c r="Q21" s="48" t="n"/>
      <c r="R21" s="48" t="n"/>
    </row>
    <row r="22">
      <c r="A22" s="48" t="n"/>
      <c r="B22" s="48" t="n"/>
      <c r="C22" s="48" t="n"/>
      <c r="D22" s="48" t="n"/>
      <c r="E22" s="48" t="n"/>
      <c r="F22" s="48" t="n"/>
      <c r="G22" s="48" t="n"/>
      <c r="H22" s="48" t="n"/>
      <c r="I22" s="48" t="n"/>
      <c r="J22" s="48" t="n"/>
      <c r="K22" s="48" t="n"/>
      <c r="L22" s="48" t="n"/>
      <c r="M22" s="48" t="n"/>
      <c r="N22" s="48" t="n"/>
      <c r="O22" s="48" t="n"/>
      <c r="P22" s="48" t="n"/>
      <c r="Q22" s="48" t="n"/>
      <c r="R22" s="48" t="n"/>
    </row>
    <row r="23">
      <c r="A23" s="48" t="n"/>
      <c r="B23" s="48" t="n"/>
      <c r="C23" s="48" t="n"/>
      <c r="D23" s="48" t="n"/>
      <c r="E23" s="48" t="n"/>
      <c r="F23" s="48" t="n"/>
      <c r="G23" s="48" t="n"/>
      <c r="H23" s="48" t="n"/>
      <c r="I23" s="48" t="n"/>
      <c r="J23" s="48" t="n"/>
      <c r="K23" s="48" t="n"/>
      <c r="L23" s="48" t="n"/>
      <c r="M23" s="48" t="n"/>
      <c r="N23" s="48" t="n"/>
      <c r="O23" s="48" t="n"/>
      <c r="P23" s="48" t="n"/>
      <c r="Q23" s="48" t="n"/>
      <c r="R23" s="48" t="n"/>
    </row>
    <row r="24">
      <c r="A24" s="48" t="n"/>
      <c r="B24" s="48" t="n"/>
      <c r="C24" s="48" t="n"/>
      <c r="D24" s="48" t="n"/>
      <c r="E24" s="48" t="n"/>
      <c r="F24" s="48" t="n"/>
      <c r="G24" s="48" t="n"/>
      <c r="H24" s="48" t="n"/>
      <c r="I24" s="48" t="n"/>
      <c r="J24" s="48" t="n"/>
      <c r="K24" s="48" t="n"/>
      <c r="L24" s="48" t="n"/>
      <c r="M24" s="48" t="n"/>
      <c r="N24" s="48" t="n"/>
      <c r="O24" s="48" t="n"/>
      <c r="P24" s="48" t="n"/>
      <c r="Q24" s="48" t="n"/>
      <c r="R24" s="48" t="n"/>
    </row>
    <row r="25">
      <c r="A25" s="48" t="n"/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48" t="n"/>
      <c r="Q25" s="48" t="n"/>
      <c r="R25" s="48" t="n"/>
    </row>
    <row r="26">
      <c r="A26" s="48" t="n"/>
      <c r="B26" s="48" t="n"/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 t="n"/>
      <c r="P26" s="48" t="n"/>
      <c r="Q26" s="48" t="n"/>
      <c r="R26" s="48" t="n"/>
    </row>
    <row r="27">
      <c r="A27" s="48" t="n"/>
      <c r="B27" s="48" t="n"/>
      <c r="C27" s="48" t="n"/>
      <c r="D27" s="48" t="n"/>
      <c r="E27" s="48" t="n"/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 t="n"/>
      <c r="P27" s="48" t="n"/>
      <c r="Q27" s="48" t="n"/>
      <c r="R27" s="48" t="n"/>
    </row>
    <row r="28">
      <c r="A28" s="48" t="n"/>
      <c r="B28" s="48" t="n"/>
      <c r="C28" s="51" t="inlineStr">
        <is>
          <t>September ist in der Buchungsquelle vorhanden, aber laut Original noch nicht freigegeben. Projekt-CO und Finanzbuchhaltung können unterschiedliche Vollständigkeit haben.</t>
        </is>
      </c>
    </row>
    <row r="29">
      <c r="A29" s="48" t="n"/>
      <c r="B29" s="48" t="n"/>
    </row>
    <row r="30">
      <c r="A30" s="48" t="n"/>
      <c r="B30" s="48" t="n"/>
      <c r="C30" s="48" t="n"/>
      <c r="D30" s="48" t="n"/>
      <c r="E30" s="48" t="n"/>
      <c r="F30" s="48" t="n"/>
      <c r="G30" s="48" t="n"/>
      <c r="H30" s="48" t="n"/>
      <c r="I30" s="48" t="n"/>
      <c r="J30" s="48" t="n"/>
      <c r="K30" s="48" t="n"/>
      <c r="L30" s="48" t="n"/>
      <c r="M30" s="48" t="n"/>
      <c r="N30" s="48" t="n"/>
      <c r="O30" s="48" t="n"/>
      <c r="P30" s="48" t="n"/>
      <c r="Q30" s="48" t="n"/>
      <c r="R30" s="48" t="n"/>
    </row>
    <row r="31" ht="34" customHeight="1">
      <c r="A31" s="48" t="n"/>
      <c r="B31" s="48" t="n"/>
      <c r="C31" s="3" t="inlineStr">
        <is>
          <t>Monat</t>
        </is>
      </c>
      <c r="D31" s="3" t="inlineStr">
        <is>
          <t>Gesamtleistung</t>
        </is>
      </c>
      <c r="E31" s="3" t="inlineStr">
        <is>
          <t>GL Plan</t>
        </is>
      </c>
      <c r="F31" s="3" t="inlineStr">
        <is>
          <t>EBITDA Ist/FC</t>
        </is>
      </c>
      <c r="G31" s="3" t="inlineStr">
        <is>
          <t>EBITDA Plan</t>
        </is>
      </c>
      <c r="H31" s="48" t="n"/>
      <c r="I31" s="48" t="n"/>
      <c r="J31" s="48" t="n"/>
      <c r="K31" s="48" t="n"/>
      <c r="L31" s="48" t="n"/>
      <c r="M31" s="48" t="n"/>
      <c r="N31" s="48" t="n"/>
      <c r="O31" s="48" t="n"/>
      <c r="P31" s="48" t="n"/>
      <c r="Q31" s="48" t="n"/>
      <c r="R31" s="48" t="n"/>
    </row>
    <row r="32">
      <c r="A32" s="48" t="n"/>
      <c r="B32" s="48" t="n"/>
      <c r="C32" s="48" t="inlineStr">
        <is>
          <t>Jan</t>
        </is>
      </c>
      <c r="D32" s="17">
        <f>Forecast!I7</f>
        <v/>
      </c>
      <c r="E32" s="17">
        <f>Forecast!M7</f>
        <v/>
      </c>
      <c r="F32" s="17">
        <f>Forecast!L7</f>
        <v/>
      </c>
      <c r="G32" s="17">
        <f>Forecast!N7</f>
        <v/>
      </c>
      <c r="H32" s="48" t="n"/>
      <c r="I32" s="48" t="n"/>
      <c r="J32" s="48" t="n"/>
      <c r="K32" s="48" t="n"/>
      <c r="L32" s="48" t="n"/>
      <c r="M32" s="48" t="n"/>
      <c r="N32" s="48" t="n"/>
      <c r="O32" s="48" t="n"/>
      <c r="P32" s="48" t="n"/>
      <c r="Q32" s="48" t="n"/>
      <c r="R32" s="48" t="n"/>
    </row>
    <row r="33">
      <c r="A33" s="48" t="n"/>
      <c r="B33" s="48" t="n"/>
      <c r="C33" s="48" t="inlineStr">
        <is>
          <t>Feb</t>
        </is>
      </c>
      <c r="D33" s="17">
        <f>Forecast!I8</f>
        <v/>
      </c>
      <c r="E33" s="17">
        <f>Forecast!M8</f>
        <v/>
      </c>
      <c r="F33" s="17">
        <f>Forecast!L8</f>
        <v/>
      </c>
      <c r="G33" s="17">
        <f>Forecast!N8</f>
        <v/>
      </c>
      <c r="H33" s="48" t="n"/>
      <c r="I33" s="48" t="n"/>
      <c r="J33" s="48" t="n"/>
      <c r="K33" s="48" t="n"/>
      <c r="L33" s="48" t="n"/>
      <c r="M33" s="48" t="n"/>
      <c r="N33" s="48" t="n"/>
      <c r="O33" s="48" t="n"/>
      <c r="P33" s="48" t="n"/>
      <c r="Q33" s="48" t="n"/>
      <c r="R33" s="48" t="n"/>
    </row>
    <row r="34">
      <c r="A34" s="48" t="n"/>
      <c r="B34" s="48" t="n"/>
      <c r="C34" s="48" t="inlineStr">
        <is>
          <t>Mär</t>
        </is>
      </c>
      <c r="D34" s="17">
        <f>Forecast!I9</f>
        <v/>
      </c>
      <c r="E34" s="17">
        <f>Forecast!M9</f>
        <v/>
      </c>
      <c r="F34" s="17">
        <f>Forecast!L9</f>
        <v/>
      </c>
      <c r="G34" s="17">
        <f>Forecast!N9</f>
        <v/>
      </c>
      <c r="H34" s="48" t="n"/>
      <c r="I34" s="48" t="n"/>
      <c r="J34" s="48" t="n"/>
      <c r="K34" s="48" t="n"/>
      <c r="L34" s="48" t="n"/>
      <c r="M34" s="48" t="n"/>
      <c r="N34" s="48" t="n"/>
      <c r="O34" s="48" t="n"/>
      <c r="P34" s="48" t="n"/>
      <c r="Q34" s="48" t="n"/>
      <c r="R34" s="48" t="n"/>
    </row>
    <row r="35">
      <c r="A35" s="48" t="n"/>
      <c r="B35" s="48" t="n"/>
      <c r="C35" s="48" t="inlineStr">
        <is>
          <t>Apr</t>
        </is>
      </c>
      <c r="D35" s="17">
        <f>Forecast!I10</f>
        <v/>
      </c>
      <c r="E35" s="17">
        <f>Forecast!M10</f>
        <v/>
      </c>
      <c r="F35" s="17">
        <f>Forecast!L10</f>
        <v/>
      </c>
      <c r="G35" s="17">
        <f>Forecast!N10</f>
        <v/>
      </c>
      <c r="H35" s="48" t="n"/>
      <c r="I35" s="48" t="n"/>
      <c r="J35" s="48" t="n"/>
      <c r="K35" s="48" t="n"/>
      <c r="L35" s="48" t="n"/>
      <c r="M35" s="48" t="n"/>
      <c r="N35" s="48" t="n"/>
      <c r="O35" s="48" t="n"/>
      <c r="P35" s="48" t="n"/>
      <c r="Q35" s="48" t="n"/>
      <c r="R35" s="48" t="n"/>
    </row>
    <row r="36">
      <c r="A36" s="48" t="n"/>
      <c r="B36" s="48" t="n"/>
      <c r="C36" s="48" t="inlineStr">
        <is>
          <t>Mai</t>
        </is>
      </c>
      <c r="D36" s="17">
        <f>Forecast!I11</f>
        <v/>
      </c>
      <c r="E36" s="17">
        <f>Forecast!M11</f>
        <v/>
      </c>
      <c r="F36" s="17">
        <f>Forecast!L11</f>
        <v/>
      </c>
      <c r="G36" s="17">
        <f>Forecast!N11</f>
        <v/>
      </c>
      <c r="H36" s="48" t="n"/>
      <c r="I36" s="48" t="n"/>
      <c r="J36" s="48" t="n"/>
      <c r="K36" s="48" t="n"/>
      <c r="L36" s="48" t="n"/>
      <c r="M36" s="48" t="n"/>
      <c r="N36" s="48" t="n"/>
      <c r="O36" s="48" t="n"/>
      <c r="P36" s="48" t="n"/>
      <c r="Q36" s="48" t="n"/>
      <c r="R36" s="48" t="n"/>
    </row>
    <row r="37">
      <c r="A37" s="48" t="n"/>
      <c r="B37" s="48" t="n"/>
      <c r="C37" s="48" t="inlineStr">
        <is>
          <t>Jun</t>
        </is>
      </c>
      <c r="D37" s="17">
        <f>Forecast!I12</f>
        <v/>
      </c>
      <c r="E37" s="17">
        <f>Forecast!M12</f>
        <v/>
      </c>
      <c r="F37" s="17">
        <f>Forecast!L12</f>
        <v/>
      </c>
      <c r="G37" s="17">
        <f>Forecast!N12</f>
        <v/>
      </c>
      <c r="H37" s="48" t="n"/>
      <c r="I37" s="48" t="n"/>
      <c r="J37" s="48" t="n"/>
      <c r="K37" s="48" t="n"/>
      <c r="L37" s="48" t="n"/>
      <c r="M37" s="48" t="n"/>
      <c r="N37" s="48" t="n"/>
      <c r="O37" s="48" t="n"/>
      <c r="P37" s="48" t="n"/>
      <c r="Q37" s="48" t="n"/>
      <c r="R37" s="48" t="n"/>
    </row>
    <row r="38">
      <c r="A38" s="48" t="n"/>
      <c r="B38" s="48" t="n"/>
      <c r="C38" s="48" t="inlineStr">
        <is>
          <t>Jul</t>
        </is>
      </c>
      <c r="D38" s="17">
        <f>Forecast!I13</f>
        <v/>
      </c>
      <c r="E38" s="17">
        <f>Forecast!M13</f>
        <v/>
      </c>
      <c r="F38" s="17">
        <f>Forecast!L13</f>
        <v/>
      </c>
      <c r="G38" s="17">
        <f>Forecast!N13</f>
        <v/>
      </c>
      <c r="H38" s="48" t="n"/>
      <c r="I38" s="48" t="n"/>
      <c r="J38" s="48" t="n"/>
      <c r="K38" s="48" t="n"/>
      <c r="L38" s="48" t="n"/>
      <c r="M38" s="48" t="n"/>
      <c r="N38" s="48" t="n"/>
      <c r="O38" s="48" t="n"/>
      <c r="P38" s="48" t="n"/>
      <c r="Q38" s="48" t="n"/>
      <c r="R38" s="48" t="n"/>
    </row>
    <row r="39">
      <c r="A39" s="48" t="n"/>
      <c r="B39" s="48" t="n"/>
      <c r="C39" s="48" t="inlineStr">
        <is>
          <t>Aug</t>
        </is>
      </c>
      <c r="D39" s="17">
        <f>Forecast!I14</f>
        <v/>
      </c>
      <c r="E39" s="17">
        <f>Forecast!M14</f>
        <v/>
      </c>
      <c r="F39" s="17">
        <f>Forecast!L14</f>
        <v/>
      </c>
      <c r="G39" s="17">
        <f>Forecast!N14</f>
        <v/>
      </c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</row>
    <row r="40">
      <c r="A40" s="48" t="n"/>
      <c r="B40" s="48" t="n"/>
      <c r="C40" s="48" t="inlineStr">
        <is>
          <t>Sep</t>
        </is>
      </c>
      <c r="D40" s="17">
        <f>Forecast!I15</f>
        <v/>
      </c>
      <c r="E40" s="17">
        <f>Forecast!M15</f>
        <v/>
      </c>
      <c r="F40" s="17">
        <f>Forecast!L15</f>
        <v/>
      </c>
      <c r="G40" s="17">
        <f>Forecast!N15</f>
        <v/>
      </c>
      <c r="H40" s="48" t="n"/>
      <c r="I40" s="48" t="n"/>
      <c r="J40" s="48" t="n"/>
      <c r="K40" s="48" t="n"/>
      <c r="L40" s="48" t="n"/>
      <c r="M40" s="48" t="n"/>
      <c r="N40" s="48" t="n"/>
      <c r="O40" s="48" t="n"/>
      <c r="P40" s="48" t="n"/>
      <c r="Q40" s="48" t="n"/>
      <c r="R40" s="48" t="n"/>
    </row>
    <row r="41">
      <c r="A41" s="48" t="n"/>
      <c r="B41" s="48" t="n"/>
      <c r="C41" s="48" t="inlineStr">
        <is>
          <t>Okt</t>
        </is>
      </c>
      <c r="D41" s="17">
        <f>Forecast!I16</f>
        <v/>
      </c>
      <c r="E41" s="17">
        <f>Forecast!M16</f>
        <v/>
      </c>
      <c r="F41" s="17">
        <f>Forecast!L16</f>
        <v/>
      </c>
      <c r="G41" s="17">
        <f>Forecast!N16</f>
        <v/>
      </c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  <c r="R41" s="48" t="n"/>
    </row>
    <row r="42">
      <c r="A42" s="48" t="n"/>
      <c r="B42" s="48" t="n"/>
      <c r="C42" s="48" t="inlineStr">
        <is>
          <t>Nov</t>
        </is>
      </c>
      <c r="D42" s="17">
        <f>Forecast!I17</f>
        <v/>
      </c>
      <c r="E42" s="17">
        <f>Forecast!M17</f>
        <v/>
      </c>
      <c r="F42" s="17">
        <f>Forecast!L17</f>
        <v/>
      </c>
      <c r="G42" s="17">
        <f>Forecast!N17</f>
        <v/>
      </c>
      <c r="H42" s="48" t="n"/>
      <c r="I42" s="48" t="n"/>
      <c r="J42" s="48" t="n"/>
      <c r="K42" s="48" t="n"/>
      <c r="L42" s="48" t="n"/>
      <c r="M42" s="48" t="n"/>
      <c r="N42" s="48" t="n"/>
      <c r="O42" s="48" t="n"/>
      <c r="P42" s="48" t="n"/>
      <c r="Q42" s="48" t="n"/>
      <c r="R42" s="48" t="n"/>
    </row>
    <row r="43">
      <c r="A43" s="48" t="n"/>
      <c r="B43" s="48" t="n"/>
      <c r="C43" s="48" t="inlineStr">
        <is>
          <t>Dez</t>
        </is>
      </c>
      <c r="D43" s="17">
        <f>Forecast!I18</f>
        <v/>
      </c>
      <c r="E43" s="17">
        <f>Forecast!M18</f>
        <v/>
      </c>
      <c r="F43" s="17">
        <f>Forecast!L18</f>
        <v/>
      </c>
      <c r="G43" s="17">
        <f>Forecast!N18</f>
        <v/>
      </c>
      <c r="H43" s="48" t="n"/>
      <c r="I43" s="48" t="n"/>
      <c r="J43" s="48" t="n"/>
      <c r="K43" s="48" t="n"/>
      <c r="L43" s="48" t="n"/>
      <c r="M43" s="48" t="n"/>
      <c r="N43" s="48" t="n"/>
      <c r="O43" s="48" t="n"/>
      <c r="P43" s="48" t="n"/>
      <c r="Q43" s="48" t="n"/>
      <c r="R43" s="48" t="n"/>
    </row>
    <row r="44">
      <c r="A44" s="48" t="n"/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  <c r="P44" s="48" t="n"/>
      <c r="Q44" s="48" t="n"/>
      <c r="R44" s="48" t="n"/>
    </row>
    <row r="45">
      <c r="A45" s="48" t="n"/>
      <c r="B45" s="48" t="n"/>
      <c r="C45" s="48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 t="n"/>
      <c r="P45" s="48" t="n"/>
      <c r="Q45" s="48" t="n"/>
      <c r="R45" s="48" t="n"/>
    </row>
    <row r="46" ht="26" customHeight="1">
      <c r="A46" s="48" t="n"/>
      <c r="B46" s="48" t="n"/>
      <c r="C46" s="52" t="inlineStr">
        <is>
          <t>Direktzugriff</t>
        </is>
      </c>
    </row>
    <row r="47">
      <c r="A47" s="48" t="n"/>
      <c r="B47" s="48" t="n"/>
      <c r="C47" s="48" t="n"/>
      <c r="D47" s="48" t="n"/>
      <c r="E47" s="48" t="n"/>
      <c r="F47" s="48" t="n"/>
      <c r="G47" s="48" t="n"/>
      <c r="H47" s="48" t="n"/>
      <c r="I47" s="48" t="n"/>
      <c r="J47" s="48" t="n"/>
      <c r="K47" s="48" t="n"/>
      <c r="L47" s="48" t="n"/>
      <c r="M47" s="48" t="n"/>
      <c r="N47" s="48" t="n"/>
      <c r="O47" s="48" t="n"/>
      <c r="P47" s="48" t="n"/>
      <c r="Q47" s="48" t="n"/>
      <c r="R47" s="48" t="n"/>
    </row>
    <row r="48">
      <c r="A48" s="48" t="n"/>
      <c r="B48" s="48" t="n"/>
      <c r="C48" s="47">
        <f>IFERROR(HYPERLINK("#'Steuerung'!C2","Steuerung"),"Steuerung")</f>
        <v/>
      </c>
      <c r="G48" s="47">
        <f>IFERROR(HYPERLINK("#'GuV'!C2","GuV"),"GuV")</f>
        <v/>
      </c>
      <c r="K48" s="47">
        <f>IFERROR(HYPERLINK("#'Forecast'!C2","Forecast"),"Forecast")</f>
        <v/>
      </c>
      <c r="O48" s="47">
        <f>IFERROR(HYPERLINK("[Regionen.xlsx]Regionen!C2","Regionen"),"Regionen")</f>
        <v/>
      </c>
    </row>
    <row r="49">
      <c r="A49" s="48" t="n"/>
      <c r="B49" s="48" t="n"/>
      <c r="C49" s="48" t="n"/>
      <c r="D49" s="48" t="n"/>
      <c r="E49" s="48" t="n"/>
      <c r="F49" s="48" t="n"/>
      <c r="G49" s="48" t="n"/>
      <c r="H49" s="48" t="n"/>
      <c r="I49" s="48" t="n"/>
      <c r="J49" s="48" t="n"/>
      <c r="K49" s="48" t="n"/>
      <c r="L49" s="48" t="n"/>
      <c r="M49" s="48" t="n"/>
      <c r="N49" s="48" t="n"/>
      <c r="O49" s="48" t="n"/>
      <c r="P49" s="48" t="n"/>
      <c r="Q49" s="48" t="n"/>
      <c r="R49" s="48" t="n"/>
    </row>
    <row r="50">
      <c r="A50" s="48" t="n"/>
      <c r="B50" s="48" t="n"/>
      <c r="C50" s="47">
        <f>IFERROR(HYPERLINK("[Projekte.xlsx]Projekte!C2","Projekte"),"Projekte")</f>
        <v/>
      </c>
      <c r="G50" s="47">
        <f>IFERROR(HYPERLINK("[Projektakte.xlsx]Projektakte!C2","Projektakte"),"Projektakte")</f>
        <v/>
      </c>
      <c r="K50" s="47">
        <f>IFERROR(HYPERLINK("[Kostenverfolgung.xlsx]Kostenverfolgung!C2","Kostenverfolgung"),"Kostenverfolgung")</f>
        <v/>
      </c>
      <c r="O50" s="47">
        <f>IFERROR(HYPERLINK("[Bestände.xlsx]Bestände!C2","Bestände"),"Bestände")</f>
        <v/>
      </c>
    </row>
    <row r="51">
      <c r="A51" s="48" t="n"/>
      <c r="B51" s="48" t="n"/>
      <c r="C51" s="48" t="n"/>
      <c r="D51" s="48" t="n"/>
      <c r="E51" s="48" t="n"/>
      <c r="F51" s="48" t="n"/>
      <c r="G51" s="48" t="n"/>
      <c r="H51" s="48" t="n"/>
      <c r="I51" s="48" t="n"/>
      <c r="J51" s="48" t="n"/>
      <c r="K51" s="48" t="n"/>
      <c r="L51" s="48" t="n"/>
      <c r="M51" s="48" t="n"/>
      <c r="N51" s="48" t="n"/>
      <c r="O51" s="48" t="n"/>
      <c r="P51" s="48" t="n"/>
      <c r="Q51" s="48" t="n"/>
      <c r="R51" s="48" t="n"/>
    </row>
    <row r="52">
      <c r="A52" s="48" t="n"/>
      <c r="B52" s="48" t="n"/>
      <c r="C52" s="47">
        <f>IFERROR(HYPERLINK("[KLR.xlsx]KLR!C2","KLR"),"KLR")</f>
        <v/>
      </c>
      <c r="G52" s="47">
        <f>IFERROR(HYPERLINK("[Stunden.xlsx]Stunden!C2","Stunden"),"Stunden")</f>
        <v/>
      </c>
      <c r="K52" s="47">
        <f>IFERROR(HYPERLINK("[Stundensätze.xlsx]Stundensätze!C2","Stundensätze"),"Stundensätze")</f>
        <v/>
      </c>
      <c r="O52" s="47">
        <f>IFERROR(HYPERLINK("[Kalkulation.xlsx]Kalkulation!C2","Kalkulation"),"Kalkulation")</f>
        <v/>
      </c>
    </row>
    <row r="53">
      <c r="A53" s="48" t="n"/>
      <c r="B53" s="48" t="n"/>
      <c r="C53" s="48" t="n"/>
      <c r="D53" s="48" t="n"/>
      <c r="E53" s="48" t="n"/>
      <c r="F53" s="48" t="n"/>
      <c r="G53" s="48" t="n"/>
      <c r="H53" s="48" t="n"/>
      <c r="I53" s="48" t="n"/>
      <c r="J53" s="48" t="n"/>
      <c r="K53" s="48" t="n"/>
      <c r="L53" s="48" t="n"/>
      <c r="M53" s="48" t="n"/>
      <c r="N53" s="48" t="n"/>
      <c r="O53" s="48" t="n"/>
      <c r="P53" s="48" t="n"/>
      <c r="Q53" s="48" t="n"/>
      <c r="R53" s="48" t="n"/>
    </row>
    <row r="54">
      <c r="A54" s="48" t="n"/>
      <c r="B54" s="48" t="n"/>
      <c r="C54" s="47">
        <f>IFERROR(HYPERLINK("[Liquidität.xlsx]Liquidität!C2","Liquidität"),"Liquidität")</f>
        <v/>
      </c>
      <c r="G54" s="47">
        <f>IFERROR(HYPERLINK("[Bilanz.xlsx]Bilanz!C2","Bilanz"),"Bilanz")</f>
        <v/>
      </c>
      <c r="K54" s="47">
        <f>IFERROR(HYPERLINK("[Mehrjahresplan.xlsx]Mehrjahresplan!C2","Mehrjahresplan"),"Mehrjahresplan")</f>
        <v/>
      </c>
      <c r="O54" s="47">
        <f>IFERROR(HYPERLINK("[Risiken.xlsx]Risiken!C2","Risiken"),"Risiken")</f>
        <v/>
      </c>
    </row>
    <row r="55">
      <c r="A55" s="48" t="n"/>
      <c r="B55" s="48" t="n"/>
      <c r="C55" s="48" t="n"/>
      <c r="D55" s="48" t="n"/>
      <c r="E55" s="48" t="n"/>
      <c r="F55" s="48" t="n"/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 t="n"/>
      <c r="P55" s="48" t="n"/>
      <c r="Q55" s="48" t="n"/>
      <c r="R55" s="48" t="n"/>
    </row>
    <row r="56">
      <c r="A56" s="48" t="n"/>
      <c r="B56" s="48" t="n"/>
      <c r="C56" s="47">
        <f>IFERROR(HYPERLINK("[Monatsabschluss.xlsx]Monatsabschluss!C2","Monatsabschluss"),"Monatsabschluss")</f>
        <v/>
      </c>
      <c r="G56" s="47">
        <f>IFERROR(HYPERLINK("[Berichte.xlsx]Berichte!C2","Berichte"),"Berichte")</f>
        <v/>
      </c>
      <c r="K56" s="47">
        <f>IFERROR(HYPERLINK("[Jahresabschluss.xlsx]Jahresabschluss!C2","Jahresabschluss"),"Jahresabschluss")</f>
        <v/>
      </c>
      <c r="O56" s="47">
        <f>IFERROR(HYPERLINK("[Prüfungen.xlsx]Prüfungen!C2","Prüfungen"),"Prüfungen")</f>
        <v/>
      </c>
    </row>
    <row r="57">
      <c r="A57" s="48" t="n"/>
      <c r="B57" s="48" t="n"/>
      <c r="C57" s="48" t="n"/>
      <c r="D57" s="48" t="n"/>
      <c r="E57" s="48" t="n"/>
      <c r="F57" s="48" t="n"/>
      <c r="G57" s="48" t="n"/>
      <c r="H57" s="48" t="n"/>
      <c r="I57" s="48" t="n"/>
      <c r="J57" s="48" t="n"/>
      <c r="K57" s="48" t="n"/>
      <c r="L57" s="48" t="n"/>
      <c r="M57" s="48" t="n"/>
      <c r="N57" s="48" t="n"/>
      <c r="O57" s="48" t="n"/>
      <c r="P57" s="48" t="n"/>
      <c r="Q57" s="48" t="n"/>
      <c r="R57" s="48" t="n"/>
    </row>
    <row r="58">
      <c r="A58" s="48" t="n"/>
      <c r="B58" s="48" t="n"/>
      <c r="C58" s="47">
        <f>IFERROR(HYPERLINK("[Daten.xlsx]Daten!C2","Daten"),"Daten")</f>
        <v/>
      </c>
      <c r="G58" s="47">
        <f>IFERROR(HYPERLINK("[Anleitung.xlsx]Anleitung!C2","Anleitung"),"Anleitung")</f>
        <v/>
      </c>
      <c r="K58" s="48" t="n"/>
      <c r="L58" s="48" t="n"/>
      <c r="M58" s="48" t="n"/>
      <c r="N58" s="48" t="n"/>
      <c r="O58" s="48" t="n"/>
      <c r="P58" s="48" t="n"/>
      <c r="Q58" s="48" t="n"/>
      <c r="R58" s="48" t="n"/>
    </row>
    <row r="59">
      <c r="A59" s="48" t="n"/>
      <c r="B59" s="48" t="n"/>
      <c r="C59" s="48" t="n"/>
      <c r="D59" s="48" t="n"/>
      <c r="E59" s="48" t="n"/>
      <c r="F59" s="48" t="n"/>
      <c r="G59" s="48" t="n"/>
      <c r="H59" s="48" t="n"/>
      <c r="I59" s="48" t="n"/>
      <c r="J59" s="48" t="n"/>
      <c r="K59" s="48" t="n"/>
      <c r="L59" s="48" t="n"/>
      <c r="M59" s="48" t="n"/>
      <c r="N59" s="48" t="n"/>
      <c r="O59" s="48" t="n"/>
      <c r="P59" s="48" t="n"/>
      <c r="Q59" s="48" t="n"/>
      <c r="R59" s="48" t="n"/>
    </row>
    <row r="60">
      <c r="A60" s="48" t="n"/>
      <c r="B60" s="48" t="n"/>
      <c r="C60" s="47">
        <f>IFERROR(HYPERLINK("[Import.xlsx]Import!C2","Daten importieren"),"Daten importieren")</f>
        <v/>
      </c>
      <c r="D60" s="48" t="n"/>
      <c r="E60" s="48" t="n"/>
      <c r="F60" s="48" t="n"/>
      <c r="G60" s="48" t="n"/>
      <c r="H60" s="48" t="n"/>
      <c r="I60" s="48" t="n"/>
      <c r="J60" s="48" t="n"/>
      <c r="K60" s="48" t="n"/>
      <c r="L60" s="48" t="n"/>
      <c r="M60" s="48" t="n"/>
      <c r="N60" s="48" t="n"/>
      <c r="O60" s="48" t="n"/>
      <c r="P60" s="48" t="n"/>
      <c r="Q60" s="48" t="n"/>
      <c r="R60" s="48" t="n"/>
    </row>
    <row r="61"/>
    <row r="62">
      <c r="C62" s="49" t="inlineStr">
        <is>
          <t>Monats-GuV-Import aktualisiert die Gesellschaftswerte. Regionen, Projekte, KLR, Bilanz und offene Posten behalten ihre gesonderten Datenstände.</t>
        </is>
      </c>
    </row>
    <row r="63"/>
    <row r="64"/>
    <row r="65">
      <c r="C65" t="inlineStr">
        <is>
          <t>SharePoint-Hub: Kennzahlen rechnen in dieser Datei (GuV, Forecast, Steuerung, Monatsroll). Weitere Fachdateien liegen im selben Ordner.</t>
        </is>
      </c>
    </row>
    <row r="66">
      <c r="C66" t="inlineStr">
        <is>
          <t>Bei #BLOCKIERT! diese Datei in Excel für Mac öffnen, einmal berechnen/speichern, Dashboard neu laden.</t>
        </is>
      </c>
    </row>
  </sheetData>
  <mergeCells count="37">
    <mergeCell ref="C52:F52"/>
    <mergeCell ref="C2:R2"/>
    <mergeCell ref="O56:R56"/>
    <mergeCell ref="C48:F48"/>
    <mergeCell ref="K48:N48"/>
    <mergeCell ref="O52:R52"/>
    <mergeCell ref="C9:H9"/>
    <mergeCell ref="O48:R48"/>
    <mergeCell ref="G54:J54"/>
    <mergeCell ref="G50:J50"/>
    <mergeCell ref="G56:J56"/>
    <mergeCell ref="C3:R3"/>
    <mergeCell ref="I9:R9"/>
    <mergeCell ref="G52:J52"/>
    <mergeCell ref="G6:J7"/>
    <mergeCell ref="O6:R7"/>
    <mergeCell ref="C5:F5"/>
    <mergeCell ref="C58:F58"/>
    <mergeCell ref="K5:N5"/>
    <mergeCell ref="K54:N54"/>
    <mergeCell ref="G48:J48"/>
    <mergeCell ref="C54:F54"/>
    <mergeCell ref="O5:R5"/>
    <mergeCell ref="O54:R54"/>
    <mergeCell ref="C50:F50"/>
    <mergeCell ref="K50:N50"/>
    <mergeCell ref="C56:F56"/>
    <mergeCell ref="K56:N56"/>
    <mergeCell ref="C62:R63"/>
    <mergeCell ref="C6:F7"/>
    <mergeCell ref="K52:N52"/>
    <mergeCell ref="O50:R50"/>
    <mergeCell ref="K6:N7"/>
    <mergeCell ref="C46:R46"/>
    <mergeCell ref="C28:R29"/>
    <mergeCell ref="G5:J5"/>
    <mergeCell ref="G58:J58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60A5FA"/>
    <outlinePr summaryBelow="1" summaryRight="1"/>
    <pageSetUpPr/>
  </sheetPr>
  <dimension ref="A1:N60"/>
  <sheetViews>
    <sheetView showGridLines="0" workbookViewId="0">
      <selection activeCell="A1" sqref="A1"/>
    </sheetView>
  </sheetViews>
  <sheetFormatPr baseColWidth="10" defaultColWidth="8.83203125" defaultRowHeight="14"/>
  <cols>
    <col width="2.5" customWidth="1" min="1" max="2"/>
    <col width="38" customWidth="1" min="3" max="3"/>
    <col width="15" customWidth="1" min="4" max="14"/>
  </cols>
  <sheetData>
    <row r="1">
      <c r="A1" s="48" t="n"/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</row>
    <row r="2" ht="30" customHeight="1">
      <c r="A2" s="48" t="n"/>
      <c r="B2" s="48" t="n"/>
      <c r="C2" s="53" t="inlineStr">
        <is>
          <t>Controlling-Cockpit – Steuerung</t>
        </is>
      </c>
      <c r="D2" s="60" t="n"/>
      <c r="E2" s="60" t="n"/>
      <c r="F2" s="60" t="n"/>
      <c r="G2" s="60" t="n"/>
      <c r="H2" s="60" t="n"/>
      <c r="I2" s="60" t="n"/>
      <c r="J2" s="60" t="n"/>
      <c r="K2" s="60" t="n"/>
      <c r="L2" s="60" t="n"/>
      <c r="M2" s="60" t="n"/>
      <c r="N2" s="60" t="n"/>
    </row>
    <row r="3" ht="32" customHeight="1">
      <c r="A3" s="48" t="n"/>
      <c r="B3" s="48" t="n"/>
      <c r="C3" s="54" t="inlineStr">
        <is>
          <t>Gelbe Zellen sind Eingaben. Auswertungen aktualisieren sich über Excel-Formeln. Beträge in EUR, sofern anders angegeben.</t>
        </is>
      </c>
    </row>
    <row r="4">
      <c r="A4" s="48" t="n"/>
      <c r="B4" s="48" t="n"/>
      <c r="C4" s="48" t="n"/>
      <c r="D4" s="48" t="n"/>
      <c r="E4" s="48" t="n"/>
      <c r="F4" s="48" t="n"/>
      <c r="G4" s="48" t="n"/>
      <c r="H4" s="48" t="n"/>
      <c r="I4" s="48" t="n"/>
      <c r="J4" s="48" t="n"/>
      <c r="K4" s="48" t="n"/>
      <c r="L4" s="48" t="n"/>
      <c r="M4" s="48" t="n"/>
      <c r="N4" s="48" t="n"/>
    </row>
    <row r="5" ht="34" customHeight="1">
      <c r="A5" s="48" t="n"/>
      <c r="B5" s="48" t="n"/>
      <c r="C5" s="3" t="inlineStr">
        <is>
          <t>Einstellung</t>
        </is>
      </c>
      <c r="D5" s="3" t="n"/>
      <c r="E5" s="3" t="n"/>
      <c r="F5" s="3" t="inlineStr">
        <is>
          <t>Wert</t>
        </is>
      </c>
      <c r="G5" s="3" t="inlineStr">
        <is>
          <t>Bedeutung</t>
        </is>
      </c>
      <c r="H5" s="48" t="n"/>
      <c r="I5" s="48" t="n"/>
      <c r="J5" s="48" t="n"/>
      <c r="K5" s="48" t="n"/>
      <c r="L5" s="48" t="n"/>
      <c r="M5" s="48" t="n"/>
      <c r="N5" s="48" t="n"/>
    </row>
    <row r="6" ht="28" customHeight="1">
      <c r="A6" s="48" t="n"/>
      <c r="B6" s="48" t="n"/>
      <c r="C6" s="48" t="inlineStr">
        <is>
          <t>Berichtsjahr</t>
        </is>
      </c>
      <c r="D6" s="48" t="n"/>
      <c r="E6" s="48" t="n"/>
      <c r="F6" s="59" t="n">
        <v>2026</v>
      </c>
      <c r="G6" s="51" t="inlineStr">
        <is>
          <t>Ist- und Jahresforecast 2026</t>
        </is>
      </c>
    </row>
    <row r="7" ht="28" customHeight="1">
      <c r="A7" s="48" t="n"/>
      <c r="B7" s="48" t="n"/>
      <c r="C7" s="48" t="inlineStr">
        <is>
          <t>Berichtsmonat</t>
        </is>
      </c>
      <c r="D7" s="48" t="n"/>
      <c r="E7" s="48" t="n"/>
      <c r="F7" s="59" t="n">
        <v>8</v>
      </c>
      <c r="G7" s="51" t="inlineStr">
        <is>
          <t>GuV und Monatsvergleich. September ist ein zusätzlicher Datenstand.</t>
        </is>
      </c>
    </row>
    <row r="8" ht="28" customHeight="1">
      <c r="A8" s="48" t="n"/>
      <c r="B8" s="48" t="n"/>
      <c r="C8" s="48" t="inlineStr">
        <is>
          <t>Ist-Grenze Forecast</t>
        </is>
      </c>
      <c r="D8" s="48" t="n"/>
      <c r="E8" s="48" t="n"/>
      <c r="F8" s="48">
        <f>'D Finanzen'!B39</f>
        <v/>
      </c>
      <c r="G8" s="51" t="inlineStr">
        <is>
          <t>Originalforecast: Januar–August Ist, September–Dezember Forecast.</t>
        </is>
      </c>
    </row>
    <row r="9" ht="28" customHeight="1">
      <c r="A9" s="48" t="n"/>
      <c r="B9" s="48" t="n"/>
      <c r="C9" s="48" t="inlineStr">
        <is>
          <t>Region</t>
        </is>
      </c>
      <c r="D9" s="48" t="n"/>
      <c r="E9" s="48" t="n"/>
      <c r="F9" s="59" t="inlineStr">
        <is>
          <t>West</t>
        </is>
      </c>
      <c r="G9" s="51" t="inlineStr">
        <is>
          <t>Regionensicht und Projektkontext</t>
        </is>
      </c>
    </row>
    <row r="10" ht="28" customHeight="1">
      <c r="A10" s="48" t="n"/>
      <c r="B10" s="48" t="n"/>
      <c r="C10" s="48" t="inlineStr">
        <is>
          <t>Projekt</t>
        </is>
      </c>
      <c r="D10" s="48" t="n"/>
      <c r="E10" s="48" t="n"/>
      <c r="F10" s="59" t="inlineStr">
        <is>
          <t>P4102608263</t>
        </is>
      </c>
      <c r="G10" s="51" t="inlineStr">
        <is>
          <t>Projektakte und Statusbericht</t>
        </is>
      </c>
    </row>
    <row r="11" ht="28" customHeight="1">
      <c r="A11" s="48" t="n"/>
      <c r="B11" s="48" t="n"/>
      <c r="C11" s="48" t="inlineStr">
        <is>
          <t>Planjahr</t>
        </is>
      </c>
      <c r="D11" s="48" t="n"/>
      <c r="E11" s="48" t="n"/>
      <c r="F11" s="59" t="n">
        <v>2027</v>
      </c>
      <c r="G11" s="51" t="inlineStr">
        <is>
          <t>Mehrjahresplanung und Stundensatzanalyse</t>
        </is>
      </c>
    </row>
    <row r="12" ht="28" customHeight="1">
      <c r="A12" s="48" t="n"/>
      <c r="B12" s="48" t="n"/>
      <c r="C12" s="48" t="inlineStr">
        <is>
          <t>Stichtag</t>
        </is>
      </c>
      <c r="D12" s="48" t="n"/>
      <c r="E12" s="48" t="n"/>
      <c r="F12" s="13" t="n">
        <v>46265</v>
      </c>
      <c r="G12" s="51" t="inlineStr">
        <is>
          <t>Fälligkeits- und Maßnahmenprüfung</t>
        </is>
      </c>
    </row>
    <row r="13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</row>
    <row r="14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</row>
    <row r="15" ht="26" customHeight="1">
      <c r="A15" s="48" t="n"/>
      <c r="B15" s="48" t="n"/>
      <c r="C15" s="52" t="inlineStr">
        <is>
          <t>Datenstände und Bedienung</t>
        </is>
      </c>
    </row>
    <row r="16">
      <c r="A16" s="48" t="n"/>
      <c r="B16" s="48" t="n"/>
      <c r="C16" s="48" t="n"/>
      <c r="D16" s="48" t="n"/>
      <c r="E16" s="48" t="n"/>
      <c r="F16" s="48" t="n"/>
      <c r="G16" s="48" t="n"/>
      <c r="H16" s="48" t="n"/>
      <c r="I16" s="48" t="n"/>
      <c r="J16" s="48" t="n"/>
      <c r="K16" s="48" t="n"/>
      <c r="L16" s="48" t="n"/>
      <c r="M16" s="48" t="n"/>
      <c r="N16" s="48" t="n"/>
    </row>
    <row r="17">
      <c r="A17" s="48" t="n"/>
      <c r="B17" s="48" t="n"/>
      <c r="C17" s="48" t="inlineStr">
        <is>
          <t>Ist / GuV</t>
        </is>
      </c>
      <c r="D17" s="48" t="n"/>
      <c r="E17" s="48" t="n"/>
      <c r="F17" s="51" t="inlineStr">
        <is>
          <t>Januar bis September 2026. Der Forecast verwendet weiterhin Ist bis August.</t>
        </is>
      </c>
    </row>
    <row r="18">
      <c r="A18" s="48" t="n"/>
      <c r="B18" s="48" t="n"/>
      <c r="C18" s="48" t="n"/>
      <c r="D18" s="48" t="n"/>
      <c r="E18" s="48" t="n"/>
    </row>
    <row r="19">
      <c r="A19" s="48" t="n"/>
      <c r="B19" s="48" t="n"/>
      <c r="C19" s="48" t="inlineStr">
        <is>
          <t>Stunden</t>
        </is>
      </c>
      <c r="D19" s="48" t="n"/>
      <c r="E19" s="48" t="n"/>
      <c r="F19" s="51" t="inlineStr">
        <is>
          <t>Monatsdetails Januar–Mai 2026. Die Jahresübersicht der Stunden reicht bis September.</t>
        </is>
      </c>
    </row>
    <row r="20">
      <c r="A20" s="48" t="n"/>
      <c r="B20" s="48" t="n"/>
      <c r="C20" s="48" t="n"/>
      <c r="D20" s="48" t="n"/>
      <c r="E20" s="48" t="n"/>
    </row>
    <row r="21">
      <c r="A21" s="48" t="n"/>
      <c r="B21" s="48" t="n"/>
      <c r="C21" s="48" t="inlineStr">
        <is>
          <t>Bilanz</t>
        </is>
      </c>
      <c r="D21" s="48" t="n"/>
      <c r="E21" s="48" t="n"/>
      <c r="F21" s="51" t="inlineStr">
        <is>
          <t>SAP-HGB-Bilanz zum 31.07.2026 plus laufende Kontenbestände im Detail.</t>
        </is>
      </c>
    </row>
    <row r="22">
      <c r="A22" s="48" t="n"/>
      <c r="B22" s="48" t="n"/>
      <c r="C22" s="48" t="n"/>
      <c r="D22" s="48" t="n"/>
      <c r="E22" s="48" t="n"/>
    </row>
    <row r="23">
      <c r="A23" s="48" t="n"/>
      <c r="B23" s="48" t="n"/>
      <c r="C23" s="48" t="inlineStr">
        <is>
          <t>Forecast ändern</t>
        </is>
      </c>
      <c r="D23" s="48" t="n"/>
      <c r="E23" s="48" t="n"/>
      <c r="F23" s="51" t="inlineStr">
        <is>
          <t>FC Eingabe: Monatsänderungen zu Umsatz, Bestand und Kosten erfassen. Kostensteigerung positiv.</t>
        </is>
      </c>
    </row>
    <row r="24">
      <c r="A24" s="48" t="n"/>
      <c r="B24" s="48" t="n"/>
      <c r="C24" s="48" t="n"/>
      <c r="D24" s="48" t="n"/>
      <c r="E24" s="48" t="n"/>
    </row>
    <row r="25">
      <c r="A25" s="48" t="n"/>
      <c r="B25" s="48" t="n"/>
      <c r="C25" s="48" t="inlineStr">
        <is>
          <t>Daten ergänzen</t>
        </is>
      </c>
      <c r="D25" s="48" t="n"/>
      <c r="E25" s="48" t="n"/>
      <c r="F25" s="51" t="inlineStr">
        <is>
          <t>Quelldaten sind als Excel-Tabellen vorhanden. Für neue Zeilen Formelbezüge prüfen und ggf. erweitern.</t>
        </is>
      </c>
    </row>
    <row r="26">
      <c r="A26" s="48" t="n"/>
      <c r="B26" s="48" t="n"/>
      <c r="C26" s="48" t="n"/>
      <c r="D26" s="48" t="n"/>
      <c r="E26" s="48" t="n"/>
    </row>
    <row r="27">
      <c r="A27" s="48" t="n"/>
      <c r="B27" s="48" t="n"/>
      <c r="C27" s="48" t="inlineStr">
        <is>
          <t>Farben</t>
        </is>
      </c>
      <c r="D27" s="48" t="n"/>
      <c r="E27" s="48" t="n"/>
      <c r="F27" s="51" t="inlineStr">
        <is>
          <t>Gelb / Blau: Eingabe. Grün: Verknüpfung im Rechenblatt. Dunkel: Ergebnis. Rot: negative Beträge / Abweichung.</t>
        </is>
      </c>
    </row>
    <row r="28">
      <c r="A28" s="48" t="n"/>
      <c r="B28" s="48" t="n"/>
      <c r="C28" s="48" t="n"/>
      <c r="D28" s="48" t="n"/>
      <c r="E28" s="48" t="n"/>
    </row>
    <row r="29">
      <c r="A29" s="48" t="n"/>
      <c r="B29" s="48" t="n"/>
      <c r="C29" s="48" t="n"/>
      <c r="D29" s="48" t="n"/>
      <c r="E29" s="48" t="n"/>
      <c r="F29" s="48" t="n"/>
      <c r="G29" s="48" t="n"/>
      <c r="H29" s="48" t="n"/>
      <c r="I29" s="48" t="n"/>
      <c r="J29" s="48" t="n"/>
      <c r="K29" s="48" t="n"/>
      <c r="L29" s="48" t="n"/>
      <c r="M29" s="48" t="n"/>
      <c r="N29" s="48" t="n"/>
    </row>
    <row r="30">
      <c r="A30" s="48" t="n"/>
      <c r="B30" s="48" t="n"/>
      <c r="C30" s="48" t="n"/>
      <c r="D30" s="48" t="n"/>
      <c r="E30" s="48" t="n"/>
      <c r="F30" s="48" t="n"/>
      <c r="G30" s="48" t="n"/>
      <c r="H30" s="48" t="n"/>
      <c r="I30" s="48" t="n"/>
      <c r="J30" s="48" t="n"/>
      <c r="K30" s="48" t="n"/>
      <c r="L30" s="48" t="n"/>
      <c r="M30" s="48" t="n"/>
      <c r="N30" s="48" t="n"/>
    </row>
    <row r="31">
      <c r="A31" s="48" t="n"/>
      <c r="B31" s="48" t="n"/>
      <c r="C31" s="48" t="n"/>
      <c r="D31" s="48" t="n"/>
      <c r="E31" s="48" t="n"/>
      <c r="F31" s="48" t="n"/>
      <c r="G31" s="48" t="n"/>
      <c r="H31" s="48" t="n"/>
      <c r="I31" s="48" t="n"/>
      <c r="J31" s="48" t="n"/>
      <c r="K31" s="48" t="n"/>
      <c r="L31" s="48" t="n"/>
      <c r="M31" s="48" t="n"/>
      <c r="N31" s="48" t="n"/>
    </row>
    <row r="32">
      <c r="A32" s="48" t="n"/>
      <c r="B32" s="48" t="n"/>
      <c r="C32" s="48" t="n"/>
      <c r="D32" s="48" t="n"/>
      <c r="E32" s="48" t="n"/>
      <c r="F32" s="48" t="n"/>
      <c r="G32" s="48" t="n"/>
      <c r="H32" s="48" t="n"/>
      <c r="I32" s="48" t="n"/>
      <c r="J32" s="48" t="n"/>
      <c r="K32" s="48" t="n"/>
      <c r="L32" s="48" t="n"/>
      <c r="M32" s="48" t="n"/>
      <c r="N32" s="48" t="n"/>
    </row>
    <row r="33">
      <c r="A33" s="48" t="n"/>
      <c r="B33" s="48" t="n"/>
      <c r="C33" s="48" t="n"/>
      <c r="D33" s="48" t="n"/>
      <c r="E33" s="48" t="n"/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</row>
    <row r="34" ht="26" customHeight="1">
      <c r="A34" s="48" t="n"/>
      <c r="B34" s="48" t="n"/>
      <c r="C34" s="52" t="inlineStr">
        <is>
          <t>Liquiditätsparameter aus dem Original</t>
        </is>
      </c>
    </row>
    <row r="35" ht="34" customHeight="1">
      <c r="A35" s="48" t="n"/>
      <c r="B35" s="48" t="n"/>
      <c r="C35" s="3" t="inlineStr">
        <is>
          <t>Parameter</t>
        </is>
      </c>
      <c r="D35" s="3" t="n"/>
      <c r="E35" s="3" t="n"/>
      <c r="F35" s="3" t="inlineStr">
        <is>
          <t>Wert</t>
        </is>
      </c>
      <c r="G35" s="3" t="inlineStr">
        <is>
          <t>Einheit</t>
        </is>
      </c>
      <c r="H35" s="48" t="n"/>
      <c r="I35" s="48" t="n"/>
      <c r="J35" s="48" t="n"/>
      <c r="K35" s="48" t="n"/>
      <c r="L35" s="48" t="n"/>
      <c r="M35" s="48" t="n"/>
      <c r="N35" s="48" t="n"/>
    </row>
    <row r="36" ht="36" customHeight="1">
      <c r="A36" s="48" t="n"/>
      <c r="B36" s="48" t="n"/>
      <c r="C36" s="48" t="inlineStr">
        <is>
          <t>dso_tage</t>
        </is>
      </c>
      <c r="D36" s="48" t="n"/>
      <c r="E36" s="48" t="n"/>
      <c r="F36" s="15" t="n">
        <v>119</v>
      </c>
      <c r="G36" s="48" t="inlineStr">
        <is>
          <t>Tage</t>
        </is>
      </c>
      <c r="H36" s="51" t="inlineStr">
        <is>
          <t>Debitorenlaufzeit: von der Umsatzbuchung bis zum Zahlungseingang. Kalibriert an den Ist-Bewegungen.</t>
        </is>
      </c>
    </row>
    <row r="37" ht="36" customHeight="1">
      <c r="A37" s="48" t="n"/>
      <c r="B37" s="48" t="n"/>
      <c r="C37" s="48" t="inlineStr">
        <is>
          <t>dpo_tage</t>
        </is>
      </c>
      <c r="D37" s="48" t="n"/>
      <c r="E37" s="48" t="n"/>
      <c r="F37" s="15" t="n">
        <v>45</v>
      </c>
      <c r="G37" s="48" t="inlineStr">
        <is>
          <t>Tage</t>
        </is>
      </c>
      <c r="H37" s="51" t="inlineStr">
        <is>
          <t>Kreditorenlaufzeit: von der Kostenentstehung bis zur Auszahlung der Sachkosten. Kalibriert.</t>
        </is>
      </c>
    </row>
    <row r="38" ht="36" customHeight="1">
      <c r="A38" s="48" t="n"/>
      <c r="B38" s="48" t="n"/>
      <c r="C38" s="48" t="inlineStr">
        <is>
          <t>systematischer_zufluss</t>
        </is>
      </c>
      <c r="D38" s="48" t="n"/>
      <c r="E38" s="48" t="n"/>
      <c r="F38" s="15" t="n">
        <v>209759.08</v>
      </c>
      <c r="G38" s="48" t="inlineStr">
        <is>
          <t>EUR/Monat</t>
        </is>
      </c>
      <c r="H38" s="51" t="inlineStr">
        <is>
          <t>Regelmaessiger Zufluss, den das Modell weder Umsatz noch Anzahlung zuordnen kann. Vermutlich Factoring.</t>
        </is>
      </c>
    </row>
    <row r="39" ht="36" customHeight="1">
      <c r="A39" s="48" t="n"/>
      <c r="B39" s="48" t="n"/>
      <c r="C39" s="48" t="inlineStr">
        <is>
          <t>realisierungsquote_az</t>
        </is>
      </c>
      <c r="D39" s="48" t="n"/>
      <c r="E39" s="48" t="n"/>
      <c r="F39" s="15" t="n">
        <v>1</v>
      </c>
      <c r="G39" s="48" t="inlineStr">
        <is>
          <t>Anteil</t>
        </is>
      </c>
      <c r="H39" s="51" t="inlineStr">
        <is>
          <t>Anteil der geplanten Anzahlungseingaenge, der tatsaechlich zufliesst.</t>
        </is>
      </c>
    </row>
    <row r="40" ht="36" customHeight="1">
      <c r="A40" s="48" t="n"/>
      <c r="B40" s="48" t="n"/>
      <c r="C40" s="48" t="inlineStr">
        <is>
          <t>tage_je_monat</t>
        </is>
      </c>
      <c r="D40" s="48" t="n"/>
      <c r="E40" s="48" t="n"/>
      <c r="F40" s="15" t="n">
        <v>30.4375</v>
      </c>
      <c r="G40" s="48" t="inlineStr">
        <is>
          <t>Tage</t>
        </is>
      </c>
      <c r="H40" s="51" t="inlineStr">
        <is>
          <t>365,25 / 12. Umrechnung der Zahlungsziele in Monatsversaetze.</t>
        </is>
      </c>
    </row>
    <row r="41" ht="36" customHeight="1">
      <c r="A41" s="48" t="n"/>
      <c r="B41" s="48" t="n"/>
      <c r="C41" s="48" t="inlineStr">
        <is>
          <t>personal_monat</t>
        </is>
      </c>
      <c r="D41" s="48" t="n"/>
      <c r="E41" s="48" t="n"/>
      <c r="F41" s="15" t="n">
        <v>333887.39</v>
      </c>
      <c r="G41" s="48" t="inlineStr">
        <is>
          <t>EUR/Monat</t>
        </is>
      </c>
      <c r="H41" s="51" t="inlineStr">
        <is>
          <t>Personalaufwand Jahresforecast / 12. Wird im Entstehungsmonat gezahlt, daher ohne Zahlungsziel.</t>
        </is>
      </c>
    </row>
    <row r="42" ht="36" customHeight="1">
      <c r="A42" s="48" t="n"/>
      <c r="B42" s="48" t="n"/>
      <c r="C42" s="48" t="inlineStr">
        <is>
          <t>abschreibung_monat</t>
        </is>
      </c>
      <c r="D42" s="48" t="n"/>
      <c r="E42" s="48" t="n"/>
      <c r="F42" s="15" t="n">
        <v>9455.99</v>
      </c>
      <c r="G42" s="48" t="inlineStr">
        <is>
          <t>EUR/Monat</t>
        </is>
      </c>
      <c r="H42" s="51" t="inlineStr">
        <is>
          <t>Nicht zahlungswirksam, wird aus den Sachkosten herausgerechnet.</t>
        </is>
      </c>
    </row>
    <row r="43" ht="36" customHeight="1">
      <c r="A43" s="48" t="n"/>
      <c r="B43" s="48" t="n"/>
      <c r="C43" s="48" t="inlineStr">
        <is>
          <t>zins_steuer_monat</t>
        </is>
      </c>
      <c r="D43" s="48" t="n"/>
      <c r="E43" s="48" t="n"/>
      <c r="F43" s="15" t="n">
        <v>4058.81</v>
      </c>
      <c r="G43" s="48" t="inlineStr">
        <is>
          <t>EUR/Monat</t>
        </is>
      </c>
      <c r="H43" s="51" t="inlineStr">
        <is>
          <t>Zinsaufwand abzueglich Zinsertrag zuzueglich sonstige Steuern.</t>
        </is>
      </c>
    </row>
    <row r="44" ht="36" customHeight="1">
      <c r="A44" s="48" t="n"/>
      <c r="B44" s="48" t="n"/>
      <c r="C44" s="48" t="inlineStr">
        <is>
          <t>bestand_angeforderte_az_start</t>
        </is>
      </c>
      <c r="D44" s="48" t="n"/>
      <c r="E44" s="48" t="n"/>
      <c r="F44" s="15" t="n">
        <v>1476386.65</v>
      </c>
      <c r="G44" s="48" t="inlineStr">
        <is>
          <t>EUR</t>
        </is>
      </c>
      <c r="H44" s="51" t="inlineStr">
        <is>
          <t>Bestand zum 31.07.2026. Laeuft im Modell bis Dezember gleichmaessig aus.</t>
        </is>
      </c>
    </row>
    <row r="45" ht="36" customHeight="1">
      <c r="A45" s="48" t="n"/>
      <c r="B45" s="48" t="n"/>
      <c r="C45" s="48" t="inlineStr">
        <is>
          <t>tilgung_monat</t>
        </is>
      </c>
      <c r="D45" s="48" t="n"/>
      <c r="E45" s="48" t="n"/>
      <c r="F45" s="15" t="n">
        <v>0</v>
      </c>
      <c r="G45" s="48" t="inlineStr">
        <is>
          <t>EUR/Monat</t>
        </is>
      </c>
      <c r="H45" s="51" t="inlineStr">
        <is>
          <t>Tilgungsplan des Konzerndarlehens liegt noch nicht vor.</t>
        </is>
      </c>
    </row>
    <row r="46" ht="36" customHeight="1">
      <c r="A46" s="48" t="n"/>
      <c r="B46" s="48" t="n"/>
      <c r="C46" s="48" t="inlineStr">
        <is>
          <t>investition_monat</t>
        </is>
      </c>
      <c r="D46" s="48" t="n"/>
      <c r="E46" s="48" t="n"/>
      <c r="F46" s="15" t="n">
        <v>0</v>
      </c>
      <c r="G46" s="48" t="inlineStr">
        <is>
          <t>EUR/Monat</t>
        </is>
      </c>
      <c r="H46" s="51" t="inlineStr">
        <is>
          <t>Annahme: kein signifikantes Investment.</t>
        </is>
      </c>
    </row>
    <row r="47" ht="36" customHeight="1">
      <c r="A47" s="48" t="n"/>
      <c r="B47" s="48" t="n"/>
      <c r="C47" s="48" t="inlineStr">
        <is>
          <t>umsatzsteuer_aktiv</t>
        </is>
      </c>
      <c r="D47" s="48" t="n"/>
      <c r="E47" s="48" t="n"/>
      <c r="F47" s="15" t="n">
        <v>0</v>
      </c>
      <c r="G47" s="48" t="inlineStr">
        <is>
          <t>Schalter</t>
        </is>
      </c>
      <c r="H47" s="51" t="inlineStr">
        <is>
          <t>Zahlungsstroeme brutto rechnen und die Zahllast separat abfuehren. 0 = aus, 1 = an. Geprueft und bewusst aus: die Bruttorechnung senkt den Erklaerungsgrad von 96,8 auf 92,5 Prozent, weil die Steuerzahlungen nicht ueber den Cash Pool laufen, gegen den kalibriert wird.</t>
        </is>
      </c>
    </row>
    <row r="48" ht="36" customHeight="1">
      <c r="A48" s="48" t="n"/>
      <c r="B48" s="48" t="n"/>
      <c r="C48" s="48" t="inlineStr">
        <is>
          <t>ust_satz</t>
        </is>
      </c>
      <c r="D48" s="48" t="n"/>
      <c r="E48" s="48" t="n"/>
      <c r="F48" s="15" t="n">
        <v>0.19</v>
      </c>
      <c r="G48" s="48" t="inlineStr">
        <is>
          <t>Anteil</t>
        </is>
      </c>
      <c r="H48" s="51" t="inlineStr">
        <is>
          <t>Regelsteuersatz.</t>
        </is>
      </c>
    </row>
    <row r="49" ht="36" customHeight="1">
      <c r="A49" s="48" t="n"/>
      <c r="B49" s="48" t="n"/>
      <c r="C49" s="48" t="inlineStr">
        <is>
          <t>ust_verzug_monate</t>
        </is>
      </c>
      <c r="D49" s="48" t="n"/>
      <c r="E49" s="48" t="n"/>
      <c r="F49" s="15" t="n">
        <v>2</v>
      </c>
      <c r="G49" s="48" t="inlineStr">
        <is>
          <t>Monate</t>
        </is>
      </c>
      <c r="H49" s="51" t="inlineStr">
        <is>
          <t>Voranmeldung zuzueglich Dauerfristverlaengerung.</t>
        </is>
      </c>
    </row>
    <row r="50" ht="36" customHeight="1">
      <c r="A50" s="48" t="n"/>
      <c r="B50" s="48" t="n"/>
      <c r="C50" s="48" t="inlineStr">
        <is>
          <t>startmonat_plan</t>
        </is>
      </c>
      <c r="D50" s="48" t="n"/>
      <c r="E50" s="48" t="n"/>
      <c r="F50" s="15" t="n">
        <v>9</v>
      </c>
      <c r="G50" s="48" t="inlineStr">
        <is>
          <t>Monat</t>
        </is>
      </c>
      <c r="H50" s="51" t="inlineStr">
        <is>
          <t>Erster Planmonat. Davor gelten Ist-Werte.</t>
        </is>
      </c>
    </row>
    <row r="51" ht="36" customHeight="1">
      <c r="A51" s="48" t="n"/>
      <c r="B51" s="48" t="n"/>
      <c r="C51" s="48" t="inlineStr">
        <is>
          <t>startbestand</t>
        </is>
      </c>
      <c r="D51" s="48" t="n"/>
      <c r="E51" s="48" t="n"/>
      <c r="F51" s="15" t="n">
        <v>1944327.5</v>
      </c>
      <c r="G51" s="48" t="inlineStr">
        <is>
          <t>EUR</t>
        </is>
      </c>
      <c r="H51" s="51" t="inlineStr">
        <is>
          <t>Cash-Pool-Saldo zum 31.07.2026. Negativ = Verbindlichkeit gegenueber dem Mutterkonzern.</t>
        </is>
      </c>
    </row>
    <row r="52">
      <c r="A52" s="48" t="n"/>
      <c r="B52" s="48" t="n"/>
      <c r="C52" s="48" t="n"/>
      <c r="D52" s="48" t="n"/>
      <c r="E52" s="48" t="n"/>
      <c r="F52" s="48" t="n"/>
      <c r="G52" s="48" t="n"/>
      <c r="H52" s="48" t="n"/>
      <c r="I52" s="48" t="n"/>
      <c r="J52" s="48" t="n"/>
      <c r="K52" s="48" t="n"/>
      <c r="L52" s="48" t="n"/>
      <c r="M52" s="48" t="n"/>
      <c r="N52" s="48" t="n"/>
    </row>
    <row r="53">
      <c r="A53" s="48" t="n"/>
      <c r="B53" s="48" t="n"/>
      <c r="C53" s="48" t="n"/>
      <c r="D53" s="48" t="n"/>
      <c r="E53" s="48" t="n"/>
      <c r="F53" s="48" t="n"/>
      <c r="G53" s="48" t="n"/>
      <c r="H53" s="48" t="n"/>
      <c r="I53" s="48" t="n"/>
      <c r="J53" s="48" t="n"/>
      <c r="K53" s="48" t="n"/>
      <c r="L53" s="48" t="n"/>
      <c r="M53" s="48" t="n"/>
      <c r="N53" s="48" t="n"/>
    </row>
    <row r="54">
      <c r="A54" s="48" t="n"/>
      <c r="B54" s="48" t="n"/>
      <c r="C54" s="48" t="n"/>
      <c r="D54" s="48" t="n"/>
      <c r="E54" s="48" t="n"/>
      <c r="F54" s="48" t="n"/>
      <c r="G54" s="48" t="n"/>
      <c r="H54" s="48" t="n"/>
      <c r="I54" s="48" t="n"/>
      <c r="J54" s="48" t="n"/>
      <c r="K54" s="48" t="n"/>
      <c r="L54" s="48" t="n"/>
      <c r="M54" s="48" t="n"/>
      <c r="N54" s="48" t="n"/>
    </row>
    <row r="55">
      <c r="A55" s="48" t="n"/>
      <c r="B55" s="48" t="n"/>
      <c r="C55" s="48" t="n"/>
      <c r="D55" s="48" t="n"/>
      <c r="E55" s="48" t="n"/>
      <c r="F55" s="48" t="n"/>
      <c r="G55" s="48" t="n"/>
      <c r="H55" s="48" t="n"/>
      <c r="I55" s="48" t="n"/>
      <c r="J55" s="48" t="n"/>
      <c r="K55" s="48" t="n"/>
      <c r="L55" s="48" t="n"/>
      <c r="M55" s="48" t="n"/>
      <c r="N55" s="48" t="n"/>
    </row>
    <row r="56">
      <c r="A56" s="48" t="n"/>
      <c r="B56" s="48" t="n"/>
      <c r="C56" s="48" t="n"/>
      <c r="D56" s="48" t="n"/>
      <c r="E56" s="48" t="n"/>
      <c r="F56" s="48" t="n"/>
      <c r="G56" s="48" t="n"/>
      <c r="H56" s="48" t="n"/>
      <c r="I56" s="48" t="n"/>
      <c r="J56" s="48" t="n"/>
      <c r="K56" s="48" t="n"/>
      <c r="L56" s="48" t="n"/>
      <c r="M56" s="48" t="n"/>
      <c r="N56" s="48" t="n"/>
    </row>
    <row r="57">
      <c r="A57" s="48" t="n"/>
      <c r="B57" s="48" t="n"/>
      <c r="C57" s="48" t="n"/>
      <c r="D57" s="48" t="n"/>
      <c r="E57" s="48" t="n"/>
      <c r="F57" s="48" t="n"/>
      <c r="G57" s="48" t="n"/>
      <c r="H57" s="48" t="n"/>
      <c r="I57" s="48" t="n"/>
      <c r="J57" s="48" t="n"/>
      <c r="K57" s="48" t="n"/>
      <c r="L57" s="48" t="n"/>
      <c r="M57" s="48" t="n"/>
      <c r="N57" s="48" t="n"/>
    </row>
    <row r="58">
      <c r="A58" s="48" t="n"/>
      <c r="B58" s="48" t="n"/>
      <c r="C58" s="48" t="n"/>
      <c r="D58" s="48" t="n"/>
      <c r="E58" s="48" t="n"/>
      <c r="F58" s="48" t="n"/>
      <c r="G58" s="48" t="n"/>
      <c r="H58" s="48" t="n"/>
      <c r="I58" s="48" t="n"/>
      <c r="J58" s="48" t="n"/>
      <c r="K58" s="48" t="n"/>
      <c r="L58" s="48" t="n"/>
      <c r="M58" s="48" t="n"/>
      <c r="N58" s="48" t="n"/>
    </row>
    <row r="59">
      <c r="A59" s="48" t="n"/>
      <c r="B59" s="48" t="n"/>
      <c r="C59" s="48" t="n"/>
      <c r="D59" s="48" t="n"/>
      <c r="E59" s="48" t="n"/>
      <c r="F59" s="48" t="n"/>
      <c r="G59" s="48" t="n"/>
      <c r="H59" s="48" t="n"/>
      <c r="I59" s="48" t="n"/>
      <c r="J59" s="48" t="n"/>
      <c r="K59" s="48" t="n"/>
      <c r="L59" s="48" t="n"/>
      <c r="M59" s="48" t="n"/>
      <c r="N59" s="48" t="n"/>
    </row>
    <row r="60">
      <c r="A60" s="48" t="n"/>
      <c r="B60" s="48" t="n"/>
      <c r="C60" s="48" t="n"/>
      <c r="D60" s="48" t="n"/>
      <c r="E60" s="48" t="n"/>
      <c r="F60" s="48" t="n"/>
      <c r="G60" s="48" t="n"/>
      <c r="H60" s="48" t="n"/>
      <c r="I60" s="48" t="n"/>
      <c r="J60" s="48" t="n"/>
      <c r="K60" s="48" t="n"/>
      <c r="L60" s="48" t="n"/>
      <c r="M60" s="48" t="n"/>
      <c r="N60" s="48" t="n"/>
    </row>
  </sheetData>
  <mergeCells count="33">
    <mergeCell ref="H37:N37"/>
    <mergeCell ref="G12:N12"/>
    <mergeCell ref="H47:N47"/>
    <mergeCell ref="G11:N11"/>
    <mergeCell ref="F19:N20"/>
    <mergeCell ref="H48:N48"/>
    <mergeCell ref="H42:N42"/>
    <mergeCell ref="G8:N8"/>
    <mergeCell ref="C2:N2"/>
    <mergeCell ref="G7:N7"/>
    <mergeCell ref="G10:N10"/>
    <mergeCell ref="H43:N43"/>
    <mergeCell ref="H38:N38"/>
    <mergeCell ref="G6:N6"/>
    <mergeCell ref="F25:N26"/>
    <mergeCell ref="H50:N50"/>
    <mergeCell ref="H41:N41"/>
    <mergeCell ref="H44:N44"/>
    <mergeCell ref="H40:N40"/>
    <mergeCell ref="H39:N39"/>
    <mergeCell ref="F21:N22"/>
    <mergeCell ref="C3:N3"/>
    <mergeCell ref="F17:N18"/>
    <mergeCell ref="H46:N46"/>
    <mergeCell ref="C34:N34"/>
    <mergeCell ref="H49:N49"/>
    <mergeCell ref="H51:N51"/>
    <mergeCell ref="H36:N36"/>
    <mergeCell ref="C15:N15"/>
    <mergeCell ref="F23:N24"/>
    <mergeCell ref="H45:N45"/>
    <mergeCell ref="F27:N28"/>
    <mergeCell ref="G9:N9"/>
  </mergeCells>
  <dataValidations count="4">
    <dataValidation sqref="F6" showDropDown="0" showInputMessage="0" showErrorMessage="0" allowBlank="0" type="list">
      <formula1>"2026"</formula1>
    </dataValidation>
    <dataValidation sqref="F7" showDropDown="0" showInputMessage="0" showErrorMessage="0" allowBlank="0" type="list">
      <formula1>"1,2,3,4,5,6,7,8,9,10,11,12"</formula1>
    </dataValidation>
    <dataValidation sqref="F9" showDropDown="0" showInputMessage="0" showErrorMessage="0" allowBlank="0" type="list">
      <formula1>"West,Süd-West,Ost,Berlin,Verwaltung"</formula1>
    </dataValidation>
    <dataValidation sqref="F11" showDropDown="0" showInputMessage="0" showErrorMessage="0" allowBlank="0" type="list">
      <formula1>"2027,2028,2029,2030,2031"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1E293B"/>
    <outlinePr summaryBelow="1" summaryRight="1"/>
    <pageSetUpPr/>
  </sheetPr>
  <dimension ref="A1:R6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10" defaultColWidth="8.83203125" defaultRowHeight="14"/>
  <cols>
    <col width="2.5" customWidth="1" min="1" max="2"/>
    <col width="38" customWidth="1" min="3" max="3"/>
    <col width="15" customWidth="1" min="4" max="18"/>
  </cols>
  <sheetData>
    <row r="1">
      <c r="A1" s="48" t="n"/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  <c r="O1" s="48" t="n"/>
      <c r="P1" s="48" t="n"/>
      <c r="Q1" s="48" t="n"/>
      <c r="R1" s="48" t="n"/>
    </row>
    <row r="2" ht="30" customHeight="1">
      <c r="A2" s="48" t="n"/>
      <c r="B2" s="48" t="n"/>
      <c r="C2" s="53" t="inlineStr">
        <is>
          <t>GuV und EBITDA</t>
        </is>
      </c>
      <c r="D2" s="60" t="n"/>
      <c r="E2" s="60" t="n"/>
      <c r="F2" s="60" t="n"/>
      <c r="G2" s="60" t="n"/>
      <c r="H2" s="60" t="n"/>
      <c r="I2" s="60" t="n"/>
      <c r="J2" s="60" t="n"/>
      <c r="K2" s="60" t="n"/>
      <c r="L2" s="60" t="n"/>
      <c r="M2" s="60" t="n"/>
      <c r="N2" s="60" t="n"/>
      <c r="O2" s="60" t="n"/>
      <c r="P2" s="60" t="n"/>
      <c r="Q2" s="60" t="n"/>
      <c r="R2" s="60" t="n"/>
    </row>
    <row r="3" ht="32" customHeight="1">
      <c r="A3" s="48" t="n"/>
      <c r="B3" s="48" t="n"/>
      <c r="C3" s="54" t="inlineStr">
        <is>
          <t>Importierte Monatsdaten haben Vorrang vor dem Originalexport. Quelle je Monat in Zeile 23. Aufwendungen negativ, Beträge in EUR.</t>
        </is>
      </c>
    </row>
    <row r="4">
      <c r="A4" s="48" t="n"/>
      <c r="B4" s="48" t="n"/>
      <c r="C4" s="48" t="n"/>
      <c r="D4" s="48" t="n"/>
      <c r="E4" s="48" t="n"/>
      <c r="F4" s="48" t="n"/>
      <c r="G4" s="48" t="n"/>
      <c r="H4" s="48" t="n"/>
      <c r="I4" s="48" t="n"/>
      <c r="J4" s="48" t="n"/>
      <c r="K4" s="48" t="n"/>
      <c r="L4" s="48" t="n"/>
      <c r="M4" s="48" t="n"/>
      <c r="N4" s="48" t="n"/>
      <c r="O4" s="48" t="n"/>
      <c r="P4" s="48" t="n"/>
      <c r="Q4" s="48" t="n"/>
      <c r="R4" s="48" t="n"/>
    </row>
    <row r="5">
      <c r="A5" s="48" t="n"/>
      <c r="B5" s="48" t="n"/>
      <c r="C5" s="48" t="inlineStr">
        <is>
          <t>Position</t>
        </is>
      </c>
      <c r="D5" s="48" t="n"/>
      <c r="E5" s="48" t="n"/>
      <c r="F5" s="48" t="n">
        <v>1</v>
      </c>
      <c r="G5" s="48" t="n">
        <v>2</v>
      </c>
      <c r="H5" s="48" t="n">
        <v>3</v>
      </c>
      <c r="I5" s="48" t="n">
        <v>4</v>
      </c>
      <c r="J5" s="48" t="n">
        <v>5</v>
      </c>
      <c r="K5" s="48" t="n">
        <v>6</v>
      </c>
      <c r="L5" s="48" t="n">
        <v>7</v>
      </c>
      <c r="M5" s="48" t="n">
        <v>8</v>
      </c>
      <c r="N5" s="48" t="n">
        <v>9</v>
      </c>
      <c r="O5" s="48" t="n">
        <v>10</v>
      </c>
      <c r="P5" s="48" t="n">
        <v>11</v>
      </c>
      <c r="Q5" s="48" t="n">
        <v>12</v>
      </c>
      <c r="R5" s="48" t="n"/>
    </row>
    <row r="6" ht="34" customHeight="1">
      <c r="A6" s="48" t="n"/>
      <c r="B6" s="48" t="n"/>
      <c r="C6" s="3" t="inlineStr">
        <is>
          <t>Position</t>
        </is>
      </c>
      <c r="D6" s="3" t="inlineStr">
        <is>
          <t>YTD</t>
        </is>
      </c>
      <c r="E6" s="3" t="inlineStr">
        <is>
          <t>Anteil</t>
        </is>
      </c>
      <c r="F6" s="3" t="inlineStr">
        <is>
          <t>Jan</t>
        </is>
      </c>
      <c r="G6" s="3" t="inlineStr">
        <is>
          <t>Feb</t>
        </is>
      </c>
      <c r="H6" s="3" t="inlineStr">
        <is>
          <t>Mär</t>
        </is>
      </c>
      <c r="I6" s="3" t="inlineStr">
        <is>
          <t>Apr</t>
        </is>
      </c>
      <c r="J6" s="3" t="inlineStr">
        <is>
          <t>Mai</t>
        </is>
      </c>
      <c r="K6" s="3" t="inlineStr">
        <is>
          <t>Jun</t>
        </is>
      </c>
      <c r="L6" s="3" t="inlineStr">
        <is>
          <t>Jul</t>
        </is>
      </c>
      <c r="M6" s="3" t="inlineStr">
        <is>
          <t>Aug</t>
        </is>
      </c>
      <c r="N6" s="3" t="inlineStr">
        <is>
          <t>Sep</t>
        </is>
      </c>
      <c r="O6" s="3" t="inlineStr">
        <is>
          <t>Okt</t>
        </is>
      </c>
      <c r="P6" s="3" t="inlineStr">
        <is>
          <t>Nov</t>
        </is>
      </c>
      <c r="Q6" s="3" t="inlineStr">
        <is>
          <t>Dez</t>
        </is>
      </c>
      <c r="R6" s="48" t="n"/>
    </row>
    <row r="7">
      <c r="A7" s="48" t="n"/>
      <c r="B7" s="48" t="n"/>
      <c r="C7" s="48" t="inlineStr">
        <is>
          <t>Umsatzerlöse</t>
        </is>
      </c>
      <c r="D7" s="17">
        <f>SUMIFS(F7:Q7,$F$5:$Q$5,"&lt;="&amp;Steuerung!$F$7)</f>
        <v/>
      </c>
      <c r="E7" s="18">
        <f>IF($D$9=0,"n.a.",D7/$D$9)</f>
        <v/>
      </c>
      <c r="F7" s="17">
        <f>IF(COUNTIFS(TVFImportMonate[Jahr],Steuerung!$F$6,TVFImportMonate[Monat],1)&gt;0,SUMIFS(TVFImportMonate[Umsatz],TVFImportMonate[Jahr],Steuerung!$F$6,TVFImportMonate[Monat],1),IF(COUNTIFS('D Finanzen'!$A$45:$A$115,Steuerung!$F$6,'D Finanzen'!$B$45:$B$115,F$5)=0,"",SUMIFS('D Finanzen'!$E$45:$E$115,'D Finanzen'!$A$45:$A$115,Steuerung!$F$6,'D Finanzen'!$B$45:$B$115,F$5,'D Finanzen'!$C$45:$C$115,10)))</f>
        <v/>
      </c>
      <c r="G7" s="17">
        <f>IF(COUNTIFS(TVFImportMonate[Jahr],Steuerung!$F$6,TVFImportMonate[Monat],2)&gt;0,SUMIFS(TVFImportMonate[Umsatz],TVFImportMonate[Jahr],Steuerung!$F$6,TVFImportMonate[Monat],2),IF(COUNTIFS('D Finanzen'!$A$45:$A$115,Steuerung!$F$6,'D Finanzen'!$B$45:$B$115,G$5)=0,"",SUMIFS('D Finanzen'!$E$45:$E$115,'D Finanzen'!$A$45:$A$115,Steuerung!$F$6,'D Finanzen'!$B$45:$B$115,G$5,'D Finanzen'!$C$45:$C$115,10)))</f>
        <v/>
      </c>
      <c r="H7" s="17">
        <f>IF(COUNTIFS(TVFImportMonate[Jahr],Steuerung!$F$6,TVFImportMonate[Monat],3)&gt;0,SUMIFS(TVFImportMonate[Umsatz],TVFImportMonate[Jahr],Steuerung!$F$6,TVFImportMonate[Monat],3),IF(COUNTIFS('D Finanzen'!$A$45:$A$115,Steuerung!$F$6,'D Finanzen'!$B$45:$B$115,H$5)=0,"",SUMIFS('D Finanzen'!$E$45:$E$115,'D Finanzen'!$A$45:$A$115,Steuerung!$F$6,'D Finanzen'!$B$45:$B$115,H$5,'D Finanzen'!$C$45:$C$115,10)))</f>
        <v/>
      </c>
      <c r="I7" s="17">
        <f>IF(COUNTIFS(TVFImportMonate[Jahr],Steuerung!$F$6,TVFImportMonate[Monat],4)&gt;0,SUMIFS(TVFImportMonate[Umsatz],TVFImportMonate[Jahr],Steuerung!$F$6,TVFImportMonate[Monat],4),IF(COUNTIFS('D Finanzen'!$A$45:$A$115,Steuerung!$F$6,'D Finanzen'!$B$45:$B$115,I$5)=0,"",SUMIFS('D Finanzen'!$E$45:$E$115,'D Finanzen'!$A$45:$A$115,Steuerung!$F$6,'D Finanzen'!$B$45:$B$115,I$5,'D Finanzen'!$C$45:$C$115,10)))</f>
        <v/>
      </c>
      <c r="J7" s="17">
        <f>IF(COUNTIFS(TVFImportMonate[Jahr],Steuerung!$F$6,TVFImportMonate[Monat],5)&gt;0,SUMIFS(TVFImportMonate[Umsatz],TVFImportMonate[Jahr],Steuerung!$F$6,TVFImportMonate[Monat],5),IF(COUNTIFS('D Finanzen'!$A$45:$A$115,Steuerung!$F$6,'D Finanzen'!$B$45:$B$115,J$5)=0,"",SUMIFS('D Finanzen'!$E$45:$E$115,'D Finanzen'!$A$45:$A$115,Steuerung!$F$6,'D Finanzen'!$B$45:$B$115,J$5,'D Finanzen'!$C$45:$C$115,10)))</f>
        <v/>
      </c>
      <c r="K7" s="17">
        <f>IF(COUNTIFS(TVFImportMonate[Jahr],Steuerung!$F$6,TVFImportMonate[Monat],6)&gt;0,SUMIFS(TVFImportMonate[Umsatz],TVFImportMonate[Jahr],Steuerung!$F$6,TVFImportMonate[Monat],6),IF(COUNTIFS('D Finanzen'!$A$45:$A$115,Steuerung!$F$6,'D Finanzen'!$B$45:$B$115,K$5)=0,"",SUMIFS('D Finanzen'!$E$45:$E$115,'D Finanzen'!$A$45:$A$115,Steuerung!$F$6,'D Finanzen'!$B$45:$B$115,K$5,'D Finanzen'!$C$45:$C$115,10)))</f>
        <v/>
      </c>
      <c r="L7" s="17">
        <f>IF(COUNTIFS(TVFImportMonate[Jahr],Steuerung!$F$6,TVFImportMonate[Monat],7)&gt;0,SUMIFS(TVFImportMonate[Umsatz],TVFImportMonate[Jahr],Steuerung!$F$6,TVFImportMonate[Monat],7),IF(COUNTIFS('D Finanzen'!$A$45:$A$115,Steuerung!$F$6,'D Finanzen'!$B$45:$B$115,L$5)=0,"",SUMIFS('D Finanzen'!$E$45:$E$115,'D Finanzen'!$A$45:$A$115,Steuerung!$F$6,'D Finanzen'!$B$45:$B$115,L$5,'D Finanzen'!$C$45:$C$115,10)))</f>
        <v/>
      </c>
      <c r="M7" s="17">
        <f>IF(COUNTIFS(TVFImportMonate[Jahr],Steuerung!$F$6,TVFImportMonate[Monat],8)&gt;0,SUMIFS(TVFImportMonate[Umsatz],TVFImportMonate[Jahr],Steuerung!$F$6,TVFImportMonate[Monat],8),IF(COUNTIFS('D Finanzen'!$A$45:$A$115,Steuerung!$F$6,'D Finanzen'!$B$45:$B$115,M$5)=0,"",SUMIFS('D Finanzen'!$E$45:$E$115,'D Finanzen'!$A$45:$A$115,Steuerung!$F$6,'D Finanzen'!$B$45:$B$115,M$5,'D Finanzen'!$C$45:$C$115,10)))</f>
        <v/>
      </c>
      <c r="N7" s="17">
        <f>IF(COUNTIFS(TVFImportMonate[Jahr],Steuerung!$F$6,TVFImportMonate[Monat],9)&gt;0,SUMIFS(TVFImportMonate[Umsatz],TVFImportMonate[Jahr],Steuerung!$F$6,TVFImportMonate[Monat],9),IF(COUNTIFS('D Finanzen'!$A$45:$A$115,Steuerung!$F$6,'D Finanzen'!$B$45:$B$115,N$5)=0,"",SUMIFS('D Finanzen'!$E$45:$E$115,'D Finanzen'!$A$45:$A$115,Steuerung!$F$6,'D Finanzen'!$B$45:$B$115,N$5,'D Finanzen'!$C$45:$C$115,10)))</f>
        <v/>
      </c>
      <c r="O7" s="17">
        <f>IF(COUNTIFS(TVFImportMonate[Jahr],Steuerung!$F$6,TVFImportMonate[Monat],10)&gt;0,SUMIFS(TVFImportMonate[Umsatz],TVFImportMonate[Jahr],Steuerung!$F$6,TVFImportMonate[Monat],10),IF(COUNTIFS('D Finanzen'!$A$45:$A$115,Steuerung!$F$6,'D Finanzen'!$B$45:$B$115,O$5)=0,"",SUMIFS('D Finanzen'!$E$45:$E$115,'D Finanzen'!$A$45:$A$115,Steuerung!$F$6,'D Finanzen'!$B$45:$B$115,O$5,'D Finanzen'!$C$45:$C$115,10)))</f>
        <v/>
      </c>
      <c r="P7" s="17">
        <f>IF(COUNTIFS(TVFImportMonate[Jahr],Steuerung!$F$6,TVFImportMonate[Monat],11)&gt;0,SUMIFS(TVFImportMonate[Umsatz],TVFImportMonate[Jahr],Steuerung!$F$6,TVFImportMonate[Monat],11),IF(COUNTIFS('D Finanzen'!$A$45:$A$115,Steuerung!$F$6,'D Finanzen'!$B$45:$B$115,P$5)=0,"",SUMIFS('D Finanzen'!$E$45:$E$115,'D Finanzen'!$A$45:$A$115,Steuerung!$F$6,'D Finanzen'!$B$45:$B$115,P$5,'D Finanzen'!$C$45:$C$115,10)))</f>
        <v/>
      </c>
      <c r="Q7" s="17">
        <f>IF(COUNTIFS(TVFImportMonate[Jahr],Steuerung!$F$6,TVFImportMonate[Monat],12)&gt;0,SUMIFS(TVFImportMonate[Umsatz],TVFImportMonate[Jahr],Steuerung!$F$6,TVFImportMonate[Monat],12),IF(COUNTIFS('D Finanzen'!$A$45:$A$115,Steuerung!$F$6,'D Finanzen'!$B$45:$B$115,Q$5)=0,"",SUMIFS('D Finanzen'!$E$45:$E$115,'D Finanzen'!$A$45:$A$115,Steuerung!$F$6,'D Finanzen'!$B$45:$B$115,Q$5,'D Finanzen'!$C$45:$C$115,10)))</f>
        <v/>
      </c>
      <c r="R7" s="48" t="n"/>
    </row>
    <row r="8">
      <c r="A8" s="48" t="n"/>
      <c r="B8" s="48" t="n"/>
      <c r="C8" s="48" t="inlineStr">
        <is>
          <t>Bestandsveränderungen</t>
        </is>
      </c>
      <c r="D8" s="17">
        <f>SUMIFS(F8:Q8,$F$5:$Q$5,"&lt;="&amp;Steuerung!$F$7)</f>
        <v/>
      </c>
      <c r="E8" s="18">
        <f>IF($D$9=0,"n.a.",D8/$D$9)</f>
        <v/>
      </c>
      <c r="F8" s="17">
        <f>IF(COUNTIFS(TVFImportMonate[Jahr],Steuerung!$F$6,TVFImportMonate[Monat],1)&gt;0,SUMIFS(TVFImportMonate[Bestand],TVFImportMonate[Jahr],Steuerung!$F$6,TVFImportMonate[Monat],1),IF(COUNTIFS('D Finanzen'!$A$45:$A$115,Steuerung!$F$6,'D Finanzen'!$B$45:$B$115,F$5)=0,"",SUMIFS('D Finanzen'!$E$45:$E$115,'D Finanzen'!$A$45:$A$115,Steuerung!$F$6,'D Finanzen'!$B$45:$B$115,F$5,'D Finanzen'!$C$45:$C$115,20)))</f>
        <v/>
      </c>
      <c r="G8" s="17">
        <f>IF(COUNTIFS(TVFImportMonate[Jahr],Steuerung!$F$6,TVFImportMonate[Monat],2)&gt;0,SUMIFS(TVFImportMonate[Bestand],TVFImportMonate[Jahr],Steuerung!$F$6,TVFImportMonate[Monat],2),IF(COUNTIFS('D Finanzen'!$A$45:$A$115,Steuerung!$F$6,'D Finanzen'!$B$45:$B$115,G$5)=0,"",SUMIFS('D Finanzen'!$E$45:$E$115,'D Finanzen'!$A$45:$A$115,Steuerung!$F$6,'D Finanzen'!$B$45:$B$115,G$5,'D Finanzen'!$C$45:$C$115,20)))</f>
        <v/>
      </c>
      <c r="H8" s="17">
        <f>IF(COUNTIFS(TVFImportMonate[Jahr],Steuerung!$F$6,TVFImportMonate[Monat],3)&gt;0,SUMIFS(TVFImportMonate[Bestand],TVFImportMonate[Jahr],Steuerung!$F$6,TVFImportMonate[Monat],3),IF(COUNTIFS('D Finanzen'!$A$45:$A$115,Steuerung!$F$6,'D Finanzen'!$B$45:$B$115,H$5)=0,"",SUMIFS('D Finanzen'!$E$45:$E$115,'D Finanzen'!$A$45:$A$115,Steuerung!$F$6,'D Finanzen'!$B$45:$B$115,H$5,'D Finanzen'!$C$45:$C$115,20)))</f>
        <v/>
      </c>
      <c r="I8" s="17">
        <f>IF(COUNTIFS(TVFImportMonate[Jahr],Steuerung!$F$6,TVFImportMonate[Monat],4)&gt;0,SUMIFS(TVFImportMonate[Bestand],TVFImportMonate[Jahr],Steuerung!$F$6,TVFImportMonate[Monat],4),IF(COUNTIFS('D Finanzen'!$A$45:$A$115,Steuerung!$F$6,'D Finanzen'!$B$45:$B$115,I$5)=0,"",SUMIFS('D Finanzen'!$E$45:$E$115,'D Finanzen'!$A$45:$A$115,Steuerung!$F$6,'D Finanzen'!$B$45:$B$115,I$5,'D Finanzen'!$C$45:$C$115,20)))</f>
        <v/>
      </c>
      <c r="J8" s="17">
        <f>IF(COUNTIFS(TVFImportMonate[Jahr],Steuerung!$F$6,TVFImportMonate[Monat],5)&gt;0,SUMIFS(TVFImportMonate[Bestand],TVFImportMonate[Jahr],Steuerung!$F$6,TVFImportMonate[Monat],5),IF(COUNTIFS('D Finanzen'!$A$45:$A$115,Steuerung!$F$6,'D Finanzen'!$B$45:$B$115,J$5)=0,"",SUMIFS('D Finanzen'!$E$45:$E$115,'D Finanzen'!$A$45:$A$115,Steuerung!$F$6,'D Finanzen'!$B$45:$B$115,J$5,'D Finanzen'!$C$45:$C$115,20)))</f>
        <v/>
      </c>
      <c r="K8" s="17">
        <f>IF(COUNTIFS(TVFImportMonate[Jahr],Steuerung!$F$6,TVFImportMonate[Monat],6)&gt;0,SUMIFS(TVFImportMonate[Bestand],TVFImportMonate[Jahr],Steuerung!$F$6,TVFImportMonate[Monat],6),IF(COUNTIFS('D Finanzen'!$A$45:$A$115,Steuerung!$F$6,'D Finanzen'!$B$45:$B$115,K$5)=0,"",SUMIFS('D Finanzen'!$E$45:$E$115,'D Finanzen'!$A$45:$A$115,Steuerung!$F$6,'D Finanzen'!$B$45:$B$115,K$5,'D Finanzen'!$C$45:$C$115,20)))</f>
        <v/>
      </c>
      <c r="L8" s="17">
        <f>IF(COUNTIFS(TVFImportMonate[Jahr],Steuerung!$F$6,TVFImportMonate[Monat],7)&gt;0,SUMIFS(TVFImportMonate[Bestand],TVFImportMonate[Jahr],Steuerung!$F$6,TVFImportMonate[Monat],7),IF(COUNTIFS('D Finanzen'!$A$45:$A$115,Steuerung!$F$6,'D Finanzen'!$B$45:$B$115,L$5)=0,"",SUMIFS('D Finanzen'!$E$45:$E$115,'D Finanzen'!$A$45:$A$115,Steuerung!$F$6,'D Finanzen'!$B$45:$B$115,L$5,'D Finanzen'!$C$45:$C$115,20)))</f>
        <v/>
      </c>
      <c r="M8" s="17">
        <f>IF(COUNTIFS(TVFImportMonate[Jahr],Steuerung!$F$6,TVFImportMonate[Monat],8)&gt;0,SUMIFS(TVFImportMonate[Bestand],TVFImportMonate[Jahr],Steuerung!$F$6,TVFImportMonate[Monat],8),IF(COUNTIFS('D Finanzen'!$A$45:$A$115,Steuerung!$F$6,'D Finanzen'!$B$45:$B$115,M$5)=0,"",SUMIFS('D Finanzen'!$E$45:$E$115,'D Finanzen'!$A$45:$A$115,Steuerung!$F$6,'D Finanzen'!$B$45:$B$115,M$5,'D Finanzen'!$C$45:$C$115,20)))</f>
        <v/>
      </c>
      <c r="N8" s="17">
        <f>IF(COUNTIFS(TVFImportMonate[Jahr],Steuerung!$F$6,TVFImportMonate[Monat],9)&gt;0,SUMIFS(TVFImportMonate[Bestand],TVFImportMonate[Jahr],Steuerung!$F$6,TVFImportMonate[Monat],9),IF(COUNTIFS('D Finanzen'!$A$45:$A$115,Steuerung!$F$6,'D Finanzen'!$B$45:$B$115,N$5)=0,"",SUMIFS('D Finanzen'!$E$45:$E$115,'D Finanzen'!$A$45:$A$115,Steuerung!$F$6,'D Finanzen'!$B$45:$B$115,N$5,'D Finanzen'!$C$45:$C$115,20)))</f>
        <v/>
      </c>
      <c r="O8" s="17">
        <f>IF(COUNTIFS(TVFImportMonate[Jahr],Steuerung!$F$6,TVFImportMonate[Monat],10)&gt;0,SUMIFS(TVFImportMonate[Bestand],TVFImportMonate[Jahr],Steuerung!$F$6,TVFImportMonate[Monat],10),IF(COUNTIFS('D Finanzen'!$A$45:$A$115,Steuerung!$F$6,'D Finanzen'!$B$45:$B$115,O$5)=0,"",SUMIFS('D Finanzen'!$E$45:$E$115,'D Finanzen'!$A$45:$A$115,Steuerung!$F$6,'D Finanzen'!$B$45:$B$115,O$5,'D Finanzen'!$C$45:$C$115,20)))</f>
        <v/>
      </c>
      <c r="P8" s="17">
        <f>IF(COUNTIFS(TVFImportMonate[Jahr],Steuerung!$F$6,TVFImportMonate[Monat],11)&gt;0,SUMIFS(TVFImportMonate[Bestand],TVFImportMonate[Jahr],Steuerung!$F$6,TVFImportMonate[Monat],11),IF(COUNTIFS('D Finanzen'!$A$45:$A$115,Steuerung!$F$6,'D Finanzen'!$B$45:$B$115,P$5)=0,"",SUMIFS('D Finanzen'!$E$45:$E$115,'D Finanzen'!$A$45:$A$115,Steuerung!$F$6,'D Finanzen'!$B$45:$B$115,P$5,'D Finanzen'!$C$45:$C$115,20)))</f>
        <v/>
      </c>
      <c r="Q8" s="17">
        <f>IF(COUNTIFS(TVFImportMonate[Jahr],Steuerung!$F$6,TVFImportMonate[Monat],12)&gt;0,SUMIFS(TVFImportMonate[Bestand],TVFImportMonate[Jahr],Steuerung!$F$6,TVFImportMonate[Monat],12),IF(COUNTIFS('D Finanzen'!$A$45:$A$115,Steuerung!$F$6,'D Finanzen'!$B$45:$B$115,Q$5)=0,"",SUMIFS('D Finanzen'!$E$45:$E$115,'D Finanzen'!$A$45:$A$115,Steuerung!$F$6,'D Finanzen'!$B$45:$B$115,Q$5,'D Finanzen'!$C$45:$C$115,20)))</f>
        <v/>
      </c>
      <c r="R8" s="48" t="n"/>
    </row>
    <row r="9" ht="25" customHeight="1">
      <c r="A9" s="48" t="n"/>
      <c r="B9" s="48" t="n"/>
      <c r="C9" s="20" t="inlineStr">
        <is>
          <t>Gesamtleistung</t>
        </is>
      </c>
      <c r="D9" s="21">
        <f>SUMIFS(F9:Q9,$F$5:$Q$5,"&lt;="&amp;Steuerung!$F$7)</f>
        <v/>
      </c>
      <c r="E9" s="22">
        <f>IF($D$9=0,"n.a.",D9/$D$9)</f>
        <v/>
      </c>
      <c r="F9" s="21">
        <f>IF(F7="","",SUM(F7:F8))</f>
        <v/>
      </c>
      <c r="G9" s="21">
        <f>IF(G7="","",SUM(G7:G8))</f>
        <v/>
      </c>
      <c r="H9" s="21">
        <f>IF(H7="","",SUM(H7:H8))</f>
        <v/>
      </c>
      <c r="I9" s="21">
        <f>IF(I7="","",SUM(I7:I8))</f>
        <v/>
      </c>
      <c r="J9" s="21">
        <f>IF(J7="","",SUM(J7:J8))</f>
        <v/>
      </c>
      <c r="K9" s="21">
        <f>IF(K7="","",SUM(K7:K8))</f>
        <v/>
      </c>
      <c r="L9" s="21">
        <f>IF(L7="","",SUM(L7:L8))</f>
        <v/>
      </c>
      <c r="M9" s="21">
        <f>IF(M7="","",SUM(M7:M8))</f>
        <v/>
      </c>
      <c r="N9" s="21">
        <f>IF(N7="","",SUM(N7:N8))</f>
        <v/>
      </c>
      <c r="O9" s="21">
        <f>IF(O7="","",SUM(O7:O8))</f>
        <v/>
      </c>
      <c r="P9" s="21">
        <f>IF(P7="","",SUM(P7:P8))</f>
        <v/>
      </c>
      <c r="Q9" s="21">
        <f>IF(Q7="","",SUM(Q7:Q8))</f>
        <v/>
      </c>
      <c r="R9" s="48" t="n"/>
    </row>
    <row r="10">
      <c r="A10" s="48" t="n"/>
      <c r="B10" s="48" t="n"/>
      <c r="C10" s="48" t="inlineStr">
        <is>
          <t>Sonstige betriebliche Erträge</t>
        </is>
      </c>
      <c r="D10" s="17">
        <f>SUMIFS(F10:Q10,$F$5:$Q$5,"&lt;="&amp;Steuerung!$F$7)</f>
        <v/>
      </c>
      <c r="E10" s="18">
        <f>IF($D$9=0,"n.a.",D10/$D$9)</f>
        <v/>
      </c>
      <c r="F10" s="17">
        <f>IF(COUNTIFS(TVFImportMonate[Jahr],Steuerung!$F$6,TVFImportMonate[Monat],1)&gt;0,SUMIFS(TVFImportMonate[Sonstige_Ertraege],TVFImportMonate[Jahr],Steuerung!$F$6,TVFImportMonate[Monat],1),IF(COUNTIFS('D Finanzen'!$A$45:$A$115,Steuerung!$F$6,'D Finanzen'!$B$45:$B$115,F$5)=0,"",SUMIFS('D Finanzen'!$E$45:$E$115,'D Finanzen'!$A$45:$A$115,Steuerung!$F$6,'D Finanzen'!$B$45:$B$115,F$5,'D Finanzen'!$C$45:$C$115,30)))</f>
        <v/>
      </c>
      <c r="G10" s="17">
        <f>IF(COUNTIFS(TVFImportMonate[Jahr],Steuerung!$F$6,TVFImportMonate[Monat],2)&gt;0,SUMIFS(TVFImportMonate[Sonstige_Ertraege],TVFImportMonate[Jahr],Steuerung!$F$6,TVFImportMonate[Monat],2),IF(COUNTIFS('D Finanzen'!$A$45:$A$115,Steuerung!$F$6,'D Finanzen'!$B$45:$B$115,G$5)=0,"",SUMIFS('D Finanzen'!$E$45:$E$115,'D Finanzen'!$A$45:$A$115,Steuerung!$F$6,'D Finanzen'!$B$45:$B$115,G$5,'D Finanzen'!$C$45:$C$115,30)))</f>
        <v/>
      </c>
      <c r="H10" s="17">
        <f>IF(COUNTIFS(TVFImportMonate[Jahr],Steuerung!$F$6,TVFImportMonate[Monat],3)&gt;0,SUMIFS(TVFImportMonate[Sonstige_Ertraege],TVFImportMonate[Jahr],Steuerung!$F$6,TVFImportMonate[Monat],3),IF(COUNTIFS('D Finanzen'!$A$45:$A$115,Steuerung!$F$6,'D Finanzen'!$B$45:$B$115,H$5)=0,"",SUMIFS('D Finanzen'!$E$45:$E$115,'D Finanzen'!$A$45:$A$115,Steuerung!$F$6,'D Finanzen'!$B$45:$B$115,H$5,'D Finanzen'!$C$45:$C$115,30)))</f>
        <v/>
      </c>
      <c r="I10" s="17">
        <f>IF(COUNTIFS(TVFImportMonate[Jahr],Steuerung!$F$6,TVFImportMonate[Monat],4)&gt;0,SUMIFS(TVFImportMonate[Sonstige_Ertraege],TVFImportMonate[Jahr],Steuerung!$F$6,TVFImportMonate[Monat],4),IF(COUNTIFS('D Finanzen'!$A$45:$A$115,Steuerung!$F$6,'D Finanzen'!$B$45:$B$115,I$5)=0,"",SUMIFS('D Finanzen'!$E$45:$E$115,'D Finanzen'!$A$45:$A$115,Steuerung!$F$6,'D Finanzen'!$B$45:$B$115,I$5,'D Finanzen'!$C$45:$C$115,30)))</f>
        <v/>
      </c>
      <c r="J10" s="17">
        <f>IF(COUNTIFS(TVFImportMonate[Jahr],Steuerung!$F$6,TVFImportMonate[Monat],5)&gt;0,SUMIFS(TVFImportMonate[Sonstige_Ertraege],TVFImportMonate[Jahr],Steuerung!$F$6,TVFImportMonate[Monat],5),IF(COUNTIFS('D Finanzen'!$A$45:$A$115,Steuerung!$F$6,'D Finanzen'!$B$45:$B$115,J$5)=0,"",SUMIFS('D Finanzen'!$E$45:$E$115,'D Finanzen'!$A$45:$A$115,Steuerung!$F$6,'D Finanzen'!$B$45:$B$115,J$5,'D Finanzen'!$C$45:$C$115,30)))</f>
        <v/>
      </c>
      <c r="K10" s="17">
        <f>IF(COUNTIFS(TVFImportMonate[Jahr],Steuerung!$F$6,TVFImportMonate[Monat],6)&gt;0,SUMIFS(TVFImportMonate[Sonstige_Ertraege],TVFImportMonate[Jahr],Steuerung!$F$6,TVFImportMonate[Monat],6),IF(COUNTIFS('D Finanzen'!$A$45:$A$115,Steuerung!$F$6,'D Finanzen'!$B$45:$B$115,K$5)=0,"",SUMIFS('D Finanzen'!$E$45:$E$115,'D Finanzen'!$A$45:$A$115,Steuerung!$F$6,'D Finanzen'!$B$45:$B$115,K$5,'D Finanzen'!$C$45:$C$115,30)))</f>
        <v/>
      </c>
      <c r="L10" s="17">
        <f>IF(COUNTIFS(TVFImportMonate[Jahr],Steuerung!$F$6,TVFImportMonate[Monat],7)&gt;0,SUMIFS(TVFImportMonate[Sonstige_Ertraege],TVFImportMonate[Jahr],Steuerung!$F$6,TVFImportMonate[Monat],7),IF(COUNTIFS('D Finanzen'!$A$45:$A$115,Steuerung!$F$6,'D Finanzen'!$B$45:$B$115,L$5)=0,"",SUMIFS('D Finanzen'!$E$45:$E$115,'D Finanzen'!$A$45:$A$115,Steuerung!$F$6,'D Finanzen'!$B$45:$B$115,L$5,'D Finanzen'!$C$45:$C$115,30)))</f>
        <v/>
      </c>
      <c r="M10" s="17">
        <f>IF(COUNTIFS(TVFImportMonate[Jahr],Steuerung!$F$6,TVFImportMonate[Monat],8)&gt;0,SUMIFS(TVFImportMonate[Sonstige_Ertraege],TVFImportMonate[Jahr],Steuerung!$F$6,TVFImportMonate[Monat],8),IF(COUNTIFS('D Finanzen'!$A$45:$A$115,Steuerung!$F$6,'D Finanzen'!$B$45:$B$115,M$5)=0,"",SUMIFS('D Finanzen'!$E$45:$E$115,'D Finanzen'!$A$45:$A$115,Steuerung!$F$6,'D Finanzen'!$B$45:$B$115,M$5,'D Finanzen'!$C$45:$C$115,30)))</f>
        <v/>
      </c>
      <c r="N10" s="17">
        <f>IF(COUNTIFS(TVFImportMonate[Jahr],Steuerung!$F$6,TVFImportMonate[Monat],9)&gt;0,SUMIFS(TVFImportMonate[Sonstige_Ertraege],TVFImportMonate[Jahr],Steuerung!$F$6,TVFImportMonate[Monat],9),IF(COUNTIFS('D Finanzen'!$A$45:$A$115,Steuerung!$F$6,'D Finanzen'!$B$45:$B$115,N$5)=0,"",SUMIFS('D Finanzen'!$E$45:$E$115,'D Finanzen'!$A$45:$A$115,Steuerung!$F$6,'D Finanzen'!$B$45:$B$115,N$5,'D Finanzen'!$C$45:$C$115,30)))</f>
        <v/>
      </c>
      <c r="O10" s="17">
        <f>IF(COUNTIFS(TVFImportMonate[Jahr],Steuerung!$F$6,TVFImportMonate[Monat],10)&gt;0,SUMIFS(TVFImportMonate[Sonstige_Ertraege],TVFImportMonate[Jahr],Steuerung!$F$6,TVFImportMonate[Monat],10),IF(COUNTIFS('D Finanzen'!$A$45:$A$115,Steuerung!$F$6,'D Finanzen'!$B$45:$B$115,O$5)=0,"",SUMIFS('D Finanzen'!$E$45:$E$115,'D Finanzen'!$A$45:$A$115,Steuerung!$F$6,'D Finanzen'!$B$45:$B$115,O$5,'D Finanzen'!$C$45:$C$115,30)))</f>
        <v/>
      </c>
      <c r="P10" s="17">
        <f>IF(COUNTIFS(TVFImportMonate[Jahr],Steuerung!$F$6,TVFImportMonate[Monat],11)&gt;0,SUMIFS(TVFImportMonate[Sonstige_Ertraege],TVFImportMonate[Jahr],Steuerung!$F$6,TVFImportMonate[Monat],11),IF(COUNTIFS('D Finanzen'!$A$45:$A$115,Steuerung!$F$6,'D Finanzen'!$B$45:$B$115,P$5)=0,"",SUMIFS('D Finanzen'!$E$45:$E$115,'D Finanzen'!$A$45:$A$115,Steuerung!$F$6,'D Finanzen'!$B$45:$B$115,P$5,'D Finanzen'!$C$45:$C$115,30)))</f>
        <v/>
      </c>
      <c r="Q10" s="17">
        <f>IF(COUNTIFS(TVFImportMonate[Jahr],Steuerung!$F$6,TVFImportMonate[Monat],12)&gt;0,SUMIFS(TVFImportMonate[Sonstige_Ertraege],TVFImportMonate[Jahr],Steuerung!$F$6,TVFImportMonate[Monat],12),IF(COUNTIFS('D Finanzen'!$A$45:$A$115,Steuerung!$F$6,'D Finanzen'!$B$45:$B$115,Q$5)=0,"",SUMIFS('D Finanzen'!$E$45:$E$115,'D Finanzen'!$A$45:$A$115,Steuerung!$F$6,'D Finanzen'!$B$45:$B$115,Q$5,'D Finanzen'!$C$45:$C$115,30)))</f>
        <v/>
      </c>
      <c r="R10" s="48" t="n"/>
    </row>
    <row r="11">
      <c r="A11" s="48" t="n"/>
      <c r="B11" s="48" t="n"/>
      <c r="C11" s="48" t="inlineStr">
        <is>
          <t>Materialaufwand</t>
        </is>
      </c>
      <c r="D11" s="17">
        <f>SUMIFS(F11:Q11,$F$5:$Q$5,"&lt;="&amp;Steuerung!$F$7)</f>
        <v/>
      </c>
      <c r="E11" s="18">
        <f>IF($D$9=0,"n.a.",D11/$D$9)</f>
        <v/>
      </c>
      <c r="F11" s="17">
        <f>IF(COUNTIFS(TVFImportMonate[Jahr],Steuerung!$F$6,TVFImportMonate[Monat],1)&gt;0,SUMIFS(TVFImportMonate[Materialaufwand],TVFImportMonate[Jahr],Steuerung!$F$6,TVFImportMonate[Monat],1),IF(COUNTIFS('D Finanzen'!$A$45:$A$115,Steuerung!$F$6,'D Finanzen'!$B$45:$B$115,F$5)=0,"",SUMIFS('D Finanzen'!$E$45:$E$115,'D Finanzen'!$A$45:$A$115,Steuerung!$F$6,'D Finanzen'!$B$45:$B$115,F$5,'D Finanzen'!$C$45:$C$115,40)))</f>
        <v/>
      </c>
      <c r="G11" s="17">
        <f>IF(COUNTIFS(TVFImportMonate[Jahr],Steuerung!$F$6,TVFImportMonate[Monat],2)&gt;0,SUMIFS(TVFImportMonate[Materialaufwand],TVFImportMonate[Jahr],Steuerung!$F$6,TVFImportMonate[Monat],2),IF(COUNTIFS('D Finanzen'!$A$45:$A$115,Steuerung!$F$6,'D Finanzen'!$B$45:$B$115,G$5)=0,"",SUMIFS('D Finanzen'!$E$45:$E$115,'D Finanzen'!$A$45:$A$115,Steuerung!$F$6,'D Finanzen'!$B$45:$B$115,G$5,'D Finanzen'!$C$45:$C$115,40)))</f>
        <v/>
      </c>
      <c r="H11" s="17">
        <f>IF(COUNTIFS(TVFImportMonate[Jahr],Steuerung!$F$6,TVFImportMonate[Monat],3)&gt;0,SUMIFS(TVFImportMonate[Materialaufwand],TVFImportMonate[Jahr],Steuerung!$F$6,TVFImportMonate[Monat],3),IF(COUNTIFS('D Finanzen'!$A$45:$A$115,Steuerung!$F$6,'D Finanzen'!$B$45:$B$115,H$5)=0,"",SUMIFS('D Finanzen'!$E$45:$E$115,'D Finanzen'!$A$45:$A$115,Steuerung!$F$6,'D Finanzen'!$B$45:$B$115,H$5,'D Finanzen'!$C$45:$C$115,40)))</f>
        <v/>
      </c>
      <c r="I11" s="17">
        <f>IF(COUNTIFS(TVFImportMonate[Jahr],Steuerung!$F$6,TVFImportMonate[Monat],4)&gt;0,SUMIFS(TVFImportMonate[Materialaufwand],TVFImportMonate[Jahr],Steuerung!$F$6,TVFImportMonate[Monat],4),IF(COUNTIFS('D Finanzen'!$A$45:$A$115,Steuerung!$F$6,'D Finanzen'!$B$45:$B$115,I$5)=0,"",SUMIFS('D Finanzen'!$E$45:$E$115,'D Finanzen'!$A$45:$A$115,Steuerung!$F$6,'D Finanzen'!$B$45:$B$115,I$5,'D Finanzen'!$C$45:$C$115,40)))</f>
        <v/>
      </c>
      <c r="J11" s="17">
        <f>IF(COUNTIFS(TVFImportMonate[Jahr],Steuerung!$F$6,TVFImportMonate[Monat],5)&gt;0,SUMIFS(TVFImportMonate[Materialaufwand],TVFImportMonate[Jahr],Steuerung!$F$6,TVFImportMonate[Monat],5),IF(COUNTIFS('D Finanzen'!$A$45:$A$115,Steuerung!$F$6,'D Finanzen'!$B$45:$B$115,J$5)=0,"",SUMIFS('D Finanzen'!$E$45:$E$115,'D Finanzen'!$A$45:$A$115,Steuerung!$F$6,'D Finanzen'!$B$45:$B$115,J$5,'D Finanzen'!$C$45:$C$115,40)))</f>
        <v/>
      </c>
      <c r="K11" s="17">
        <f>IF(COUNTIFS(TVFImportMonate[Jahr],Steuerung!$F$6,TVFImportMonate[Monat],6)&gt;0,SUMIFS(TVFImportMonate[Materialaufwand],TVFImportMonate[Jahr],Steuerung!$F$6,TVFImportMonate[Monat],6),IF(COUNTIFS('D Finanzen'!$A$45:$A$115,Steuerung!$F$6,'D Finanzen'!$B$45:$B$115,K$5)=0,"",SUMIFS('D Finanzen'!$E$45:$E$115,'D Finanzen'!$A$45:$A$115,Steuerung!$F$6,'D Finanzen'!$B$45:$B$115,K$5,'D Finanzen'!$C$45:$C$115,40)))</f>
        <v/>
      </c>
      <c r="L11" s="17">
        <f>IF(COUNTIFS(TVFImportMonate[Jahr],Steuerung!$F$6,TVFImportMonate[Monat],7)&gt;0,SUMIFS(TVFImportMonate[Materialaufwand],TVFImportMonate[Jahr],Steuerung!$F$6,TVFImportMonate[Monat],7),IF(COUNTIFS('D Finanzen'!$A$45:$A$115,Steuerung!$F$6,'D Finanzen'!$B$45:$B$115,L$5)=0,"",SUMIFS('D Finanzen'!$E$45:$E$115,'D Finanzen'!$A$45:$A$115,Steuerung!$F$6,'D Finanzen'!$B$45:$B$115,L$5,'D Finanzen'!$C$45:$C$115,40)))</f>
        <v/>
      </c>
      <c r="M11" s="17">
        <f>IF(COUNTIFS(TVFImportMonate[Jahr],Steuerung!$F$6,TVFImportMonate[Monat],8)&gt;0,SUMIFS(TVFImportMonate[Materialaufwand],TVFImportMonate[Jahr],Steuerung!$F$6,TVFImportMonate[Monat],8),IF(COUNTIFS('D Finanzen'!$A$45:$A$115,Steuerung!$F$6,'D Finanzen'!$B$45:$B$115,M$5)=0,"",SUMIFS('D Finanzen'!$E$45:$E$115,'D Finanzen'!$A$45:$A$115,Steuerung!$F$6,'D Finanzen'!$B$45:$B$115,M$5,'D Finanzen'!$C$45:$C$115,40)))</f>
        <v/>
      </c>
      <c r="N11" s="17">
        <f>IF(COUNTIFS(TVFImportMonate[Jahr],Steuerung!$F$6,TVFImportMonate[Monat],9)&gt;0,SUMIFS(TVFImportMonate[Materialaufwand],TVFImportMonate[Jahr],Steuerung!$F$6,TVFImportMonate[Monat],9),IF(COUNTIFS('D Finanzen'!$A$45:$A$115,Steuerung!$F$6,'D Finanzen'!$B$45:$B$115,N$5)=0,"",SUMIFS('D Finanzen'!$E$45:$E$115,'D Finanzen'!$A$45:$A$115,Steuerung!$F$6,'D Finanzen'!$B$45:$B$115,N$5,'D Finanzen'!$C$45:$C$115,40)))</f>
        <v/>
      </c>
      <c r="O11" s="17">
        <f>IF(COUNTIFS(TVFImportMonate[Jahr],Steuerung!$F$6,TVFImportMonate[Monat],10)&gt;0,SUMIFS(TVFImportMonate[Materialaufwand],TVFImportMonate[Jahr],Steuerung!$F$6,TVFImportMonate[Monat],10),IF(COUNTIFS('D Finanzen'!$A$45:$A$115,Steuerung!$F$6,'D Finanzen'!$B$45:$B$115,O$5)=0,"",SUMIFS('D Finanzen'!$E$45:$E$115,'D Finanzen'!$A$45:$A$115,Steuerung!$F$6,'D Finanzen'!$B$45:$B$115,O$5,'D Finanzen'!$C$45:$C$115,40)))</f>
        <v/>
      </c>
      <c r="P11" s="17">
        <f>IF(COUNTIFS(TVFImportMonate[Jahr],Steuerung!$F$6,TVFImportMonate[Monat],11)&gt;0,SUMIFS(TVFImportMonate[Materialaufwand],TVFImportMonate[Jahr],Steuerung!$F$6,TVFImportMonate[Monat],11),IF(COUNTIFS('D Finanzen'!$A$45:$A$115,Steuerung!$F$6,'D Finanzen'!$B$45:$B$115,P$5)=0,"",SUMIFS('D Finanzen'!$E$45:$E$115,'D Finanzen'!$A$45:$A$115,Steuerung!$F$6,'D Finanzen'!$B$45:$B$115,P$5,'D Finanzen'!$C$45:$C$115,40)))</f>
        <v/>
      </c>
      <c r="Q11" s="17">
        <f>IF(COUNTIFS(TVFImportMonate[Jahr],Steuerung!$F$6,TVFImportMonate[Monat],12)&gt;0,SUMIFS(TVFImportMonate[Materialaufwand],TVFImportMonate[Jahr],Steuerung!$F$6,TVFImportMonate[Monat],12),IF(COUNTIFS('D Finanzen'!$A$45:$A$115,Steuerung!$F$6,'D Finanzen'!$B$45:$B$115,Q$5)=0,"",SUMIFS('D Finanzen'!$E$45:$E$115,'D Finanzen'!$A$45:$A$115,Steuerung!$F$6,'D Finanzen'!$B$45:$B$115,Q$5,'D Finanzen'!$C$45:$C$115,40)))</f>
        <v/>
      </c>
      <c r="R11" s="48" t="n"/>
    </row>
    <row r="12">
      <c r="A12" s="48" t="n"/>
      <c r="B12" s="48" t="n"/>
      <c r="C12" s="48" t="inlineStr">
        <is>
          <t>Personalaufwand</t>
        </is>
      </c>
      <c r="D12" s="17">
        <f>SUMIFS(F12:Q12,$F$5:$Q$5,"&lt;="&amp;Steuerung!$F$7)</f>
        <v/>
      </c>
      <c r="E12" s="18">
        <f>IF($D$9=0,"n.a.",D12/$D$9)</f>
        <v/>
      </c>
      <c r="F12" s="17">
        <f>IF(COUNTIFS(TVFImportMonate[Jahr],Steuerung!$F$6,TVFImportMonate[Monat],1)&gt;0,SUMIFS(TVFImportMonate[Personalaufwand],TVFImportMonate[Jahr],Steuerung!$F$6,TVFImportMonate[Monat],1),IF(COUNTIFS('D Finanzen'!$A$45:$A$115,Steuerung!$F$6,'D Finanzen'!$B$45:$B$115,F$5)=0,"",SUMIFS('D Finanzen'!$E$45:$E$115,'D Finanzen'!$A$45:$A$115,Steuerung!$F$6,'D Finanzen'!$B$45:$B$115,F$5,'D Finanzen'!$C$45:$C$115,50)))</f>
        <v/>
      </c>
      <c r="G12" s="17">
        <f>IF(COUNTIFS(TVFImportMonate[Jahr],Steuerung!$F$6,TVFImportMonate[Monat],2)&gt;0,SUMIFS(TVFImportMonate[Personalaufwand],TVFImportMonate[Jahr],Steuerung!$F$6,TVFImportMonate[Monat],2),IF(COUNTIFS('D Finanzen'!$A$45:$A$115,Steuerung!$F$6,'D Finanzen'!$B$45:$B$115,G$5)=0,"",SUMIFS('D Finanzen'!$E$45:$E$115,'D Finanzen'!$A$45:$A$115,Steuerung!$F$6,'D Finanzen'!$B$45:$B$115,G$5,'D Finanzen'!$C$45:$C$115,50)))</f>
        <v/>
      </c>
      <c r="H12" s="17">
        <f>IF(COUNTIFS(TVFImportMonate[Jahr],Steuerung!$F$6,TVFImportMonate[Monat],3)&gt;0,SUMIFS(TVFImportMonate[Personalaufwand],TVFImportMonate[Jahr],Steuerung!$F$6,TVFImportMonate[Monat],3),IF(COUNTIFS('D Finanzen'!$A$45:$A$115,Steuerung!$F$6,'D Finanzen'!$B$45:$B$115,H$5)=0,"",SUMIFS('D Finanzen'!$E$45:$E$115,'D Finanzen'!$A$45:$A$115,Steuerung!$F$6,'D Finanzen'!$B$45:$B$115,H$5,'D Finanzen'!$C$45:$C$115,50)))</f>
        <v/>
      </c>
      <c r="I12" s="17">
        <f>IF(COUNTIFS(TVFImportMonate[Jahr],Steuerung!$F$6,TVFImportMonate[Monat],4)&gt;0,SUMIFS(TVFImportMonate[Personalaufwand],TVFImportMonate[Jahr],Steuerung!$F$6,TVFImportMonate[Monat],4),IF(COUNTIFS('D Finanzen'!$A$45:$A$115,Steuerung!$F$6,'D Finanzen'!$B$45:$B$115,I$5)=0,"",SUMIFS('D Finanzen'!$E$45:$E$115,'D Finanzen'!$A$45:$A$115,Steuerung!$F$6,'D Finanzen'!$B$45:$B$115,I$5,'D Finanzen'!$C$45:$C$115,50)))</f>
        <v/>
      </c>
      <c r="J12" s="17">
        <f>IF(COUNTIFS(TVFImportMonate[Jahr],Steuerung!$F$6,TVFImportMonate[Monat],5)&gt;0,SUMIFS(TVFImportMonate[Personalaufwand],TVFImportMonate[Jahr],Steuerung!$F$6,TVFImportMonate[Monat],5),IF(COUNTIFS('D Finanzen'!$A$45:$A$115,Steuerung!$F$6,'D Finanzen'!$B$45:$B$115,J$5)=0,"",SUMIFS('D Finanzen'!$E$45:$E$115,'D Finanzen'!$A$45:$A$115,Steuerung!$F$6,'D Finanzen'!$B$45:$B$115,J$5,'D Finanzen'!$C$45:$C$115,50)))</f>
        <v/>
      </c>
      <c r="K12" s="17">
        <f>IF(COUNTIFS(TVFImportMonate[Jahr],Steuerung!$F$6,TVFImportMonate[Monat],6)&gt;0,SUMIFS(TVFImportMonate[Personalaufwand],TVFImportMonate[Jahr],Steuerung!$F$6,TVFImportMonate[Monat],6),IF(COUNTIFS('D Finanzen'!$A$45:$A$115,Steuerung!$F$6,'D Finanzen'!$B$45:$B$115,K$5)=0,"",SUMIFS('D Finanzen'!$E$45:$E$115,'D Finanzen'!$A$45:$A$115,Steuerung!$F$6,'D Finanzen'!$B$45:$B$115,K$5,'D Finanzen'!$C$45:$C$115,50)))</f>
        <v/>
      </c>
      <c r="L12" s="17">
        <f>IF(COUNTIFS(TVFImportMonate[Jahr],Steuerung!$F$6,TVFImportMonate[Monat],7)&gt;0,SUMIFS(TVFImportMonate[Personalaufwand],TVFImportMonate[Jahr],Steuerung!$F$6,TVFImportMonate[Monat],7),IF(COUNTIFS('D Finanzen'!$A$45:$A$115,Steuerung!$F$6,'D Finanzen'!$B$45:$B$115,L$5)=0,"",SUMIFS('D Finanzen'!$E$45:$E$115,'D Finanzen'!$A$45:$A$115,Steuerung!$F$6,'D Finanzen'!$B$45:$B$115,L$5,'D Finanzen'!$C$45:$C$115,50)))</f>
        <v/>
      </c>
      <c r="M12" s="17">
        <f>IF(COUNTIFS(TVFImportMonate[Jahr],Steuerung!$F$6,TVFImportMonate[Monat],8)&gt;0,SUMIFS(TVFImportMonate[Personalaufwand],TVFImportMonate[Jahr],Steuerung!$F$6,TVFImportMonate[Monat],8),IF(COUNTIFS('D Finanzen'!$A$45:$A$115,Steuerung!$F$6,'D Finanzen'!$B$45:$B$115,M$5)=0,"",SUMIFS('D Finanzen'!$E$45:$E$115,'D Finanzen'!$A$45:$A$115,Steuerung!$F$6,'D Finanzen'!$B$45:$B$115,M$5,'D Finanzen'!$C$45:$C$115,50)))</f>
        <v/>
      </c>
      <c r="N12" s="17">
        <f>IF(COUNTIFS(TVFImportMonate[Jahr],Steuerung!$F$6,TVFImportMonate[Monat],9)&gt;0,SUMIFS(TVFImportMonate[Personalaufwand],TVFImportMonate[Jahr],Steuerung!$F$6,TVFImportMonate[Monat],9),IF(COUNTIFS('D Finanzen'!$A$45:$A$115,Steuerung!$F$6,'D Finanzen'!$B$45:$B$115,N$5)=0,"",SUMIFS('D Finanzen'!$E$45:$E$115,'D Finanzen'!$A$45:$A$115,Steuerung!$F$6,'D Finanzen'!$B$45:$B$115,N$5,'D Finanzen'!$C$45:$C$115,50)))</f>
        <v/>
      </c>
      <c r="O12" s="17">
        <f>IF(COUNTIFS(TVFImportMonate[Jahr],Steuerung!$F$6,TVFImportMonate[Monat],10)&gt;0,SUMIFS(TVFImportMonate[Personalaufwand],TVFImportMonate[Jahr],Steuerung!$F$6,TVFImportMonate[Monat],10),IF(COUNTIFS('D Finanzen'!$A$45:$A$115,Steuerung!$F$6,'D Finanzen'!$B$45:$B$115,O$5)=0,"",SUMIFS('D Finanzen'!$E$45:$E$115,'D Finanzen'!$A$45:$A$115,Steuerung!$F$6,'D Finanzen'!$B$45:$B$115,O$5,'D Finanzen'!$C$45:$C$115,50)))</f>
        <v/>
      </c>
      <c r="P12" s="17">
        <f>IF(COUNTIFS(TVFImportMonate[Jahr],Steuerung!$F$6,TVFImportMonate[Monat],11)&gt;0,SUMIFS(TVFImportMonate[Personalaufwand],TVFImportMonate[Jahr],Steuerung!$F$6,TVFImportMonate[Monat],11),IF(COUNTIFS('D Finanzen'!$A$45:$A$115,Steuerung!$F$6,'D Finanzen'!$B$45:$B$115,P$5)=0,"",SUMIFS('D Finanzen'!$E$45:$E$115,'D Finanzen'!$A$45:$A$115,Steuerung!$F$6,'D Finanzen'!$B$45:$B$115,P$5,'D Finanzen'!$C$45:$C$115,50)))</f>
        <v/>
      </c>
      <c r="Q12" s="17">
        <f>IF(COUNTIFS(TVFImportMonate[Jahr],Steuerung!$F$6,TVFImportMonate[Monat],12)&gt;0,SUMIFS(TVFImportMonate[Personalaufwand],TVFImportMonate[Jahr],Steuerung!$F$6,TVFImportMonate[Monat],12),IF(COUNTIFS('D Finanzen'!$A$45:$A$115,Steuerung!$F$6,'D Finanzen'!$B$45:$B$115,Q$5)=0,"",SUMIFS('D Finanzen'!$E$45:$E$115,'D Finanzen'!$A$45:$A$115,Steuerung!$F$6,'D Finanzen'!$B$45:$B$115,Q$5,'D Finanzen'!$C$45:$C$115,50)))</f>
        <v/>
      </c>
      <c r="R12" s="48" t="n"/>
    </row>
    <row r="13">
      <c r="A13" s="48" t="n"/>
      <c r="B13" s="48" t="n"/>
      <c r="C13" s="48" t="inlineStr">
        <is>
          <t>Sonstige betriebliche Aufwendungen</t>
        </is>
      </c>
      <c r="D13" s="17">
        <f>SUMIFS(F13:Q13,$F$5:$Q$5,"&lt;="&amp;Steuerung!$F$7)</f>
        <v/>
      </c>
      <c r="E13" s="18">
        <f>IF($D$9=0,"n.a.",D13/$D$9)</f>
        <v/>
      </c>
      <c r="F13" s="17">
        <f>IF(COUNTIFS(TVFImportMonate[Jahr],Steuerung!$F$6,TVFImportMonate[Monat],1)&gt;0,SUMIFS(TVFImportMonate[Sonstiger_Aufwand],TVFImportMonate[Jahr],Steuerung!$F$6,TVFImportMonate[Monat],1),IF(COUNTIFS('D Finanzen'!$A$45:$A$115,Steuerung!$F$6,'D Finanzen'!$B$45:$B$115,F$5)=0,"",SUMIFS('D Finanzen'!$E$45:$E$115,'D Finanzen'!$A$45:$A$115,Steuerung!$F$6,'D Finanzen'!$B$45:$B$115,F$5,'D Finanzen'!$C$45:$C$115,70)))</f>
        <v/>
      </c>
      <c r="G13" s="17">
        <f>IF(COUNTIFS(TVFImportMonate[Jahr],Steuerung!$F$6,TVFImportMonate[Monat],2)&gt;0,SUMIFS(TVFImportMonate[Sonstiger_Aufwand],TVFImportMonate[Jahr],Steuerung!$F$6,TVFImportMonate[Monat],2),IF(COUNTIFS('D Finanzen'!$A$45:$A$115,Steuerung!$F$6,'D Finanzen'!$B$45:$B$115,G$5)=0,"",SUMIFS('D Finanzen'!$E$45:$E$115,'D Finanzen'!$A$45:$A$115,Steuerung!$F$6,'D Finanzen'!$B$45:$B$115,G$5,'D Finanzen'!$C$45:$C$115,70)))</f>
        <v/>
      </c>
      <c r="H13" s="17">
        <f>IF(COUNTIFS(TVFImportMonate[Jahr],Steuerung!$F$6,TVFImportMonate[Monat],3)&gt;0,SUMIFS(TVFImportMonate[Sonstiger_Aufwand],TVFImportMonate[Jahr],Steuerung!$F$6,TVFImportMonate[Monat],3),IF(COUNTIFS('D Finanzen'!$A$45:$A$115,Steuerung!$F$6,'D Finanzen'!$B$45:$B$115,H$5)=0,"",SUMIFS('D Finanzen'!$E$45:$E$115,'D Finanzen'!$A$45:$A$115,Steuerung!$F$6,'D Finanzen'!$B$45:$B$115,H$5,'D Finanzen'!$C$45:$C$115,70)))</f>
        <v/>
      </c>
      <c r="I13" s="17">
        <f>IF(COUNTIFS(TVFImportMonate[Jahr],Steuerung!$F$6,TVFImportMonate[Monat],4)&gt;0,SUMIFS(TVFImportMonate[Sonstiger_Aufwand],TVFImportMonate[Jahr],Steuerung!$F$6,TVFImportMonate[Monat],4),IF(COUNTIFS('D Finanzen'!$A$45:$A$115,Steuerung!$F$6,'D Finanzen'!$B$45:$B$115,I$5)=0,"",SUMIFS('D Finanzen'!$E$45:$E$115,'D Finanzen'!$A$45:$A$115,Steuerung!$F$6,'D Finanzen'!$B$45:$B$115,I$5,'D Finanzen'!$C$45:$C$115,70)))</f>
        <v/>
      </c>
      <c r="J13" s="17">
        <f>IF(COUNTIFS(TVFImportMonate[Jahr],Steuerung!$F$6,TVFImportMonate[Monat],5)&gt;0,SUMIFS(TVFImportMonate[Sonstiger_Aufwand],TVFImportMonate[Jahr],Steuerung!$F$6,TVFImportMonate[Monat],5),IF(COUNTIFS('D Finanzen'!$A$45:$A$115,Steuerung!$F$6,'D Finanzen'!$B$45:$B$115,J$5)=0,"",SUMIFS('D Finanzen'!$E$45:$E$115,'D Finanzen'!$A$45:$A$115,Steuerung!$F$6,'D Finanzen'!$B$45:$B$115,J$5,'D Finanzen'!$C$45:$C$115,70)))</f>
        <v/>
      </c>
      <c r="K13" s="17">
        <f>IF(COUNTIFS(TVFImportMonate[Jahr],Steuerung!$F$6,TVFImportMonate[Monat],6)&gt;0,SUMIFS(TVFImportMonate[Sonstiger_Aufwand],TVFImportMonate[Jahr],Steuerung!$F$6,TVFImportMonate[Monat],6),IF(COUNTIFS('D Finanzen'!$A$45:$A$115,Steuerung!$F$6,'D Finanzen'!$B$45:$B$115,K$5)=0,"",SUMIFS('D Finanzen'!$E$45:$E$115,'D Finanzen'!$A$45:$A$115,Steuerung!$F$6,'D Finanzen'!$B$45:$B$115,K$5,'D Finanzen'!$C$45:$C$115,70)))</f>
        <v/>
      </c>
      <c r="L13" s="17">
        <f>IF(COUNTIFS(TVFImportMonate[Jahr],Steuerung!$F$6,TVFImportMonate[Monat],7)&gt;0,SUMIFS(TVFImportMonate[Sonstiger_Aufwand],TVFImportMonate[Jahr],Steuerung!$F$6,TVFImportMonate[Monat],7),IF(COUNTIFS('D Finanzen'!$A$45:$A$115,Steuerung!$F$6,'D Finanzen'!$B$45:$B$115,L$5)=0,"",SUMIFS('D Finanzen'!$E$45:$E$115,'D Finanzen'!$A$45:$A$115,Steuerung!$F$6,'D Finanzen'!$B$45:$B$115,L$5,'D Finanzen'!$C$45:$C$115,70)))</f>
        <v/>
      </c>
      <c r="M13" s="17">
        <f>IF(COUNTIFS(TVFImportMonate[Jahr],Steuerung!$F$6,TVFImportMonate[Monat],8)&gt;0,SUMIFS(TVFImportMonate[Sonstiger_Aufwand],TVFImportMonate[Jahr],Steuerung!$F$6,TVFImportMonate[Monat],8),IF(COUNTIFS('D Finanzen'!$A$45:$A$115,Steuerung!$F$6,'D Finanzen'!$B$45:$B$115,M$5)=0,"",SUMIFS('D Finanzen'!$E$45:$E$115,'D Finanzen'!$A$45:$A$115,Steuerung!$F$6,'D Finanzen'!$B$45:$B$115,M$5,'D Finanzen'!$C$45:$C$115,70)))</f>
        <v/>
      </c>
      <c r="N13" s="17">
        <f>IF(COUNTIFS(TVFImportMonate[Jahr],Steuerung!$F$6,TVFImportMonate[Monat],9)&gt;0,SUMIFS(TVFImportMonate[Sonstiger_Aufwand],TVFImportMonate[Jahr],Steuerung!$F$6,TVFImportMonate[Monat],9),IF(COUNTIFS('D Finanzen'!$A$45:$A$115,Steuerung!$F$6,'D Finanzen'!$B$45:$B$115,N$5)=0,"",SUMIFS('D Finanzen'!$E$45:$E$115,'D Finanzen'!$A$45:$A$115,Steuerung!$F$6,'D Finanzen'!$B$45:$B$115,N$5,'D Finanzen'!$C$45:$C$115,70)))</f>
        <v/>
      </c>
      <c r="O13" s="17">
        <f>IF(COUNTIFS(TVFImportMonate[Jahr],Steuerung!$F$6,TVFImportMonate[Monat],10)&gt;0,SUMIFS(TVFImportMonate[Sonstiger_Aufwand],TVFImportMonate[Jahr],Steuerung!$F$6,TVFImportMonate[Monat],10),IF(COUNTIFS('D Finanzen'!$A$45:$A$115,Steuerung!$F$6,'D Finanzen'!$B$45:$B$115,O$5)=0,"",SUMIFS('D Finanzen'!$E$45:$E$115,'D Finanzen'!$A$45:$A$115,Steuerung!$F$6,'D Finanzen'!$B$45:$B$115,O$5,'D Finanzen'!$C$45:$C$115,70)))</f>
        <v/>
      </c>
      <c r="P13" s="17">
        <f>IF(COUNTIFS(TVFImportMonate[Jahr],Steuerung!$F$6,TVFImportMonate[Monat],11)&gt;0,SUMIFS(TVFImportMonate[Sonstiger_Aufwand],TVFImportMonate[Jahr],Steuerung!$F$6,TVFImportMonate[Monat],11),IF(COUNTIFS('D Finanzen'!$A$45:$A$115,Steuerung!$F$6,'D Finanzen'!$B$45:$B$115,P$5)=0,"",SUMIFS('D Finanzen'!$E$45:$E$115,'D Finanzen'!$A$45:$A$115,Steuerung!$F$6,'D Finanzen'!$B$45:$B$115,P$5,'D Finanzen'!$C$45:$C$115,70)))</f>
        <v/>
      </c>
      <c r="Q13" s="17">
        <f>IF(COUNTIFS(TVFImportMonate[Jahr],Steuerung!$F$6,TVFImportMonate[Monat],12)&gt;0,SUMIFS(TVFImportMonate[Sonstiger_Aufwand],TVFImportMonate[Jahr],Steuerung!$F$6,TVFImportMonate[Monat],12),IF(COUNTIFS('D Finanzen'!$A$45:$A$115,Steuerung!$F$6,'D Finanzen'!$B$45:$B$115,Q$5)=0,"",SUMIFS('D Finanzen'!$E$45:$E$115,'D Finanzen'!$A$45:$A$115,Steuerung!$F$6,'D Finanzen'!$B$45:$B$115,Q$5,'D Finanzen'!$C$45:$C$115,70)))</f>
        <v/>
      </c>
      <c r="R13" s="48" t="n"/>
    </row>
    <row r="14" ht="25" customHeight="1">
      <c r="A14" s="48" t="n"/>
      <c r="B14" s="48" t="n"/>
      <c r="C14" s="20" t="inlineStr">
        <is>
          <t>EBITDA aus Staffel</t>
        </is>
      </c>
      <c r="D14" s="21">
        <f>SUMIFS(F14:Q14,$F$5:$Q$5,"&lt;="&amp;Steuerung!$F$7)</f>
        <v/>
      </c>
      <c r="E14" s="22">
        <f>IF($D$9=0,"n.a.",D14/$D$9)</f>
        <v/>
      </c>
      <c r="F14" s="21">
        <f>IF(F7="","",SUM(F9:F13))</f>
        <v/>
      </c>
      <c r="G14" s="21">
        <f>IF(G7="","",SUM(G9:G13))</f>
        <v/>
      </c>
      <c r="H14" s="21">
        <f>IF(H7="","",SUM(H9:H13))</f>
        <v/>
      </c>
      <c r="I14" s="21">
        <f>IF(I7="","",SUM(I9:I13))</f>
        <v/>
      </c>
      <c r="J14" s="21">
        <f>IF(J7="","",SUM(J9:J13))</f>
        <v/>
      </c>
      <c r="K14" s="21">
        <f>IF(K7="","",SUM(K9:K13))</f>
        <v/>
      </c>
      <c r="L14" s="21">
        <f>IF(L7="","",SUM(L9:L13))</f>
        <v/>
      </c>
      <c r="M14" s="21">
        <f>IF(M7="","",SUM(M9:M13))</f>
        <v/>
      </c>
      <c r="N14" s="21">
        <f>IF(N7="","",SUM(N9:N13))</f>
        <v/>
      </c>
      <c r="O14" s="21">
        <f>IF(O7="","",SUM(O9:O13))</f>
        <v/>
      </c>
      <c r="P14" s="21">
        <f>IF(P7="","",SUM(P9:P13))</f>
        <v/>
      </c>
      <c r="Q14" s="21">
        <f>IF(Q7="","",SUM(Q9:Q13))</f>
        <v/>
      </c>
      <c r="R14" s="48" t="n"/>
    </row>
    <row r="15">
      <c r="A15" s="48" t="n"/>
      <c r="B15" s="48" t="n"/>
      <c r="C15" s="48" t="inlineStr">
        <is>
          <t>Abschreibungen</t>
        </is>
      </c>
      <c r="D15" s="17">
        <f>SUMIFS(F15:Q15,$F$5:$Q$5,"&lt;="&amp;Steuerung!$F$7)</f>
        <v/>
      </c>
      <c r="E15" s="18">
        <f>IF($D$9=0,"n.a.",D15/$D$9)</f>
        <v/>
      </c>
      <c r="F15" s="17">
        <f>IF(COUNTIFS(TVFImportMonate[Jahr],Steuerung!$F$6,TVFImportMonate[Monat],1)&gt;0,SUMIFS(TVFImportMonate[Abschreibungen],TVFImportMonate[Jahr],Steuerung!$F$6,TVFImportMonate[Monat],1),IF(COUNTIFS('D Finanzen'!$A$45:$A$115,Steuerung!$F$6,'D Finanzen'!$B$45:$B$115,F$5)=0,"",SUMIFS('D Finanzen'!$E$45:$E$115,'D Finanzen'!$A$45:$A$115,Steuerung!$F$6,'D Finanzen'!$B$45:$B$115,F$5,'D Finanzen'!$C$45:$C$115,60)))</f>
        <v/>
      </c>
      <c r="G15" s="17">
        <f>IF(COUNTIFS(TVFImportMonate[Jahr],Steuerung!$F$6,TVFImportMonate[Monat],2)&gt;0,SUMIFS(TVFImportMonate[Abschreibungen],TVFImportMonate[Jahr],Steuerung!$F$6,TVFImportMonate[Monat],2),IF(COUNTIFS('D Finanzen'!$A$45:$A$115,Steuerung!$F$6,'D Finanzen'!$B$45:$B$115,G$5)=0,"",SUMIFS('D Finanzen'!$E$45:$E$115,'D Finanzen'!$A$45:$A$115,Steuerung!$F$6,'D Finanzen'!$B$45:$B$115,G$5,'D Finanzen'!$C$45:$C$115,60)))</f>
        <v/>
      </c>
      <c r="H15" s="17">
        <f>IF(COUNTIFS(TVFImportMonate[Jahr],Steuerung!$F$6,TVFImportMonate[Monat],3)&gt;0,SUMIFS(TVFImportMonate[Abschreibungen],TVFImportMonate[Jahr],Steuerung!$F$6,TVFImportMonate[Monat],3),IF(COUNTIFS('D Finanzen'!$A$45:$A$115,Steuerung!$F$6,'D Finanzen'!$B$45:$B$115,H$5)=0,"",SUMIFS('D Finanzen'!$E$45:$E$115,'D Finanzen'!$A$45:$A$115,Steuerung!$F$6,'D Finanzen'!$B$45:$B$115,H$5,'D Finanzen'!$C$45:$C$115,60)))</f>
        <v/>
      </c>
      <c r="I15" s="17">
        <f>IF(COUNTIFS(TVFImportMonate[Jahr],Steuerung!$F$6,TVFImportMonate[Monat],4)&gt;0,SUMIFS(TVFImportMonate[Abschreibungen],TVFImportMonate[Jahr],Steuerung!$F$6,TVFImportMonate[Monat],4),IF(COUNTIFS('D Finanzen'!$A$45:$A$115,Steuerung!$F$6,'D Finanzen'!$B$45:$B$115,I$5)=0,"",SUMIFS('D Finanzen'!$E$45:$E$115,'D Finanzen'!$A$45:$A$115,Steuerung!$F$6,'D Finanzen'!$B$45:$B$115,I$5,'D Finanzen'!$C$45:$C$115,60)))</f>
        <v/>
      </c>
      <c r="J15" s="17">
        <f>IF(COUNTIFS(TVFImportMonate[Jahr],Steuerung!$F$6,TVFImportMonate[Monat],5)&gt;0,SUMIFS(TVFImportMonate[Abschreibungen],TVFImportMonate[Jahr],Steuerung!$F$6,TVFImportMonate[Monat],5),IF(COUNTIFS('D Finanzen'!$A$45:$A$115,Steuerung!$F$6,'D Finanzen'!$B$45:$B$115,J$5)=0,"",SUMIFS('D Finanzen'!$E$45:$E$115,'D Finanzen'!$A$45:$A$115,Steuerung!$F$6,'D Finanzen'!$B$45:$B$115,J$5,'D Finanzen'!$C$45:$C$115,60)))</f>
        <v/>
      </c>
      <c r="K15" s="17">
        <f>IF(COUNTIFS(TVFImportMonate[Jahr],Steuerung!$F$6,TVFImportMonate[Monat],6)&gt;0,SUMIFS(TVFImportMonate[Abschreibungen],TVFImportMonate[Jahr],Steuerung!$F$6,TVFImportMonate[Monat],6),IF(COUNTIFS('D Finanzen'!$A$45:$A$115,Steuerung!$F$6,'D Finanzen'!$B$45:$B$115,K$5)=0,"",SUMIFS('D Finanzen'!$E$45:$E$115,'D Finanzen'!$A$45:$A$115,Steuerung!$F$6,'D Finanzen'!$B$45:$B$115,K$5,'D Finanzen'!$C$45:$C$115,60)))</f>
        <v/>
      </c>
      <c r="L15" s="17">
        <f>IF(COUNTIFS(TVFImportMonate[Jahr],Steuerung!$F$6,TVFImportMonate[Monat],7)&gt;0,SUMIFS(TVFImportMonate[Abschreibungen],TVFImportMonate[Jahr],Steuerung!$F$6,TVFImportMonate[Monat],7),IF(COUNTIFS('D Finanzen'!$A$45:$A$115,Steuerung!$F$6,'D Finanzen'!$B$45:$B$115,L$5)=0,"",SUMIFS('D Finanzen'!$E$45:$E$115,'D Finanzen'!$A$45:$A$115,Steuerung!$F$6,'D Finanzen'!$B$45:$B$115,L$5,'D Finanzen'!$C$45:$C$115,60)))</f>
        <v/>
      </c>
      <c r="M15" s="17">
        <f>IF(COUNTIFS(TVFImportMonate[Jahr],Steuerung!$F$6,TVFImportMonate[Monat],8)&gt;0,SUMIFS(TVFImportMonate[Abschreibungen],TVFImportMonate[Jahr],Steuerung!$F$6,TVFImportMonate[Monat],8),IF(COUNTIFS('D Finanzen'!$A$45:$A$115,Steuerung!$F$6,'D Finanzen'!$B$45:$B$115,M$5)=0,"",SUMIFS('D Finanzen'!$E$45:$E$115,'D Finanzen'!$A$45:$A$115,Steuerung!$F$6,'D Finanzen'!$B$45:$B$115,M$5,'D Finanzen'!$C$45:$C$115,60)))</f>
        <v/>
      </c>
      <c r="N15" s="17">
        <f>IF(COUNTIFS(TVFImportMonate[Jahr],Steuerung!$F$6,TVFImportMonate[Monat],9)&gt;0,SUMIFS(TVFImportMonate[Abschreibungen],TVFImportMonate[Jahr],Steuerung!$F$6,TVFImportMonate[Monat],9),IF(COUNTIFS('D Finanzen'!$A$45:$A$115,Steuerung!$F$6,'D Finanzen'!$B$45:$B$115,N$5)=0,"",SUMIFS('D Finanzen'!$E$45:$E$115,'D Finanzen'!$A$45:$A$115,Steuerung!$F$6,'D Finanzen'!$B$45:$B$115,N$5,'D Finanzen'!$C$45:$C$115,60)))</f>
        <v/>
      </c>
      <c r="O15" s="17">
        <f>IF(COUNTIFS(TVFImportMonate[Jahr],Steuerung!$F$6,TVFImportMonate[Monat],10)&gt;0,SUMIFS(TVFImportMonate[Abschreibungen],TVFImportMonate[Jahr],Steuerung!$F$6,TVFImportMonate[Monat],10),IF(COUNTIFS('D Finanzen'!$A$45:$A$115,Steuerung!$F$6,'D Finanzen'!$B$45:$B$115,O$5)=0,"",SUMIFS('D Finanzen'!$E$45:$E$115,'D Finanzen'!$A$45:$A$115,Steuerung!$F$6,'D Finanzen'!$B$45:$B$115,O$5,'D Finanzen'!$C$45:$C$115,60)))</f>
        <v/>
      </c>
      <c r="P15" s="17">
        <f>IF(COUNTIFS(TVFImportMonate[Jahr],Steuerung!$F$6,TVFImportMonate[Monat],11)&gt;0,SUMIFS(TVFImportMonate[Abschreibungen],TVFImportMonate[Jahr],Steuerung!$F$6,TVFImportMonate[Monat],11),IF(COUNTIFS('D Finanzen'!$A$45:$A$115,Steuerung!$F$6,'D Finanzen'!$B$45:$B$115,P$5)=0,"",SUMIFS('D Finanzen'!$E$45:$E$115,'D Finanzen'!$A$45:$A$115,Steuerung!$F$6,'D Finanzen'!$B$45:$B$115,P$5,'D Finanzen'!$C$45:$C$115,60)))</f>
        <v/>
      </c>
      <c r="Q15" s="17">
        <f>IF(COUNTIFS(TVFImportMonate[Jahr],Steuerung!$F$6,TVFImportMonate[Monat],12)&gt;0,SUMIFS(TVFImportMonate[Abschreibungen],TVFImportMonate[Jahr],Steuerung!$F$6,TVFImportMonate[Monat],12),IF(COUNTIFS('D Finanzen'!$A$45:$A$115,Steuerung!$F$6,'D Finanzen'!$B$45:$B$115,Q$5)=0,"",SUMIFS('D Finanzen'!$E$45:$E$115,'D Finanzen'!$A$45:$A$115,Steuerung!$F$6,'D Finanzen'!$B$45:$B$115,Q$5,'D Finanzen'!$C$45:$C$115,60)))</f>
        <v/>
      </c>
      <c r="R15" s="48" t="n"/>
    </row>
    <row r="16" ht="25" customHeight="1">
      <c r="A16" s="48" t="n"/>
      <c r="B16" s="48" t="n"/>
      <c r="C16" s="20" t="inlineStr">
        <is>
          <t>EBIT</t>
        </is>
      </c>
      <c r="D16" s="21">
        <f>SUMIFS(F16:Q16,$F$5:$Q$5,"&lt;="&amp;Steuerung!$F$7)</f>
        <v/>
      </c>
      <c r="E16" s="22">
        <f>IF($D$9=0,"n.a.",D16/$D$9)</f>
        <v/>
      </c>
      <c r="F16" s="21">
        <f>IF(F7="","",SUM(F14:F15))</f>
        <v/>
      </c>
      <c r="G16" s="21">
        <f>IF(G7="","",SUM(G14:G15))</f>
        <v/>
      </c>
      <c r="H16" s="21">
        <f>IF(H7="","",SUM(H14:H15))</f>
        <v/>
      </c>
      <c r="I16" s="21">
        <f>IF(I7="","",SUM(I14:I15))</f>
        <v/>
      </c>
      <c r="J16" s="21">
        <f>IF(J7="","",SUM(J14:J15))</f>
        <v/>
      </c>
      <c r="K16" s="21">
        <f>IF(K7="","",SUM(K14:K15))</f>
        <v/>
      </c>
      <c r="L16" s="21">
        <f>IF(L7="","",SUM(L14:L15))</f>
        <v/>
      </c>
      <c r="M16" s="21">
        <f>IF(M7="","",SUM(M14:M15))</f>
        <v/>
      </c>
      <c r="N16" s="21">
        <f>IF(N7="","",SUM(N14:N15))</f>
        <v/>
      </c>
      <c r="O16" s="21">
        <f>IF(O7="","",SUM(O14:O15))</f>
        <v/>
      </c>
      <c r="P16" s="21">
        <f>IF(P7="","",SUM(P14:P15))</f>
        <v/>
      </c>
      <c r="Q16" s="21">
        <f>IF(Q7="","",SUM(Q14:Q15))</f>
        <v/>
      </c>
      <c r="R16" s="48" t="n"/>
    </row>
    <row r="17">
      <c r="A17" s="48" t="n"/>
      <c r="B17" s="48" t="n"/>
      <c r="C17" s="48" t="inlineStr">
        <is>
          <t>Finanzergebnis</t>
        </is>
      </c>
      <c r="D17" s="17">
        <f>SUMIFS(F17:Q17,$F$5:$Q$5,"&lt;="&amp;Steuerung!$F$7)</f>
        <v/>
      </c>
      <c r="E17" s="18">
        <f>IF($D$9=0,"n.a.",D17/$D$9)</f>
        <v/>
      </c>
      <c r="F17" s="17">
        <f>IF(COUNTIFS(TVFImportMonate[Jahr],Steuerung!$F$6,TVFImportMonate[Monat],1)&gt;0,SUMIFS(TVFImportMonate[Finanzergebnis],TVFImportMonate[Jahr],Steuerung!$F$6,TVFImportMonate[Monat],1),IF(COUNTIFS('D Finanzen'!$A$45:$A$115,Steuerung!$F$6,'D Finanzen'!$B$45:$B$115,F$5)=0,"",SUMIFS('D Finanzen'!$E$45:$E$115,'D Finanzen'!$A$45:$A$115,Steuerung!$F$6,'D Finanzen'!$B$45:$B$115,F$5,'D Finanzen'!$C$45:$C$115,80)))</f>
        <v/>
      </c>
      <c r="G17" s="17">
        <f>IF(COUNTIFS(TVFImportMonate[Jahr],Steuerung!$F$6,TVFImportMonate[Monat],2)&gt;0,SUMIFS(TVFImportMonate[Finanzergebnis],TVFImportMonate[Jahr],Steuerung!$F$6,TVFImportMonate[Monat],2),IF(COUNTIFS('D Finanzen'!$A$45:$A$115,Steuerung!$F$6,'D Finanzen'!$B$45:$B$115,G$5)=0,"",SUMIFS('D Finanzen'!$E$45:$E$115,'D Finanzen'!$A$45:$A$115,Steuerung!$F$6,'D Finanzen'!$B$45:$B$115,G$5,'D Finanzen'!$C$45:$C$115,80)))</f>
        <v/>
      </c>
      <c r="H17" s="17">
        <f>IF(COUNTIFS(TVFImportMonate[Jahr],Steuerung!$F$6,TVFImportMonate[Monat],3)&gt;0,SUMIFS(TVFImportMonate[Finanzergebnis],TVFImportMonate[Jahr],Steuerung!$F$6,TVFImportMonate[Monat],3),IF(COUNTIFS('D Finanzen'!$A$45:$A$115,Steuerung!$F$6,'D Finanzen'!$B$45:$B$115,H$5)=0,"",SUMIFS('D Finanzen'!$E$45:$E$115,'D Finanzen'!$A$45:$A$115,Steuerung!$F$6,'D Finanzen'!$B$45:$B$115,H$5,'D Finanzen'!$C$45:$C$115,80)))</f>
        <v/>
      </c>
      <c r="I17" s="17">
        <f>IF(COUNTIFS(TVFImportMonate[Jahr],Steuerung!$F$6,TVFImportMonate[Monat],4)&gt;0,SUMIFS(TVFImportMonate[Finanzergebnis],TVFImportMonate[Jahr],Steuerung!$F$6,TVFImportMonate[Monat],4),IF(COUNTIFS('D Finanzen'!$A$45:$A$115,Steuerung!$F$6,'D Finanzen'!$B$45:$B$115,I$5)=0,"",SUMIFS('D Finanzen'!$E$45:$E$115,'D Finanzen'!$A$45:$A$115,Steuerung!$F$6,'D Finanzen'!$B$45:$B$115,I$5,'D Finanzen'!$C$45:$C$115,80)))</f>
        <v/>
      </c>
      <c r="J17" s="17">
        <f>IF(COUNTIFS(TVFImportMonate[Jahr],Steuerung!$F$6,TVFImportMonate[Monat],5)&gt;0,SUMIFS(TVFImportMonate[Finanzergebnis],TVFImportMonate[Jahr],Steuerung!$F$6,TVFImportMonate[Monat],5),IF(COUNTIFS('D Finanzen'!$A$45:$A$115,Steuerung!$F$6,'D Finanzen'!$B$45:$B$115,J$5)=0,"",SUMIFS('D Finanzen'!$E$45:$E$115,'D Finanzen'!$A$45:$A$115,Steuerung!$F$6,'D Finanzen'!$B$45:$B$115,J$5,'D Finanzen'!$C$45:$C$115,80)))</f>
        <v/>
      </c>
      <c r="K17" s="17">
        <f>IF(COUNTIFS(TVFImportMonate[Jahr],Steuerung!$F$6,TVFImportMonate[Monat],6)&gt;0,SUMIFS(TVFImportMonate[Finanzergebnis],TVFImportMonate[Jahr],Steuerung!$F$6,TVFImportMonate[Monat],6),IF(COUNTIFS('D Finanzen'!$A$45:$A$115,Steuerung!$F$6,'D Finanzen'!$B$45:$B$115,K$5)=0,"",SUMIFS('D Finanzen'!$E$45:$E$115,'D Finanzen'!$A$45:$A$115,Steuerung!$F$6,'D Finanzen'!$B$45:$B$115,K$5,'D Finanzen'!$C$45:$C$115,80)))</f>
        <v/>
      </c>
      <c r="L17" s="17">
        <f>IF(COUNTIFS(TVFImportMonate[Jahr],Steuerung!$F$6,TVFImportMonate[Monat],7)&gt;0,SUMIFS(TVFImportMonate[Finanzergebnis],TVFImportMonate[Jahr],Steuerung!$F$6,TVFImportMonate[Monat],7),IF(COUNTIFS('D Finanzen'!$A$45:$A$115,Steuerung!$F$6,'D Finanzen'!$B$45:$B$115,L$5)=0,"",SUMIFS('D Finanzen'!$E$45:$E$115,'D Finanzen'!$A$45:$A$115,Steuerung!$F$6,'D Finanzen'!$B$45:$B$115,L$5,'D Finanzen'!$C$45:$C$115,80)))</f>
        <v/>
      </c>
      <c r="M17" s="17">
        <f>IF(COUNTIFS(TVFImportMonate[Jahr],Steuerung!$F$6,TVFImportMonate[Monat],8)&gt;0,SUMIFS(TVFImportMonate[Finanzergebnis],TVFImportMonate[Jahr],Steuerung!$F$6,TVFImportMonate[Monat],8),IF(COUNTIFS('D Finanzen'!$A$45:$A$115,Steuerung!$F$6,'D Finanzen'!$B$45:$B$115,M$5)=0,"",SUMIFS('D Finanzen'!$E$45:$E$115,'D Finanzen'!$A$45:$A$115,Steuerung!$F$6,'D Finanzen'!$B$45:$B$115,M$5,'D Finanzen'!$C$45:$C$115,80)))</f>
        <v/>
      </c>
      <c r="N17" s="17">
        <f>IF(COUNTIFS(TVFImportMonate[Jahr],Steuerung!$F$6,TVFImportMonate[Monat],9)&gt;0,SUMIFS(TVFImportMonate[Finanzergebnis],TVFImportMonate[Jahr],Steuerung!$F$6,TVFImportMonate[Monat],9),IF(COUNTIFS('D Finanzen'!$A$45:$A$115,Steuerung!$F$6,'D Finanzen'!$B$45:$B$115,N$5)=0,"",SUMIFS('D Finanzen'!$E$45:$E$115,'D Finanzen'!$A$45:$A$115,Steuerung!$F$6,'D Finanzen'!$B$45:$B$115,N$5,'D Finanzen'!$C$45:$C$115,80)))</f>
        <v/>
      </c>
      <c r="O17" s="17">
        <f>IF(COUNTIFS(TVFImportMonate[Jahr],Steuerung!$F$6,TVFImportMonate[Monat],10)&gt;0,SUMIFS(TVFImportMonate[Finanzergebnis],TVFImportMonate[Jahr],Steuerung!$F$6,TVFImportMonate[Monat],10),IF(COUNTIFS('D Finanzen'!$A$45:$A$115,Steuerung!$F$6,'D Finanzen'!$B$45:$B$115,O$5)=0,"",SUMIFS('D Finanzen'!$E$45:$E$115,'D Finanzen'!$A$45:$A$115,Steuerung!$F$6,'D Finanzen'!$B$45:$B$115,O$5,'D Finanzen'!$C$45:$C$115,80)))</f>
        <v/>
      </c>
      <c r="P17" s="17">
        <f>IF(COUNTIFS(TVFImportMonate[Jahr],Steuerung!$F$6,TVFImportMonate[Monat],11)&gt;0,SUMIFS(TVFImportMonate[Finanzergebnis],TVFImportMonate[Jahr],Steuerung!$F$6,TVFImportMonate[Monat],11),IF(COUNTIFS('D Finanzen'!$A$45:$A$115,Steuerung!$F$6,'D Finanzen'!$B$45:$B$115,P$5)=0,"",SUMIFS('D Finanzen'!$E$45:$E$115,'D Finanzen'!$A$45:$A$115,Steuerung!$F$6,'D Finanzen'!$B$45:$B$115,P$5,'D Finanzen'!$C$45:$C$115,80)))</f>
        <v/>
      </c>
      <c r="Q17" s="17">
        <f>IF(COUNTIFS(TVFImportMonate[Jahr],Steuerung!$F$6,TVFImportMonate[Monat],12)&gt;0,SUMIFS(TVFImportMonate[Finanzergebnis],TVFImportMonate[Jahr],Steuerung!$F$6,TVFImportMonate[Monat],12),IF(COUNTIFS('D Finanzen'!$A$45:$A$115,Steuerung!$F$6,'D Finanzen'!$B$45:$B$115,Q$5)=0,"",SUMIFS('D Finanzen'!$E$45:$E$115,'D Finanzen'!$A$45:$A$115,Steuerung!$F$6,'D Finanzen'!$B$45:$B$115,Q$5,'D Finanzen'!$C$45:$C$115,80)))</f>
        <v/>
      </c>
      <c r="R17" s="48" t="n"/>
    </row>
    <row r="18" ht="25" customHeight="1">
      <c r="A18" s="48" t="n"/>
      <c r="B18" s="48" t="n"/>
      <c r="C18" s="20" t="inlineStr">
        <is>
          <t>Ergebnis aus Staffel</t>
        </is>
      </c>
      <c r="D18" s="21">
        <f>SUMIFS(F18:Q18,$F$5:$Q$5,"&lt;="&amp;Steuerung!$F$7)</f>
        <v/>
      </c>
      <c r="E18" s="22">
        <f>IF($D$9=0,"n.a.",D18/$D$9)</f>
        <v/>
      </c>
      <c r="F18" s="21">
        <f>IF(F7="","",SUM(F16:F17))</f>
        <v/>
      </c>
      <c r="G18" s="21">
        <f>IF(G7="","",SUM(G16:G17))</f>
        <v/>
      </c>
      <c r="H18" s="21">
        <f>IF(H7="","",SUM(H16:H17))</f>
        <v/>
      </c>
      <c r="I18" s="21">
        <f>IF(I7="","",SUM(I16:I17))</f>
        <v/>
      </c>
      <c r="J18" s="21">
        <f>IF(J7="","",SUM(J16:J17))</f>
        <v/>
      </c>
      <c r="K18" s="21">
        <f>IF(K7="","",SUM(K16:K17))</f>
        <v/>
      </c>
      <c r="L18" s="21">
        <f>IF(L7="","",SUM(L16:L17))</f>
        <v/>
      </c>
      <c r="M18" s="21">
        <f>IF(M7="","",SUM(M16:M17))</f>
        <v/>
      </c>
      <c r="N18" s="21">
        <f>IF(N7="","",SUM(N16:N17))</f>
        <v/>
      </c>
      <c r="O18" s="21">
        <f>IF(O7="","",SUM(O16:O17))</f>
        <v/>
      </c>
      <c r="P18" s="21">
        <f>IF(P7="","",SUM(P16:P17))</f>
        <v/>
      </c>
      <c r="Q18" s="21">
        <f>IF(Q7="","",SUM(Q16:Q17))</f>
        <v/>
      </c>
      <c r="R18" s="48" t="n"/>
    </row>
    <row r="19">
      <c r="A19" s="48" t="n"/>
      <c r="B19" s="48" t="n"/>
      <c r="C19" s="48" t="n"/>
      <c r="D19" s="17" t="n"/>
      <c r="E19" s="18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48" t="n"/>
    </row>
    <row r="20" ht="25" customHeight="1">
      <c r="A20" s="48" t="n"/>
      <c r="B20" s="48" t="n"/>
      <c r="C20" s="20" t="inlineStr">
        <is>
          <t>EBITDA Cockpit-Definition</t>
        </is>
      </c>
      <c r="D20" s="21">
        <f>SUMIFS(F20:Q20,$F$5:$Q$5,"&lt;="&amp;Steuerung!$F$7)</f>
        <v/>
      </c>
      <c r="E20" s="22">
        <f>IF($D$9=0,"n.a.",D20/$D$9)</f>
        <v/>
      </c>
      <c r="F20" s="21">
        <f>IF(COUNTIFS(TVFImportMonate[Jahr],Steuerung!$F$6,TVFImportMonate[Monat],1)&gt;0,F14,IF(COUNTIFS('D Finanzen'!$A$8:$A$16,Steuerung!$F$6,'D Finanzen'!$B$8:$B$16,F$5)=0,"",SUMIFS('D Finanzen'!$F$8:$F$16,'D Finanzen'!$A$8:$A$16,Steuerung!$F$6,'D Finanzen'!$B$8:$B$16,F$5)))</f>
        <v/>
      </c>
      <c r="G20" s="21">
        <f>IF(COUNTIFS(TVFImportMonate[Jahr],Steuerung!$F$6,TVFImportMonate[Monat],2)&gt;0,G14,IF(COUNTIFS('D Finanzen'!$A$8:$A$16,Steuerung!$F$6,'D Finanzen'!$B$8:$B$16,G$5)=0,"",SUMIFS('D Finanzen'!$F$8:$F$16,'D Finanzen'!$A$8:$A$16,Steuerung!$F$6,'D Finanzen'!$B$8:$B$16,G$5)))</f>
        <v/>
      </c>
      <c r="H20" s="21">
        <f>IF(COUNTIFS(TVFImportMonate[Jahr],Steuerung!$F$6,TVFImportMonate[Monat],3)&gt;0,H14,IF(COUNTIFS('D Finanzen'!$A$8:$A$16,Steuerung!$F$6,'D Finanzen'!$B$8:$B$16,H$5)=0,"",SUMIFS('D Finanzen'!$F$8:$F$16,'D Finanzen'!$A$8:$A$16,Steuerung!$F$6,'D Finanzen'!$B$8:$B$16,H$5)))</f>
        <v/>
      </c>
      <c r="I20" s="21">
        <f>IF(COUNTIFS(TVFImportMonate[Jahr],Steuerung!$F$6,TVFImportMonate[Monat],4)&gt;0,I14,IF(COUNTIFS('D Finanzen'!$A$8:$A$16,Steuerung!$F$6,'D Finanzen'!$B$8:$B$16,I$5)=0,"",SUMIFS('D Finanzen'!$F$8:$F$16,'D Finanzen'!$A$8:$A$16,Steuerung!$F$6,'D Finanzen'!$B$8:$B$16,I$5)))</f>
        <v/>
      </c>
      <c r="J20" s="21">
        <f>IF(COUNTIFS(TVFImportMonate[Jahr],Steuerung!$F$6,TVFImportMonate[Monat],5)&gt;0,J14,IF(COUNTIFS('D Finanzen'!$A$8:$A$16,Steuerung!$F$6,'D Finanzen'!$B$8:$B$16,J$5)=0,"",SUMIFS('D Finanzen'!$F$8:$F$16,'D Finanzen'!$A$8:$A$16,Steuerung!$F$6,'D Finanzen'!$B$8:$B$16,J$5)))</f>
        <v/>
      </c>
      <c r="K20" s="21">
        <f>IF(COUNTIFS(TVFImportMonate[Jahr],Steuerung!$F$6,TVFImportMonate[Monat],6)&gt;0,K14,IF(COUNTIFS('D Finanzen'!$A$8:$A$16,Steuerung!$F$6,'D Finanzen'!$B$8:$B$16,K$5)=0,"",SUMIFS('D Finanzen'!$F$8:$F$16,'D Finanzen'!$A$8:$A$16,Steuerung!$F$6,'D Finanzen'!$B$8:$B$16,K$5)))</f>
        <v/>
      </c>
      <c r="L20" s="21">
        <f>IF(COUNTIFS(TVFImportMonate[Jahr],Steuerung!$F$6,TVFImportMonate[Monat],7)&gt;0,L14,IF(COUNTIFS('D Finanzen'!$A$8:$A$16,Steuerung!$F$6,'D Finanzen'!$B$8:$B$16,L$5)=0,"",SUMIFS('D Finanzen'!$F$8:$F$16,'D Finanzen'!$A$8:$A$16,Steuerung!$F$6,'D Finanzen'!$B$8:$B$16,L$5)))</f>
        <v/>
      </c>
      <c r="M20" s="21">
        <f>IF(COUNTIFS(TVFImportMonate[Jahr],Steuerung!$F$6,TVFImportMonate[Monat],8)&gt;0,M14,IF(COUNTIFS('D Finanzen'!$A$8:$A$16,Steuerung!$F$6,'D Finanzen'!$B$8:$B$16,M$5)=0,"",SUMIFS('D Finanzen'!$F$8:$F$16,'D Finanzen'!$A$8:$A$16,Steuerung!$F$6,'D Finanzen'!$B$8:$B$16,M$5)))</f>
        <v/>
      </c>
      <c r="N20" s="21">
        <f>IF(COUNTIFS(TVFImportMonate[Jahr],Steuerung!$F$6,TVFImportMonate[Monat],9)&gt;0,N14,IF(COUNTIFS('D Finanzen'!$A$8:$A$16,Steuerung!$F$6,'D Finanzen'!$B$8:$B$16,N$5)=0,"",SUMIFS('D Finanzen'!$F$8:$F$16,'D Finanzen'!$A$8:$A$16,Steuerung!$F$6,'D Finanzen'!$B$8:$B$16,N$5)))</f>
        <v/>
      </c>
      <c r="O20" s="21">
        <f>IF(COUNTIFS(TVFImportMonate[Jahr],Steuerung!$F$6,TVFImportMonate[Monat],10)&gt;0,O14,IF(COUNTIFS('D Finanzen'!$A$8:$A$16,Steuerung!$F$6,'D Finanzen'!$B$8:$B$16,O$5)=0,"",SUMIFS('D Finanzen'!$F$8:$F$16,'D Finanzen'!$A$8:$A$16,Steuerung!$F$6,'D Finanzen'!$B$8:$B$16,O$5)))</f>
        <v/>
      </c>
      <c r="P20" s="21">
        <f>IF(COUNTIFS(TVFImportMonate[Jahr],Steuerung!$F$6,TVFImportMonate[Monat],11)&gt;0,P14,IF(COUNTIFS('D Finanzen'!$A$8:$A$16,Steuerung!$F$6,'D Finanzen'!$B$8:$B$16,P$5)=0,"",SUMIFS('D Finanzen'!$F$8:$F$16,'D Finanzen'!$A$8:$A$16,Steuerung!$F$6,'D Finanzen'!$B$8:$B$16,P$5)))</f>
        <v/>
      </c>
      <c r="Q20" s="21">
        <f>IF(COUNTIFS(TVFImportMonate[Jahr],Steuerung!$F$6,TVFImportMonate[Monat],12)&gt;0,Q14,IF(COUNTIFS('D Finanzen'!$A$8:$A$16,Steuerung!$F$6,'D Finanzen'!$B$8:$B$16,Q$5)=0,"",SUMIFS('D Finanzen'!$F$8:$F$16,'D Finanzen'!$A$8:$A$16,Steuerung!$F$6,'D Finanzen'!$B$8:$B$16,Q$5)))</f>
        <v/>
      </c>
      <c r="R20" s="48" t="n"/>
    </row>
    <row r="21">
      <c r="A21" s="48" t="n"/>
      <c r="B21" s="48" t="n"/>
      <c r="C21" s="48" t="inlineStr">
        <is>
          <t>Differenz EBITDA-Definition</t>
        </is>
      </c>
      <c r="D21" s="17">
        <f>SUMIFS(F21:Q21,$F$5:$Q$5,"&lt;="&amp;Steuerung!$F$7)</f>
        <v/>
      </c>
      <c r="E21" s="18">
        <f>IF($D$9=0,"n.a.",D21/$D$9)</f>
        <v/>
      </c>
      <c r="F21" s="17">
        <f>IF(F7="","",ROUND(F14-F20,2))</f>
        <v/>
      </c>
      <c r="G21" s="17">
        <f>IF(G7="","",ROUND(G14-G20,2))</f>
        <v/>
      </c>
      <c r="H21" s="17">
        <f>IF(H7="","",ROUND(H14-H20,2))</f>
        <v/>
      </c>
      <c r="I21" s="17">
        <f>IF(I7="","",ROUND(I14-I20,2))</f>
        <v/>
      </c>
      <c r="J21" s="17">
        <f>IF(J7="","",ROUND(J14-J20,2))</f>
        <v/>
      </c>
      <c r="K21" s="17">
        <f>IF(K7="","",ROUND(K14-K20,2))</f>
        <v/>
      </c>
      <c r="L21" s="17">
        <f>IF(L7="","",ROUND(L14-L20,2))</f>
        <v/>
      </c>
      <c r="M21" s="17">
        <f>IF(M7="","",ROUND(M14-M20,2))</f>
        <v/>
      </c>
      <c r="N21" s="17">
        <f>IF(N7="","",ROUND(N14-N20,2))</f>
        <v/>
      </c>
      <c r="O21" s="17">
        <f>IF(O7="","",ROUND(O14-O20,2))</f>
        <v/>
      </c>
      <c r="P21" s="17">
        <f>IF(P7="","",ROUND(P14-P20,2))</f>
        <v/>
      </c>
      <c r="Q21" s="17">
        <f>IF(Q7="","",ROUND(Q14-Q20,2))</f>
        <v/>
      </c>
      <c r="R21" s="48" t="n"/>
    </row>
    <row r="22">
      <c r="A22" s="48" t="n"/>
      <c r="B22" s="48" t="n"/>
      <c r="C22" s="48" t="n"/>
      <c r="D22" s="48" t="n"/>
      <c r="E22" s="48" t="n"/>
      <c r="F22" s="48" t="n"/>
      <c r="G22" s="48" t="n"/>
      <c r="H22" s="48" t="n"/>
      <c r="I22" s="48" t="n"/>
      <c r="J22" s="48" t="n"/>
      <c r="K22" s="48" t="n"/>
      <c r="L22" s="48" t="n"/>
      <c r="M22" s="48" t="n"/>
      <c r="N22" s="48" t="n"/>
      <c r="O22" s="48" t="n"/>
      <c r="P22" s="48" t="n"/>
      <c r="Q22" s="48" t="n"/>
      <c r="R22" s="48" t="n"/>
    </row>
    <row r="23">
      <c r="A23" s="48" t="n"/>
      <c r="B23" s="48" t="n"/>
      <c r="C23" s="48" t="inlineStr">
        <is>
          <t>Quelle je Monat</t>
        </is>
      </c>
      <c r="D23" s="48" t="n"/>
      <c r="E23" s="48" t="n"/>
      <c r="F23" s="48">
        <f>IF(COUNTIFS(TVFImportMonate[Jahr],Steuerung!$F$6,TVFImportMonate[Monat],1)&gt;0,"CSV-Import","Originalexport")</f>
        <v/>
      </c>
      <c r="G23" s="48">
        <f>IF(COUNTIFS(TVFImportMonate[Jahr],Steuerung!$F$6,TVFImportMonate[Monat],2)&gt;0,"CSV-Import","Originalexport")</f>
        <v/>
      </c>
      <c r="H23" s="48">
        <f>IF(COUNTIFS(TVFImportMonate[Jahr],Steuerung!$F$6,TVFImportMonate[Monat],3)&gt;0,"CSV-Import","Originalexport")</f>
        <v/>
      </c>
      <c r="I23" s="48">
        <f>IF(COUNTIFS(TVFImportMonate[Jahr],Steuerung!$F$6,TVFImportMonate[Monat],4)&gt;0,"CSV-Import","Originalexport")</f>
        <v/>
      </c>
      <c r="J23" s="48">
        <f>IF(COUNTIFS(TVFImportMonate[Jahr],Steuerung!$F$6,TVFImportMonate[Monat],5)&gt;0,"CSV-Import","Originalexport")</f>
        <v/>
      </c>
      <c r="K23" s="48">
        <f>IF(COUNTIFS(TVFImportMonate[Jahr],Steuerung!$F$6,TVFImportMonate[Monat],6)&gt;0,"CSV-Import","Originalexport")</f>
        <v/>
      </c>
      <c r="L23" s="48">
        <f>IF(COUNTIFS(TVFImportMonate[Jahr],Steuerung!$F$6,TVFImportMonate[Monat],7)&gt;0,"CSV-Import","Originalexport")</f>
        <v/>
      </c>
      <c r="M23" s="48">
        <f>IF(COUNTIFS(TVFImportMonate[Jahr],Steuerung!$F$6,TVFImportMonate[Monat],8)&gt;0,"CSV-Import","Originalexport")</f>
        <v/>
      </c>
      <c r="N23" s="48">
        <f>IF(COUNTIFS(TVFImportMonate[Jahr],Steuerung!$F$6,TVFImportMonate[Monat],9)&gt;0,"CSV-Import","Originalexport")</f>
        <v/>
      </c>
      <c r="O23" s="48">
        <f>IF(COUNTIFS(TVFImportMonate[Jahr],Steuerung!$F$6,TVFImportMonate[Monat],10)&gt;0,"CSV-Import","Originalexport")</f>
        <v/>
      </c>
      <c r="P23" s="48">
        <f>IF(COUNTIFS(TVFImportMonate[Jahr],Steuerung!$F$6,TVFImportMonate[Monat],11)&gt;0,"CSV-Import","Originalexport")</f>
        <v/>
      </c>
      <c r="Q23" s="48">
        <f>IF(COUNTIFS(TVFImportMonate[Jahr],Steuerung!$F$6,TVFImportMonate[Monat],12)&gt;0,"CSV-Import","Originalexport")</f>
        <v/>
      </c>
      <c r="R23" s="48" t="n"/>
    </row>
    <row r="24">
      <c r="A24" s="48" t="n"/>
      <c r="B24" s="48" t="n"/>
      <c r="C24" s="48" t="inlineStr">
        <is>
          <t>Neutrales Ergebnis</t>
        </is>
      </c>
      <c r="D24" s="17">
        <f>SUMIFS(F24:Q24,$F$5:$Q$5,"&lt;="&amp;Steuerung!$F$7)</f>
        <v/>
      </c>
      <c r="E24" s="17" t="n"/>
      <c r="F24" s="17">
        <f>IF(COUNTIFS(TVFImportMonate[Jahr],Steuerung!$F$6,TVFImportMonate[Monat],1)&gt;0,SUMIFS(TVFImportMonate[Neutrales_Ergebnis],TVFImportMonate[Jahr],Steuerung!$F$6,TVFImportMonate[Monat],1),SUMIFS('D Finanzen'!$G$8:$G$16,'D Finanzen'!$A$8:$A$16,Steuerung!$F$6,'D Finanzen'!$B$8:$B$16,1))</f>
        <v/>
      </c>
      <c r="G24" s="17">
        <f>IF(COUNTIFS(TVFImportMonate[Jahr],Steuerung!$F$6,TVFImportMonate[Monat],2)&gt;0,SUMIFS(TVFImportMonate[Neutrales_Ergebnis],TVFImportMonate[Jahr],Steuerung!$F$6,TVFImportMonate[Monat],2),SUMIFS('D Finanzen'!$G$8:$G$16,'D Finanzen'!$A$8:$A$16,Steuerung!$F$6,'D Finanzen'!$B$8:$B$16,2))</f>
        <v/>
      </c>
      <c r="H24" s="17">
        <f>IF(COUNTIFS(TVFImportMonate[Jahr],Steuerung!$F$6,TVFImportMonate[Monat],3)&gt;0,SUMIFS(TVFImportMonate[Neutrales_Ergebnis],TVFImportMonate[Jahr],Steuerung!$F$6,TVFImportMonate[Monat],3),SUMIFS('D Finanzen'!$G$8:$G$16,'D Finanzen'!$A$8:$A$16,Steuerung!$F$6,'D Finanzen'!$B$8:$B$16,3))</f>
        <v/>
      </c>
      <c r="I24" s="17">
        <f>IF(COUNTIFS(TVFImportMonate[Jahr],Steuerung!$F$6,TVFImportMonate[Monat],4)&gt;0,SUMIFS(TVFImportMonate[Neutrales_Ergebnis],TVFImportMonate[Jahr],Steuerung!$F$6,TVFImportMonate[Monat],4),SUMIFS('D Finanzen'!$G$8:$G$16,'D Finanzen'!$A$8:$A$16,Steuerung!$F$6,'D Finanzen'!$B$8:$B$16,4))</f>
        <v/>
      </c>
      <c r="J24" s="17">
        <f>IF(COUNTIFS(TVFImportMonate[Jahr],Steuerung!$F$6,TVFImportMonate[Monat],5)&gt;0,SUMIFS(TVFImportMonate[Neutrales_Ergebnis],TVFImportMonate[Jahr],Steuerung!$F$6,TVFImportMonate[Monat],5),SUMIFS('D Finanzen'!$G$8:$G$16,'D Finanzen'!$A$8:$A$16,Steuerung!$F$6,'D Finanzen'!$B$8:$B$16,5))</f>
        <v/>
      </c>
      <c r="K24" s="17">
        <f>IF(COUNTIFS(TVFImportMonate[Jahr],Steuerung!$F$6,TVFImportMonate[Monat],6)&gt;0,SUMIFS(TVFImportMonate[Neutrales_Ergebnis],TVFImportMonate[Jahr],Steuerung!$F$6,TVFImportMonate[Monat],6),SUMIFS('D Finanzen'!$G$8:$G$16,'D Finanzen'!$A$8:$A$16,Steuerung!$F$6,'D Finanzen'!$B$8:$B$16,6))</f>
        <v/>
      </c>
      <c r="L24" s="17">
        <f>IF(COUNTIFS(TVFImportMonate[Jahr],Steuerung!$F$6,TVFImportMonate[Monat],7)&gt;0,SUMIFS(TVFImportMonate[Neutrales_Ergebnis],TVFImportMonate[Jahr],Steuerung!$F$6,TVFImportMonate[Monat],7),SUMIFS('D Finanzen'!$G$8:$G$16,'D Finanzen'!$A$8:$A$16,Steuerung!$F$6,'D Finanzen'!$B$8:$B$16,7))</f>
        <v/>
      </c>
      <c r="M24" s="17">
        <f>IF(COUNTIFS(TVFImportMonate[Jahr],Steuerung!$F$6,TVFImportMonate[Monat],8)&gt;0,SUMIFS(TVFImportMonate[Neutrales_Ergebnis],TVFImportMonate[Jahr],Steuerung!$F$6,TVFImportMonate[Monat],8),SUMIFS('D Finanzen'!$G$8:$G$16,'D Finanzen'!$A$8:$A$16,Steuerung!$F$6,'D Finanzen'!$B$8:$B$16,8))</f>
        <v/>
      </c>
      <c r="N24" s="17">
        <f>IF(COUNTIFS(TVFImportMonate[Jahr],Steuerung!$F$6,TVFImportMonate[Monat],9)&gt;0,SUMIFS(TVFImportMonate[Neutrales_Ergebnis],TVFImportMonate[Jahr],Steuerung!$F$6,TVFImportMonate[Monat],9),SUMIFS('D Finanzen'!$G$8:$G$16,'D Finanzen'!$A$8:$A$16,Steuerung!$F$6,'D Finanzen'!$B$8:$B$16,9))</f>
        <v/>
      </c>
      <c r="O24" s="17">
        <f>IF(COUNTIFS(TVFImportMonate[Jahr],Steuerung!$F$6,TVFImportMonate[Monat],10)&gt;0,SUMIFS(TVFImportMonate[Neutrales_Ergebnis],TVFImportMonate[Jahr],Steuerung!$F$6,TVFImportMonate[Monat],10),SUMIFS('D Finanzen'!$G$8:$G$16,'D Finanzen'!$A$8:$A$16,Steuerung!$F$6,'D Finanzen'!$B$8:$B$16,10))</f>
        <v/>
      </c>
      <c r="P24" s="17">
        <f>IF(COUNTIFS(TVFImportMonate[Jahr],Steuerung!$F$6,TVFImportMonate[Monat],11)&gt;0,SUMIFS(TVFImportMonate[Neutrales_Ergebnis],TVFImportMonate[Jahr],Steuerung!$F$6,TVFImportMonate[Monat],11),SUMIFS('D Finanzen'!$G$8:$G$16,'D Finanzen'!$A$8:$A$16,Steuerung!$F$6,'D Finanzen'!$B$8:$B$16,11))</f>
        <v/>
      </c>
      <c r="Q24" s="17">
        <f>IF(COUNTIFS(TVFImportMonate[Jahr],Steuerung!$F$6,TVFImportMonate[Monat],12)&gt;0,SUMIFS(TVFImportMonate[Neutrales_Ergebnis],TVFImportMonate[Jahr],Steuerung!$F$6,TVFImportMonate[Monat],12),SUMIFS('D Finanzen'!$G$8:$G$16,'D Finanzen'!$A$8:$A$16,Steuerung!$F$6,'D Finanzen'!$B$8:$B$16,12))</f>
        <v/>
      </c>
      <c r="R24" s="48" t="n"/>
    </row>
    <row r="25">
      <c r="A25" s="48" t="n"/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48" t="n"/>
      <c r="Q25" s="48" t="n"/>
      <c r="R25" s="48" t="n"/>
    </row>
    <row r="26">
      <c r="A26" s="48" t="n"/>
      <c r="B26" s="48" t="n"/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 t="n"/>
      <c r="P26" s="48" t="n"/>
      <c r="Q26" s="48" t="n"/>
      <c r="R26" s="48" t="n"/>
    </row>
    <row r="27">
      <c r="A27" s="48" t="n"/>
      <c r="B27" s="48" t="n"/>
      <c r="C27" s="48" t="n"/>
      <c r="D27" s="48" t="n"/>
      <c r="E27" s="48" t="n"/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 t="n"/>
      <c r="P27" s="48" t="n"/>
      <c r="Q27" s="48" t="n"/>
      <c r="R27" s="48" t="n"/>
    </row>
    <row r="28">
      <c r="A28" s="48" t="n"/>
      <c r="B28" s="48" t="n"/>
      <c r="C28" s="48" t="n"/>
      <c r="D28" s="48" t="n"/>
      <c r="E28" s="48" t="n"/>
      <c r="F28" s="48" t="n"/>
      <c r="G28" s="48" t="n"/>
      <c r="H28" s="48" t="n"/>
      <c r="I28" s="48" t="n"/>
      <c r="J28" s="48" t="n"/>
      <c r="K28" s="48" t="n"/>
      <c r="L28" s="48" t="n"/>
      <c r="M28" s="48" t="n"/>
      <c r="N28" s="48" t="n"/>
      <c r="O28" s="48" t="n"/>
      <c r="P28" s="48" t="n"/>
      <c r="Q28" s="48" t="n"/>
      <c r="R28" s="48" t="n"/>
    </row>
    <row r="29">
      <c r="A29" s="48" t="n"/>
      <c r="B29" s="48" t="n"/>
      <c r="C29" s="48" t="n"/>
      <c r="D29" s="48" t="n"/>
      <c r="E29" s="48" t="n"/>
      <c r="F29" s="48" t="n"/>
      <c r="G29" s="48" t="n"/>
      <c r="H29" s="48" t="n"/>
      <c r="I29" s="48" t="n"/>
      <c r="J29" s="48" t="n"/>
      <c r="K29" s="48" t="n"/>
      <c r="L29" s="48" t="n"/>
      <c r="M29" s="48" t="n"/>
      <c r="N29" s="48" t="n"/>
      <c r="O29" s="48" t="n"/>
      <c r="P29" s="48" t="n"/>
      <c r="Q29" s="48" t="n"/>
      <c r="R29" s="48" t="n"/>
    </row>
    <row r="30">
      <c r="A30" s="48" t="n"/>
      <c r="B30" s="48" t="n"/>
      <c r="C30" s="48" t="n"/>
      <c r="D30" s="48" t="n"/>
      <c r="E30" s="48" t="n"/>
      <c r="F30" s="48" t="n"/>
      <c r="G30" s="48" t="n"/>
      <c r="H30" s="48" t="n"/>
      <c r="I30" s="48" t="n"/>
      <c r="J30" s="48" t="n"/>
      <c r="K30" s="48" t="n"/>
      <c r="L30" s="48" t="n"/>
      <c r="M30" s="48" t="n"/>
      <c r="N30" s="48" t="n"/>
      <c r="O30" s="48" t="n"/>
      <c r="P30" s="48" t="n"/>
      <c r="Q30" s="48" t="n"/>
      <c r="R30" s="48" t="n"/>
    </row>
    <row r="31">
      <c r="A31" s="48" t="n"/>
      <c r="B31" s="48" t="n"/>
      <c r="C31" s="48" t="n"/>
      <c r="D31" s="48" t="n"/>
      <c r="E31" s="48" t="n"/>
      <c r="F31" s="48" t="n"/>
      <c r="G31" s="48" t="n"/>
      <c r="H31" s="48" t="n"/>
      <c r="I31" s="48" t="n"/>
      <c r="J31" s="48" t="n"/>
      <c r="K31" s="48" t="n"/>
      <c r="L31" s="48" t="n"/>
      <c r="M31" s="48" t="n"/>
      <c r="N31" s="48" t="n"/>
      <c r="O31" s="48" t="n"/>
      <c r="P31" s="48" t="n"/>
      <c r="Q31" s="48" t="n"/>
      <c r="R31" s="48" t="n"/>
    </row>
    <row r="32">
      <c r="A32" s="48" t="n"/>
      <c r="B32" s="48" t="n"/>
      <c r="C32" s="48" t="n"/>
      <c r="D32" s="48" t="n"/>
      <c r="E32" s="48" t="n"/>
      <c r="F32" s="48" t="n"/>
      <c r="G32" s="48" t="n"/>
      <c r="H32" s="48" t="n"/>
      <c r="I32" s="48" t="n"/>
      <c r="J32" s="48" t="n"/>
      <c r="K32" s="48" t="n"/>
      <c r="L32" s="48" t="n"/>
      <c r="M32" s="48" t="n"/>
      <c r="N32" s="48" t="n"/>
      <c r="O32" s="48" t="n"/>
      <c r="P32" s="48" t="n"/>
      <c r="Q32" s="48" t="n"/>
      <c r="R32" s="48" t="n"/>
    </row>
    <row r="33">
      <c r="A33" s="48" t="n"/>
      <c r="B33" s="48" t="n"/>
      <c r="C33" s="48" t="n"/>
      <c r="D33" s="48" t="n"/>
      <c r="E33" s="48" t="n"/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  <c r="O33" s="48" t="n"/>
      <c r="P33" s="48" t="n"/>
      <c r="Q33" s="48" t="n"/>
      <c r="R33" s="48" t="n"/>
    </row>
    <row r="34">
      <c r="A34" s="48" t="n"/>
      <c r="B34" s="48" t="n"/>
      <c r="C34" s="48" t="n"/>
      <c r="D34" s="48" t="n"/>
      <c r="E34" s="48" t="n"/>
      <c r="F34" s="48" t="n"/>
      <c r="G34" s="48" t="n"/>
      <c r="H34" s="48" t="n"/>
      <c r="I34" s="48" t="n"/>
      <c r="J34" s="48" t="n"/>
      <c r="K34" s="48" t="n"/>
      <c r="L34" s="48" t="n"/>
      <c r="M34" s="48" t="n"/>
      <c r="N34" s="48" t="n"/>
      <c r="O34" s="48" t="n"/>
      <c r="P34" s="48" t="n"/>
      <c r="Q34" s="48" t="n"/>
      <c r="R34" s="48" t="n"/>
    </row>
    <row r="35">
      <c r="A35" s="48" t="n"/>
      <c r="B35" s="48" t="n"/>
      <c r="C35" s="48" t="n"/>
      <c r="D35" s="48" t="n"/>
      <c r="E35" s="48" t="n"/>
      <c r="F35" s="48" t="n"/>
      <c r="G35" s="48" t="n"/>
      <c r="H35" s="48" t="n"/>
      <c r="I35" s="48" t="n"/>
      <c r="J35" s="48" t="n"/>
      <c r="K35" s="48" t="n"/>
      <c r="L35" s="48" t="n"/>
      <c r="M35" s="48" t="n"/>
      <c r="N35" s="48" t="n"/>
      <c r="O35" s="48" t="n"/>
      <c r="P35" s="48" t="n"/>
      <c r="Q35" s="48" t="n"/>
      <c r="R35" s="48" t="n"/>
    </row>
    <row r="36">
      <c r="A36" s="48" t="n"/>
      <c r="B36" s="48" t="n"/>
      <c r="C36" s="48" t="n"/>
      <c r="D36" s="48" t="n"/>
      <c r="E36" s="48" t="n"/>
      <c r="F36" s="48" t="n"/>
      <c r="G36" s="48" t="n"/>
      <c r="H36" s="48" t="n"/>
      <c r="I36" s="48" t="n"/>
      <c r="J36" s="48" t="n"/>
      <c r="K36" s="48" t="n"/>
      <c r="L36" s="48" t="n"/>
      <c r="M36" s="48" t="n"/>
      <c r="N36" s="48" t="n"/>
      <c r="O36" s="48" t="n"/>
      <c r="P36" s="48" t="n"/>
      <c r="Q36" s="48" t="n"/>
      <c r="R36" s="48" t="n"/>
    </row>
    <row r="37">
      <c r="A37" s="48" t="n"/>
      <c r="B37" s="48" t="n"/>
      <c r="C37" s="48" t="n"/>
      <c r="D37" s="48" t="n"/>
      <c r="E37" s="48" t="n"/>
      <c r="F37" s="48" t="n"/>
      <c r="G37" s="48" t="n"/>
      <c r="H37" s="48" t="n"/>
      <c r="I37" s="48" t="n"/>
      <c r="J37" s="48" t="n"/>
      <c r="K37" s="48" t="n"/>
      <c r="L37" s="48" t="n"/>
      <c r="M37" s="48" t="n"/>
      <c r="N37" s="48" t="n"/>
      <c r="O37" s="48" t="n"/>
      <c r="P37" s="48" t="n"/>
      <c r="Q37" s="48" t="n"/>
      <c r="R37" s="48" t="n"/>
    </row>
    <row r="38">
      <c r="A38" s="48" t="n"/>
      <c r="B38" s="48" t="n"/>
      <c r="C38" s="48" t="n"/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/>
      <c r="M38" s="48" t="n"/>
      <c r="N38" s="48" t="n"/>
      <c r="O38" s="48" t="n"/>
      <c r="P38" s="48" t="n"/>
      <c r="Q38" s="48" t="n"/>
      <c r="R38" s="48" t="n"/>
    </row>
    <row r="39">
      <c r="A39" s="48" t="n"/>
      <c r="B39" s="48" t="n"/>
      <c r="C39" s="48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</row>
    <row r="40">
      <c r="A40" s="48" t="n"/>
      <c r="B40" s="48" t="n"/>
      <c r="C40" s="48" t="n"/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 t="n"/>
      <c r="P40" s="48" t="n"/>
      <c r="Q40" s="48" t="n"/>
      <c r="R40" s="48" t="n"/>
    </row>
    <row r="41">
      <c r="A41" s="48" t="n"/>
      <c r="B41" s="48" t="n"/>
      <c r="C41" s="48" t="n"/>
      <c r="D41" s="48" t="n"/>
      <c r="E41" s="48" t="n"/>
      <c r="F41" s="48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  <c r="R41" s="48" t="n"/>
    </row>
    <row r="42">
      <c r="A42" s="48" t="n"/>
      <c r="B42" s="48" t="n"/>
      <c r="C42" s="48" t="n"/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8" t="n"/>
      <c r="P42" s="48" t="n"/>
      <c r="Q42" s="48" t="n"/>
      <c r="R42" s="48" t="n"/>
    </row>
    <row r="43">
      <c r="A43" s="48" t="n"/>
      <c r="B43" s="48" t="n"/>
      <c r="C43" s="48" t="n"/>
      <c r="D43" s="48" t="n"/>
      <c r="E43" s="48" t="n"/>
      <c r="F43" s="48" t="n"/>
      <c r="G43" s="48" t="n"/>
      <c r="H43" s="48" t="n"/>
      <c r="I43" s="48" t="n"/>
      <c r="J43" s="48" t="n"/>
      <c r="K43" s="48" t="n"/>
      <c r="L43" s="48" t="n"/>
      <c r="M43" s="48" t="n"/>
      <c r="N43" s="48" t="n"/>
      <c r="O43" s="48" t="n"/>
      <c r="P43" s="48" t="n"/>
      <c r="Q43" s="48" t="n"/>
      <c r="R43" s="48" t="n"/>
    </row>
    <row r="44">
      <c r="A44" s="48" t="n"/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  <c r="P44" s="48" t="n"/>
      <c r="Q44" s="48" t="n"/>
      <c r="R44" s="48" t="n"/>
    </row>
    <row r="45">
      <c r="A45" s="48" t="n"/>
      <c r="B45" s="48" t="n"/>
      <c r="C45" s="48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 t="n"/>
      <c r="P45" s="48" t="n"/>
      <c r="Q45" s="48" t="n"/>
      <c r="R45" s="48" t="n"/>
    </row>
    <row r="46">
      <c r="A46" s="48" t="n"/>
      <c r="B46" s="48" t="n"/>
      <c r="C46" s="48" t="n"/>
      <c r="D46" s="48" t="n"/>
      <c r="E46" s="48" t="n"/>
      <c r="F46" s="48" t="n"/>
      <c r="G46" s="48" t="n"/>
      <c r="H46" s="48" t="n"/>
      <c r="I46" s="48" t="n"/>
      <c r="J46" s="48" t="n"/>
      <c r="K46" s="48" t="n"/>
      <c r="L46" s="48" t="n"/>
      <c r="M46" s="48" t="n"/>
      <c r="N46" s="48" t="n"/>
      <c r="O46" s="48" t="n"/>
      <c r="P46" s="48" t="n"/>
      <c r="Q46" s="48" t="n"/>
      <c r="R46" s="48" t="n"/>
    </row>
    <row r="47">
      <c r="A47" s="48" t="n"/>
      <c r="B47" s="48" t="n"/>
      <c r="C47" s="48" t="n"/>
      <c r="D47" s="48" t="n"/>
      <c r="E47" s="48" t="n"/>
      <c r="F47" s="48" t="n"/>
      <c r="G47" s="48" t="n"/>
      <c r="H47" s="48" t="n"/>
      <c r="I47" s="48" t="n"/>
      <c r="J47" s="48" t="n"/>
      <c r="K47" s="48" t="n"/>
      <c r="L47" s="48" t="n"/>
      <c r="M47" s="48" t="n"/>
      <c r="N47" s="48" t="n"/>
      <c r="O47" s="48" t="n"/>
      <c r="P47" s="48" t="n"/>
      <c r="Q47" s="48" t="n"/>
      <c r="R47" s="48" t="n"/>
    </row>
    <row r="48">
      <c r="A48" s="48" t="n"/>
      <c r="B48" s="48" t="n"/>
      <c r="C48" s="48" t="n"/>
      <c r="D48" s="48" t="n"/>
      <c r="E48" s="48" t="n"/>
      <c r="F48" s="48" t="n"/>
      <c r="G48" s="48" t="n"/>
      <c r="H48" s="48" t="n"/>
      <c r="I48" s="48" t="n"/>
      <c r="J48" s="48" t="n"/>
      <c r="K48" s="48" t="n"/>
      <c r="L48" s="48" t="n"/>
      <c r="M48" s="48" t="n"/>
      <c r="N48" s="48" t="n"/>
      <c r="O48" s="48" t="n"/>
      <c r="P48" s="48" t="n"/>
      <c r="Q48" s="48" t="n"/>
      <c r="R48" s="48" t="n"/>
    </row>
    <row r="49">
      <c r="A49" s="48" t="n"/>
      <c r="B49" s="48" t="n"/>
      <c r="C49" s="48" t="n"/>
      <c r="D49" s="48" t="n"/>
      <c r="E49" s="48" t="n"/>
      <c r="F49" s="48" t="n"/>
      <c r="G49" s="48" t="n"/>
      <c r="H49" s="48" t="n"/>
      <c r="I49" s="48" t="n"/>
      <c r="J49" s="48" t="n"/>
      <c r="K49" s="48" t="n"/>
      <c r="L49" s="48" t="n"/>
      <c r="M49" s="48" t="n"/>
      <c r="N49" s="48" t="n"/>
      <c r="O49" s="48" t="n"/>
      <c r="P49" s="48" t="n"/>
      <c r="Q49" s="48" t="n"/>
      <c r="R49" s="48" t="n"/>
    </row>
    <row r="50">
      <c r="A50" s="48" t="n"/>
      <c r="B50" s="48" t="n"/>
      <c r="C50" s="48" t="n"/>
      <c r="D50" s="48" t="n"/>
      <c r="E50" s="48" t="n"/>
      <c r="F50" s="48" t="n"/>
      <c r="G50" s="48" t="n"/>
      <c r="H50" s="48" t="n"/>
      <c r="I50" s="48" t="n"/>
      <c r="J50" s="48" t="n"/>
      <c r="K50" s="48" t="n"/>
      <c r="L50" s="48" t="n"/>
      <c r="M50" s="48" t="n"/>
      <c r="N50" s="48" t="n"/>
      <c r="O50" s="48" t="n"/>
      <c r="P50" s="48" t="n"/>
      <c r="Q50" s="48" t="n"/>
      <c r="R50" s="48" t="n"/>
    </row>
    <row r="51">
      <c r="A51" s="48" t="n"/>
      <c r="B51" s="48" t="n"/>
      <c r="C51" s="48" t="n"/>
      <c r="D51" s="48" t="n"/>
      <c r="E51" s="48" t="n"/>
      <c r="F51" s="48" t="n"/>
      <c r="G51" s="48" t="n"/>
      <c r="H51" s="48" t="n"/>
      <c r="I51" s="48" t="n"/>
      <c r="J51" s="48" t="n"/>
      <c r="K51" s="48" t="n"/>
      <c r="L51" s="48" t="n"/>
      <c r="M51" s="48" t="n"/>
      <c r="N51" s="48" t="n"/>
      <c r="O51" s="48" t="n"/>
      <c r="P51" s="48" t="n"/>
      <c r="Q51" s="48" t="n"/>
      <c r="R51" s="48" t="n"/>
    </row>
    <row r="52">
      <c r="A52" s="48" t="n"/>
      <c r="B52" s="48" t="n"/>
      <c r="C52" s="48" t="n"/>
      <c r="D52" s="48" t="n"/>
      <c r="E52" s="48" t="n"/>
      <c r="F52" s="48" t="n"/>
      <c r="G52" s="48" t="n"/>
      <c r="H52" s="48" t="n"/>
      <c r="I52" s="48" t="n"/>
      <c r="J52" s="48" t="n"/>
      <c r="K52" s="48" t="n"/>
      <c r="L52" s="48" t="n"/>
      <c r="M52" s="48" t="n"/>
      <c r="N52" s="48" t="n"/>
      <c r="O52" s="48" t="n"/>
      <c r="P52" s="48" t="n"/>
      <c r="Q52" s="48" t="n"/>
      <c r="R52" s="48" t="n"/>
    </row>
    <row r="53">
      <c r="A53" s="48" t="n"/>
      <c r="B53" s="48" t="n"/>
      <c r="C53" s="48" t="n"/>
      <c r="D53" s="48" t="n"/>
      <c r="E53" s="48" t="n"/>
      <c r="F53" s="48" t="n"/>
      <c r="G53" s="48" t="n"/>
      <c r="H53" s="48" t="n"/>
      <c r="I53" s="48" t="n"/>
      <c r="J53" s="48" t="n"/>
      <c r="K53" s="48" t="n"/>
      <c r="L53" s="48" t="n"/>
      <c r="M53" s="48" t="n"/>
      <c r="N53" s="48" t="n"/>
      <c r="O53" s="48" t="n"/>
      <c r="P53" s="48" t="n"/>
      <c r="Q53" s="48" t="n"/>
      <c r="R53" s="48" t="n"/>
    </row>
    <row r="54">
      <c r="A54" s="48" t="n"/>
      <c r="B54" s="48" t="n"/>
      <c r="C54" s="48" t="n"/>
      <c r="D54" s="48" t="n"/>
      <c r="E54" s="48" t="n"/>
      <c r="F54" s="48" t="n"/>
      <c r="G54" s="48" t="n"/>
      <c r="H54" s="48" t="n"/>
      <c r="I54" s="48" t="n"/>
      <c r="J54" s="48" t="n"/>
      <c r="K54" s="48" t="n"/>
      <c r="L54" s="48" t="n"/>
      <c r="M54" s="48" t="n"/>
      <c r="N54" s="48" t="n"/>
      <c r="O54" s="48" t="n"/>
      <c r="P54" s="48" t="n"/>
      <c r="Q54" s="48" t="n"/>
      <c r="R54" s="48" t="n"/>
    </row>
    <row r="55">
      <c r="A55" s="48" t="n"/>
      <c r="B55" s="48" t="n"/>
      <c r="C55" s="48" t="n"/>
      <c r="D55" s="48" t="n"/>
      <c r="E55" s="48" t="n"/>
      <c r="F55" s="48" t="n"/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 t="n"/>
      <c r="P55" s="48" t="n"/>
      <c r="Q55" s="48" t="n"/>
      <c r="R55" s="48" t="n"/>
    </row>
    <row r="56">
      <c r="A56" s="48" t="n"/>
      <c r="B56" s="48" t="n"/>
      <c r="C56" s="48" t="n"/>
      <c r="D56" s="48" t="n"/>
      <c r="E56" s="48" t="n"/>
      <c r="F56" s="48" t="n"/>
      <c r="G56" s="48" t="n"/>
      <c r="H56" s="48" t="n"/>
      <c r="I56" s="48" t="n"/>
      <c r="J56" s="48" t="n"/>
      <c r="K56" s="48" t="n"/>
      <c r="L56" s="48" t="n"/>
      <c r="M56" s="48" t="n"/>
      <c r="N56" s="48" t="n"/>
      <c r="O56" s="48" t="n"/>
      <c r="P56" s="48" t="n"/>
      <c r="Q56" s="48" t="n"/>
      <c r="R56" s="48" t="n"/>
    </row>
    <row r="57">
      <c r="A57" s="48" t="n"/>
      <c r="B57" s="48" t="n"/>
      <c r="C57" s="48" t="n"/>
      <c r="D57" s="48" t="n"/>
      <c r="E57" s="48" t="n"/>
      <c r="F57" s="48" t="n"/>
      <c r="G57" s="48" t="n"/>
      <c r="H57" s="48" t="n"/>
      <c r="I57" s="48" t="n"/>
      <c r="J57" s="48" t="n"/>
      <c r="K57" s="48" t="n"/>
      <c r="L57" s="48" t="n"/>
      <c r="M57" s="48" t="n"/>
      <c r="N57" s="48" t="n"/>
      <c r="O57" s="48" t="n"/>
      <c r="P57" s="48" t="n"/>
      <c r="Q57" s="48" t="n"/>
      <c r="R57" s="48" t="n"/>
    </row>
    <row r="58">
      <c r="A58" s="48" t="n"/>
      <c r="B58" s="48" t="n"/>
      <c r="C58" s="48" t="n"/>
      <c r="D58" s="48" t="n"/>
      <c r="E58" s="48" t="n"/>
      <c r="F58" s="48" t="n"/>
      <c r="G58" s="48" t="n"/>
      <c r="H58" s="48" t="n"/>
      <c r="I58" s="48" t="n"/>
      <c r="J58" s="48" t="n"/>
      <c r="K58" s="48" t="n"/>
      <c r="L58" s="48" t="n"/>
      <c r="M58" s="48" t="n"/>
      <c r="N58" s="48" t="n"/>
      <c r="O58" s="48" t="n"/>
      <c r="P58" s="48" t="n"/>
      <c r="Q58" s="48" t="n"/>
      <c r="R58" s="48" t="n"/>
    </row>
    <row r="59">
      <c r="A59" s="48" t="n"/>
      <c r="B59" s="48" t="n"/>
      <c r="C59" s="48" t="n"/>
      <c r="D59" s="48" t="n"/>
      <c r="E59" s="48" t="n"/>
      <c r="F59" s="48" t="n"/>
      <c r="G59" s="48" t="n"/>
      <c r="H59" s="48" t="n"/>
      <c r="I59" s="48" t="n"/>
      <c r="J59" s="48" t="n"/>
      <c r="K59" s="48" t="n"/>
      <c r="L59" s="48" t="n"/>
      <c r="M59" s="48" t="n"/>
      <c r="N59" s="48" t="n"/>
      <c r="O59" s="48" t="n"/>
      <c r="P59" s="48" t="n"/>
      <c r="Q59" s="48" t="n"/>
      <c r="R59" s="48" t="n"/>
    </row>
    <row r="60">
      <c r="A60" s="48" t="n"/>
      <c r="B60" s="48" t="n"/>
      <c r="C60" s="48" t="n"/>
      <c r="D60" s="48" t="n"/>
      <c r="E60" s="48" t="n"/>
      <c r="F60" s="48" t="n"/>
      <c r="G60" s="48" t="n"/>
      <c r="H60" s="48" t="n"/>
      <c r="I60" s="48" t="n"/>
      <c r="J60" s="48" t="n"/>
      <c r="K60" s="48" t="n"/>
      <c r="L60" s="48" t="n"/>
      <c r="M60" s="48" t="n"/>
      <c r="N60" s="48" t="n"/>
      <c r="O60" s="48" t="n"/>
      <c r="P60" s="48" t="n"/>
      <c r="Q60" s="48" t="n"/>
      <c r="R60" s="48" t="n"/>
    </row>
  </sheetData>
  <mergeCells count="2">
    <mergeCell ref="C2:R2"/>
    <mergeCell ref="C3:R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1E293B"/>
    <outlinePr summaryBelow="1" summaryRight="1"/>
    <pageSetUpPr/>
  </sheetPr>
  <dimension ref="A1:Q22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10" defaultColWidth="8.83203125" defaultRowHeight="14"/>
  <cols>
    <col width="2.5" customWidth="1" min="1" max="2"/>
    <col width="38" customWidth="1" min="3" max="3"/>
    <col width="43" customWidth="1" min="4" max="4"/>
    <col width="15" customWidth="1" min="5" max="17"/>
  </cols>
  <sheetData>
    <row r="1">
      <c r="A1" s="48" t="n"/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  <c r="O1" s="48" t="n"/>
      <c r="P1" s="48" t="n"/>
      <c r="Q1" s="48" t="n"/>
    </row>
    <row r="2" ht="30" customHeight="1">
      <c r="A2" s="48" t="n"/>
      <c r="B2" s="48" t="n"/>
      <c r="C2" s="53" t="inlineStr">
        <is>
          <t>Forecast und Plan 2026</t>
        </is>
      </c>
      <c r="D2" s="60" t="n"/>
      <c r="E2" s="60" t="n"/>
      <c r="F2" s="60" t="n"/>
      <c r="G2" s="60" t="n"/>
      <c r="H2" s="60" t="n"/>
      <c r="I2" s="60" t="n"/>
      <c r="J2" s="60" t="n"/>
      <c r="K2" s="60" t="n"/>
      <c r="L2" s="60" t="n"/>
      <c r="M2" s="60" t="n"/>
      <c r="N2" s="60" t="n"/>
      <c r="O2" s="60" t="n"/>
      <c r="P2" s="60" t="n"/>
      <c r="Q2" s="60" t="n"/>
    </row>
    <row r="3" ht="32" customHeight="1">
      <c r="A3" s="48" t="n"/>
      <c r="B3" s="48" t="n"/>
      <c r="C3" s="54" t="inlineStr">
        <is>
          <t>Januar–August Ist, September–Dezember Forecast. Monatsänderungen werden aus FC Eingabe übernommen.</t>
        </is>
      </c>
    </row>
    <row r="4">
      <c r="A4" s="48" t="n"/>
      <c r="B4" s="48" t="n"/>
      <c r="C4" s="48" t="n"/>
      <c r="D4" s="48" t="n"/>
      <c r="E4" s="48" t="n"/>
      <c r="F4" s="48" t="n"/>
      <c r="G4" s="48" t="n"/>
      <c r="H4" s="48" t="n"/>
      <c r="I4" s="48" t="n"/>
      <c r="J4" s="48" t="n"/>
      <c r="K4" s="48" t="n"/>
      <c r="L4" s="48" t="n"/>
      <c r="M4" s="48" t="n"/>
      <c r="N4" s="48" t="n"/>
      <c r="O4" s="48" t="n"/>
      <c r="P4" s="48" t="n"/>
      <c r="Q4" s="48" t="n"/>
    </row>
    <row r="5">
      <c r="A5" s="48" t="n"/>
      <c r="B5" s="48" t="n"/>
      <c r="C5" s="48" t="n"/>
      <c r="D5" s="48" t="n"/>
      <c r="E5" s="48" t="n"/>
      <c r="F5" s="48" t="n"/>
      <c r="G5" s="48" t="n"/>
      <c r="H5" s="48" t="n"/>
      <c r="I5" s="48" t="n"/>
      <c r="J5" s="48" t="n"/>
      <c r="K5" s="48" t="n"/>
      <c r="L5" s="48" t="n"/>
      <c r="M5" s="48" t="n"/>
      <c r="N5" s="48" t="n"/>
      <c r="O5" s="48" t="n"/>
      <c r="P5" s="48" t="n"/>
      <c r="Q5" s="48" t="n"/>
    </row>
    <row r="6" ht="34" customHeight="1">
      <c r="A6" s="48" t="n"/>
      <c r="B6" s="48" t="n"/>
      <c r="C6" s="3" t="inlineStr">
        <is>
          <t>Monat</t>
        </is>
      </c>
      <c r="D6" s="3" t="inlineStr">
        <is>
          <t>Art</t>
        </is>
      </c>
      <c r="E6" s="3" t="inlineStr">
        <is>
          <t>Umsatz Basis</t>
        </is>
      </c>
      <c r="F6" s="3" t="inlineStr">
        <is>
          <t>Bestand Basis</t>
        </is>
      </c>
      <c r="G6" s="3" t="inlineStr">
        <is>
          <t>Δ Umsatz</t>
        </is>
      </c>
      <c r="H6" s="3" t="inlineStr">
        <is>
          <t>Δ Bestand</t>
        </is>
      </c>
      <c r="I6" s="3" t="inlineStr">
        <is>
          <t>Gesamtleistung</t>
        </is>
      </c>
      <c r="J6" s="3" t="inlineStr">
        <is>
          <t>EBITDA Basis</t>
        </is>
      </c>
      <c r="K6" s="3" t="inlineStr">
        <is>
          <t>Δ Kosten</t>
        </is>
      </c>
      <c r="L6" s="3" t="inlineStr">
        <is>
          <t>EBITDA aktiv</t>
        </is>
      </c>
      <c r="M6" s="3" t="inlineStr">
        <is>
          <t>GL Plan</t>
        </is>
      </c>
      <c r="N6" s="3" t="inlineStr">
        <is>
          <t>EBITDA Plan</t>
        </is>
      </c>
      <c r="O6" s="3" t="inlineStr">
        <is>
          <t>Δ EBITDA Plan</t>
        </is>
      </c>
      <c r="P6" s="3" t="inlineStr">
        <is>
          <t>Marge</t>
        </is>
      </c>
      <c r="Q6" s="48" t="n"/>
    </row>
    <row r="7">
      <c r="A7" s="48" t="n"/>
      <c r="B7" s="48" t="n"/>
      <c r="C7" s="48" t="n">
        <v>1</v>
      </c>
      <c r="D7" s="48">
        <f>IF(C7&lt;=Steuerung!$F$8,"IST","FC")</f>
        <v/>
      </c>
      <c r="E7" s="17">
        <f>IF(AND(C7&lt;=Steuerung!$F$8,COUNTIFS(TVFImportMonate[Jahr],Steuerung!$F$6,TVFImportMonate[Monat],1)&gt;0),GuV!F7,SUMIFS('D Finanzen'!$E$278:$E$301,'D Finanzen'!$H$278:$H$301,Steuerung!$F$6,'D Finanzen'!$A$278:$A$301,C7))</f>
        <v/>
      </c>
      <c r="F7" s="17">
        <f>IF(AND(C7&lt;=Steuerung!$F$8,COUNTIFS(TVFImportMonate[Jahr],Steuerung!$F$6,TVFImportMonate[Monat],1)&gt;0),GuV!F8,SUMIFS('D Finanzen'!$F$278:$F$301,'D Finanzen'!$H$278:$H$301,Steuerung!$F$6,'D Finanzen'!$A$278:$A$301,C7))</f>
        <v/>
      </c>
      <c r="G7" s="17">
        <f>SUMIFS('FC Eingabe'!$G$7:$G$506,'FC Eingabe'!$C$7:$C$506,Steuerung!$F$6,'FC Eingabe'!$D$7:$D$506,C7,'FC Eingabe'!$K$7:$K$506,"Wirksam")</f>
        <v/>
      </c>
      <c r="H7" s="17">
        <f>SUMIFS('FC Eingabe'!$H$7:$H$506,'FC Eingabe'!$C$7:$C$506,Steuerung!$F$6,'FC Eingabe'!$D$7:$D$506,C7,'FC Eingabe'!$K$7:$K$506,"Wirksam")</f>
        <v/>
      </c>
      <c r="I7" s="17">
        <f>SUM(E7:H7)</f>
        <v/>
      </c>
      <c r="J7" s="17">
        <f>IF(AND(C7&lt;=Steuerung!$F$8,COUNTIFS(TVFImportMonate[Jahr],Steuerung!$F$6,TVFImportMonate[Monat],1)&gt;0),GuV!F20,SUMIFS('D Finanzen'!$G$22:$G$33,'D Finanzen'!$A$22:$A$33,Steuerung!$F$6,'D Finanzen'!$B$22:$B$33,C7))</f>
        <v/>
      </c>
      <c r="K7" s="17">
        <f>SUMIFS('FC Eingabe'!$I$7:$I$506,'FC Eingabe'!$C$7:$C$506,Steuerung!$F$6,'FC Eingabe'!$D$7:$D$506,C7,'FC Eingabe'!$K$7:$K$506,"Wirksam")</f>
        <v/>
      </c>
      <c r="L7" s="17">
        <f>J7+G7+H7-K7</f>
        <v/>
      </c>
      <c r="M7" s="17">
        <f>SUMIFS('D Finanzen'!$D$182:$D$193,'D Finanzen'!$A$182:$A$193,Steuerung!$F$6,'D Finanzen'!$B$182:$B$193,C7)</f>
        <v/>
      </c>
      <c r="N7" s="17">
        <f>SUMIFS('D Finanzen'!$G$182:$G$193,'D Finanzen'!$A$182:$A$193,Steuerung!$F$6,'D Finanzen'!$B$182:$B$193,C7)</f>
        <v/>
      </c>
      <c r="O7" s="17">
        <f>L7-N7</f>
        <v/>
      </c>
      <c r="P7" s="18">
        <f>IF(I7=0,"n.a.",L7/I7)</f>
        <v/>
      </c>
      <c r="Q7" s="48" t="n"/>
    </row>
    <row r="8">
      <c r="A8" s="48" t="n"/>
      <c r="B8" s="48" t="n"/>
      <c r="C8" s="48" t="n">
        <v>2</v>
      </c>
      <c r="D8" s="48">
        <f>IF(C8&lt;=Steuerung!$F$8,"IST","FC")</f>
        <v/>
      </c>
      <c r="E8" s="17">
        <f>IF(AND(C8&lt;=Steuerung!$F$8,COUNTIFS(TVFImportMonate[Jahr],Steuerung!$F$6,TVFImportMonate[Monat],2)&gt;0),GuV!G7,SUMIFS('D Finanzen'!$E$278:$E$301,'D Finanzen'!$H$278:$H$301,Steuerung!$F$6,'D Finanzen'!$A$278:$A$301,C8))</f>
        <v/>
      </c>
      <c r="F8" s="17">
        <f>IF(AND(C8&lt;=Steuerung!$F$8,COUNTIFS(TVFImportMonate[Jahr],Steuerung!$F$6,TVFImportMonate[Monat],2)&gt;0),GuV!G8,SUMIFS('D Finanzen'!$F$278:$F$301,'D Finanzen'!$H$278:$H$301,Steuerung!$F$6,'D Finanzen'!$A$278:$A$301,C8))</f>
        <v/>
      </c>
      <c r="G8" s="17">
        <f>SUMIFS('FC Eingabe'!$G$7:$G$506,'FC Eingabe'!$C$7:$C$506,Steuerung!$F$6,'FC Eingabe'!$D$7:$D$506,C8,'FC Eingabe'!$K$7:$K$506,"Wirksam")</f>
        <v/>
      </c>
      <c r="H8" s="17">
        <f>SUMIFS('FC Eingabe'!$H$7:$H$506,'FC Eingabe'!$C$7:$C$506,Steuerung!$F$6,'FC Eingabe'!$D$7:$D$506,C8,'FC Eingabe'!$K$7:$K$506,"Wirksam")</f>
        <v/>
      </c>
      <c r="I8" s="17">
        <f>SUM(E8:H8)</f>
        <v/>
      </c>
      <c r="J8" s="17">
        <f>IF(AND(C8&lt;=Steuerung!$F$8,COUNTIFS(TVFImportMonate[Jahr],Steuerung!$F$6,TVFImportMonate[Monat],2)&gt;0),GuV!G20,SUMIFS('D Finanzen'!$G$22:$G$33,'D Finanzen'!$A$22:$A$33,Steuerung!$F$6,'D Finanzen'!$B$22:$B$33,C8))</f>
        <v/>
      </c>
      <c r="K8" s="17">
        <f>SUMIFS('FC Eingabe'!$I$7:$I$506,'FC Eingabe'!$C$7:$C$506,Steuerung!$F$6,'FC Eingabe'!$D$7:$D$506,C8,'FC Eingabe'!$K$7:$K$506,"Wirksam")</f>
        <v/>
      </c>
      <c r="L8" s="17">
        <f>J8+G8+H8-K8</f>
        <v/>
      </c>
      <c r="M8" s="17">
        <f>SUMIFS('D Finanzen'!$D$182:$D$193,'D Finanzen'!$A$182:$A$193,Steuerung!$F$6,'D Finanzen'!$B$182:$B$193,C8)</f>
        <v/>
      </c>
      <c r="N8" s="17">
        <f>SUMIFS('D Finanzen'!$G$182:$G$193,'D Finanzen'!$A$182:$A$193,Steuerung!$F$6,'D Finanzen'!$B$182:$B$193,C8)</f>
        <v/>
      </c>
      <c r="O8" s="17">
        <f>L8-N8</f>
        <v/>
      </c>
      <c r="P8" s="18">
        <f>IF(I8=0,"n.a.",L8/I8)</f>
        <v/>
      </c>
      <c r="Q8" s="48" t="n"/>
    </row>
    <row r="9">
      <c r="A9" s="48" t="n"/>
      <c r="B9" s="48" t="n"/>
      <c r="C9" s="48" t="n">
        <v>3</v>
      </c>
      <c r="D9" s="48">
        <f>IF(C9&lt;=Steuerung!$F$8,"IST","FC")</f>
        <v/>
      </c>
      <c r="E9" s="17">
        <f>IF(AND(C9&lt;=Steuerung!$F$8,COUNTIFS(TVFImportMonate[Jahr],Steuerung!$F$6,TVFImportMonate[Monat],3)&gt;0),GuV!H7,SUMIFS('D Finanzen'!$E$278:$E$301,'D Finanzen'!$H$278:$H$301,Steuerung!$F$6,'D Finanzen'!$A$278:$A$301,C9))</f>
        <v/>
      </c>
      <c r="F9" s="17">
        <f>IF(AND(C9&lt;=Steuerung!$F$8,COUNTIFS(TVFImportMonate[Jahr],Steuerung!$F$6,TVFImportMonate[Monat],3)&gt;0),GuV!H8,SUMIFS('D Finanzen'!$F$278:$F$301,'D Finanzen'!$H$278:$H$301,Steuerung!$F$6,'D Finanzen'!$A$278:$A$301,C9))</f>
        <v/>
      </c>
      <c r="G9" s="17">
        <f>SUMIFS('FC Eingabe'!$G$7:$G$506,'FC Eingabe'!$C$7:$C$506,Steuerung!$F$6,'FC Eingabe'!$D$7:$D$506,C9,'FC Eingabe'!$K$7:$K$506,"Wirksam")</f>
        <v/>
      </c>
      <c r="H9" s="17">
        <f>SUMIFS('FC Eingabe'!$H$7:$H$506,'FC Eingabe'!$C$7:$C$506,Steuerung!$F$6,'FC Eingabe'!$D$7:$D$506,C9,'FC Eingabe'!$K$7:$K$506,"Wirksam")</f>
        <v/>
      </c>
      <c r="I9" s="17">
        <f>SUM(E9:H9)</f>
        <v/>
      </c>
      <c r="J9" s="17">
        <f>IF(AND(C9&lt;=Steuerung!$F$8,COUNTIFS(TVFImportMonate[Jahr],Steuerung!$F$6,TVFImportMonate[Monat],3)&gt;0),GuV!H20,SUMIFS('D Finanzen'!$G$22:$G$33,'D Finanzen'!$A$22:$A$33,Steuerung!$F$6,'D Finanzen'!$B$22:$B$33,C9))</f>
        <v/>
      </c>
      <c r="K9" s="17">
        <f>SUMIFS('FC Eingabe'!$I$7:$I$506,'FC Eingabe'!$C$7:$C$506,Steuerung!$F$6,'FC Eingabe'!$D$7:$D$506,C9,'FC Eingabe'!$K$7:$K$506,"Wirksam")</f>
        <v/>
      </c>
      <c r="L9" s="17">
        <f>J9+G9+H9-K9</f>
        <v/>
      </c>
      <c r="M9" s="17">
        <f>SUMIFS('D Finanzen'!$D$182:$D$193,'D Finanzen'!$A$182:$A$193,Steuerung!$F$6,'D Finanzen'!$B$182:$B$193,C9)</f>
        <v/>
      </c>
      <c r="N9" s="17">
        <f>SUMIFS('D Finanzen'!$G$182:$G$193,'D Finanzen'!$A$182:$A$193,Steuerung!$F$6,'D Finanzen'!$B$182:$B$193,C9)</f>
        <v/>
      </c>
      <c r="O9" s="17">
        <f>L9-N9</f>
        <v/>
      </c>
      <c r="P9" s="18">
        <f>IF(I9=0,"n.a.",L9/I9)</f>
        <v/>
      </c>
      <c r="Q9" s="48" t="n"/>
    </row>
    <row r="10">
      <c r="A10" s="48" t="n"/>
      <c r="B10" s="48" t="n"/>
      <c r="C10" s="48" t="n">
        <v>4</v>
      </c>
      <c r="D10" s="48">
        <f>IF(C10&lt;=Steuerung!$F$8,"IST","FC")</f>
        <v/>
      </c>
      <c r="E10" s="17">
        <f>IF(AND(C10&lt;=Steuerung!$F$8,COUNTIFS(TVFImportMonate[Jahr],Steuerung!$F$6,TVFImportMonate[Monat],4)&gt;0),GuV!I7,SUMIFS('D Finanzen'!$E$278:$E$301,'D Finanzen'!$H$278:$H$301,Steuerung!$F$6,'D Finanzen'!$A$278:$A$301,C10))</f>
        <v/>
      </c>
      <c r="F10" s="17">
        <f>IF(AND(C10&lt;=Steuerung!$F$8,COUNTIFS(TVFImportMonate[Jahr],Steuerung!$F$6,TVFImportMonate[Monat],4)&gt;0),GuV!I8,SUMIFS('D Finanzen'!$F$278:$F$301,'D Finanzen'!$H$278:$H$301,Steuerung!$F$6,'D Finanzen'!$A$278:$A$301,C10))</f>
        <v/>
      </c>
      <c r="G10" s="17">
        <f>SUMIFS('FC Eingabe'!$G$7:$G$506,'FC Eingabe'!$C$7:$C$506,Steuerung!$F$6,'FC Eingabe'!$D$7:$D$506,C10,'FC Eingabe'!$K$7:$K$506,"Wirksam")</f>
        <v/>
      </c>
      <c r="H10" s="17">
        <f>SUMIFS('FC Eingabe'!$H$7:$H$506,'FC Eingabe'!$C$7:$C$506,Steuerung!$F$6,'FC Eingabe'!$D$7:$D$506,C10,'FC Eingabe'!$K$7:$K$506,"Wirksam")</f>
        <v/>
      </c>
      <c r="I10" s="17">
        <f>SUM(E10:H10)</f>
        <v/>
      </c>
      <c r="J10" s="17">
        <f>IF(AND(C10&lt;=Steuerung!$F$8,COUNTIFS(TVFImportMonate[Jahr],Steuerung!$F$6,TVFImportMonate[Monat],4)&gt;0),GuV!I20,SUMIFS('D Finanzen'!$G$22:$G$33,'D Finanzen'!$A$22:$A$33,Steuerung!$F$6,'D Finanzen'!$B$22:$B$33,C10))</f>
        <v/>
      </c>
      <c r="K10" s="17">
        <f>SUMIFS('FC Eingabe'!$I$7:$I$506,'FC Eingabe'!$C$7:$C$506,Steuerung!$F$6,'FC Eingabe'!$D$7:$D$506,C10,'FC Eingabe'!$K$7:$K$506,"Wirksam")</f>
        <v/>
      </c>
      <c r="L10" s="17">
        <f>J10+G10+H10-K10</f>
        <v/>
      </c>
      <c r="M10" s="17">
        <f>SUMIFS('D Finanzen'!$D$182:$D$193,'D Finanzen'!$A$182:$A$193,Steuerung!$F$6,'D Finanzen'!$B$182:$B$193,C10)</f>
        <v/>
      </c>
      <c r="N10" s="17">
        <f>SUMIFS('D Finanzen'!$G$182:$G$193,'D Finanzen'!$A$182:$A$193,Steuerung!$F$6,'D Finanzen'!$B$182:$B$193,C10)</f>
        <v/>
      </c>
      <c r="O10" s="17">
        <f>L10-N10</f>
        <v/>
      </c>
      <c r="P10" s="18">
        <f>IF(I10=0,"n.a.",L10/I10)</f>
        <v/>
      </c>
      <c r="Q10" s="48" t="n"/>
    </row>
    <row r="11">
      <c r="A11" s="48" t="n"/>
      <c r="B11" s="48" t="n"/>
      <c r="C11" s="48" t="n">
        <v>5</v>
      </c>
      <c r="D11" s="48">
        <f>IF(C11&lt;=Steuerung!$F$8,"IST","FC")</f>
        <v/>
      </c>
      <c r="E11" s="17">
        <f>IF(AND(C11&lt;=Steuerung!$F$8,COUNTIFS(TVFImportMonate[Jahr],Steuerung!$F$6,TVFImportMonate[Monat],5)&gt;0),GuV!J7,SUMIFS('D Finanzen'!$E$278:$E$301,'D Finanzen'!$H$278:$H$301,Steuerung!$F$6,'D Finanzen'!$A$278:$A$301,C11))</f>
        <v/>
      </c>
      <c r="F11" s="17">
        <f>IF(AND(C11&lt;=Steuerung!$F$8,COUNTIFS(TVFImportMonate[Jahr],Steuerung!$F$6,TVFImportMonate[Monat],5)&gt;0),GuV!J8,SUMIFS('D Finanzen'!$F$278:$F$301,'D Finanzen'!$H$278:$H$301,Steuerung!$F$6,'D Finanzen'!$A$278:$A$301,C11))</f>
        <v/>
      </c>
      <c r="G11" s="17">
        <f>SUMIFS('FC Eingabe'!$G$7:$G$506,'FC Eingabe'!$C$7:$C$506,Steuerung!$F$6,'FC Eingabe'!$D$7:$D$506,C11,'FC Eingabe'!$K$7:$K$506,"Wirksam")</f>
        <v/>
      </c>
      <c r="H11" s="17">
        <f>SUMIFS('FC Eingabe'!$H$7:$H$506,'FC Eingabe'!$C$7:$C$506,Steuerung!$F$6,'FC Eingabe'!$D$7:$D$506,C11,'FC Eingabe'!$K$7:$K$506,"Wirksam")</f>
        <v/>
      </c>
      <c r="I11" s="17">
        <f>SUM(E11:H11)</f>
        <v/>
      </c>
      <c r="J11" s="17">
        <f>IF(AND(C11&lt;=Steuerung!$F$8,COUNTIFS(TVFImportMonate[Jahr],Steuerung!$F$6,TVFImportMonate[Monat],5)&gt;0),GuV!J20,SUMIFS('D Finanzen'!$G$22:$G$33,'D Finanzen'!$A$22:$A$33,Steuerung!$F$6,'D Finanzen'!$B$22:$B$33,C11))</f>
        <v/>
      </c>
      <c r="K11" s="17">
        <f>SUMIFS('FC Eingabe'!$I$7:$I$506,'FC Eingabe'!$C$7:$C$506,Steuerung!$F$6,'FC Eingabe'!$D$7:$D$506,C11,'FC Eingabe'!$K$7:$K$506,"Wirksam")</f>
        <v/>
      </c>
      <c r="L11" s="17">
        <f>J11+G11+H11-K11</f>
        <v/>
      </c>
      <c r="M11" s="17">
        <f>SUMIFS('D Finanzen'!$D$182:$D$193,'D Finanzen'!$A$182:$A$193,Steuerung!$F$6,'D Finanzen'!$B$182:$B$193,C11)</f>
        <v/>
      </c>
      <c r="N11" s="17">
        <f>SUMIFS('D Finanzen'!$G$182:$G$193,'D Finanzen'!$A$182:$A$193,Steuerung!$F$6,'D Finanzen'!$B$182:$B$193,C11)</f>
        <v/>
      </c>
      <c r="O11" s="17">
        <f>L11-N11</f>
        <v/>
      </c>
      <c r="P11" s="18">
        <f>IF(I11=0,"n.a.",L11/I11)</f>
        <v/>
      </c>
      <c r="Q11" s="48" t="n"/>
    </row>
    <row r="12">
      <c r="A12" s="48" t="n"/>
      <c r="B12" s="48" t="n"/>
      <c r="C12" s="48" t="n">
        <v>6</v>
      </c>
      <c r="D12" s="48">
        <f>IF(C12&lt;=Steuerung!$F$8,"IST","FC")</f>
        <v/>
      </c>
      <c r="E12" s="17">
        <f>IF(AND(C12&lt;=Steuerung!$F$8,COUNTIFS(TVFImportMonate[Jahr],Steuerung!$F$6,TVFImportMonate[Monat],6)&gt;0),GuV!K7,SUMIFS('D Finanzen'!$E$278:$E$301,'D Finanzen'!$H$278:$H$301,Steuerung!$F$6,'D Finanzen'!$A$278:$A$301,C12))</f>
        <v/>
      </c>
      <c r="F12" s="17">
        <f>IF(AND(C12&lt;=Steuerung!$F$8,COUNTIFS(TVFImportMonate[Jahr],Steuerung!$F$6,TVFImportMonate[Monat],6)&gt;0),GuV!K8,SUMIFS('D Finanzen'!$F$278:$F$301,'D Finanzen'!$H$278:$H$301,Steuerung!$F$6,'D Finanzen'!$A$278:$A$301,C12))</f>
        <v/>
      </c>
      <c r="G12" s="17">
        <f>SUMIFS('FC Eingabe'!$G$7:$G$506,'FC Eingabe'!$C$7:$C$506,Steuerung!$F$6,'FC Eingabe'!$D$7:$D$506,C12,'FC Eingabe'!$K$7:$K$506,"Wirksam")</f>
        <v/>
      </c>
      <c r="H12" s="17">
        <f>SUMIFS('FC Eingabe'!$H$7:$H$506,'FC Eingabe'!$C$7:$C$506,Steuerung!$F$6,'FC Eingabe'!$D$7:$D$506,C12,'FC Eingabe'!$K$7:$K$506,"Wirksam")</f>
        <v/>
      </c>
      <c r="I12" s="17">
        <f>SUM(E12:H12)</f>
        <v/>
      </c>
      <c r="J12" s="17">
        <f>IF(AND(C12&lt;=Steuerung!$F$8,COUNTIFS(TVFImportMonate[Jahr],Steuerung!$F$6,TVFImportMonate[Monat],6)&gt;0),GuV!K20,SUMIFS('D Finanzen'!$G$22:$G$33,'D Finanzen'!$A$22:$A$33,Steuerung!$F$6,'D Finanzen'!$B$22:$B$33,C12))</f>
        <v/>
      </c>
      <c r="K12" s="17">
        <f>SUMIFS('FC Eingabe'!$I$7:$I$506,'FC Eingabe'!$C$7:$C$506,Steuerung!$F$6,'FC Eingabe'!$D$7:$D$506,C12,'FC Eingabe'!$K$7:$K$506,"Wirksam")</f>
        <v/>
      </c>
      <c r="L12" s="17">
        <f>J12+G12+H12-K12</f>
        <v/>
      </c>
      <c r="M12" s="17">
        <f>SUMIFS('D Finanzen'!$D$182:$D$193,'D Finanzen'!$A$182:$A$193,Steuerung!$F$6,'D Finanzen'!$B$182:$B$193,C12)</f>
        <v/>
      </c>
      <c r="N12" s="17">
        <f>SUMIFS('D Finanzen'!$G$182:$G$193,'D Finanzen'!$A$182:$A$193,Steuerung!$F$6,'D Finanzen'!$B$182:$B$193,C12)</f>
        <v/>
      </c>
      <c r="O12" s="17">
        <f>L12-N12</f>
        <v/>
      </c>
      <c r="P12" s="18">
        <f>IF(I12=0,"n.a.",L12/I12)</f>
        <v/>
      </c>
      <c r="Q12" s="48" t="n"/>
    </row>
    <row r="13">
      <c r="A13" s="48" t="n"/>
      <c r="B13" s="48" t="n"/>
      <c r="C13" s="48" t="n">
        <v>7</v>
      </c>
      <c r="D13" s="48">
        <f>IF(C13&lt;=Steuerung!$F$8,"IST","FC")</f>
        <v/>
      </c>
      <c r="E13" s="17">
        <f>IF(AND(C13&lt;=Steuerung!$F$8,COUNTIFS(TVFImportMonate[Jahr],Steuerung!$F$6,TVFImportMonate[Monat],7)&gt;0),GuV!L7,SUMIFS('D Finanzen'!$E$278:$E$301,'D Finanzen'!$H$278:$H$301,Steuerung!$F$6,'D Finanzen'!$A$278:$A$301,C13))</f>
        <v/>
      </c>
      <c r="F13" s="17">
        <f>IF(AND(C13&lt;=Steuerung!$F$8,COUNTIFS(TVFImportMonate[Jahr],Steuerung!$F$6,TVFImportMonate[Monat],7)&gt;0),GuV!L8,SUMIFS('D Finanzen'!$F$278:$F$301,'D Finanzen'!$H$278:$H$301,Steuerung!$F$6,'D Finanzen'!$A$278:$A$301,C13))</f>
        <v/>
      </c>
      <c r="G13" s="17">
        <f>SUMIFS('FC Eingabe'!$G$7:$G$506,'FC Eingabe'!$C$7:$C$506,Steuerung!$F$6,'FC Eingabe'!$D$7:$D$506,C13,'FC Eingabe'!$K$7:$K$506,"Wirksam")</f>
        <v/>
      </c>
      <c r="H13" s="17">
        <f>SUMIFS('FC Eingabe'!$H$7:$H$506,'FC Eingabe'!$C$7:$C$506,Steuerung!$F$6,'FC Eingabe'!$D$7:$D$506,C13,'FC Eingabe'!$K$7:$K$506,"Wirksam")</f>
        <v/>
      </c>
      <c r="I13" s="17">
        <f>SUM(E13:H13)</f>
        <v/>
      </c>
      <c r="J13" s="17">
        <f>IF(AND(C13&lt;=Steuerung!$F$8,COUNTIFS(TVFImportMonate[Jahr],Steuerung!$F$6,TVFImportMonate[Monat],7)&gt;0),GuV!L20,SUMIFS('D Finanzen'!$G$22:$G$33,'D Finanzen'!$A$22:$A$33,Steuerung!$F$6,'D Finanzen'!$B$22:$B$33,C13))</f>
        <v/>
      </c>
      <c r="K13" s="17">
        <f>SUMIFS('FC Eingabe'!$I$7:$I$506,'FC Eingabe'!$C$7:$C$506,Steuerung!$F$6,'FC Eingabe'!$D$7:$D$506,C13,'FC Eingabe'!$K$7:$K$506,"Wirksam")</f>
        <v/>
      </c>
      <c r="L13" s="17">
        <f>J13+G13+H13-K13</f>
        <v/>
      </c>
      <c r="M13" s="17">
        <f>SUMIFS('D Finanzen'!$D$182:$D$193,'D Finanzen'!$A$182:$A$193,Steuerung!$F$6,'D Finanzen'!$B$182:$B$193,C13)</f>
        <v/>
      </c>
      <c r="N13" s="17">
        <f>SUMIFS('D Finanzen'!$G$182:$G$193,'D Finanzen'!$A$182:$A$193,Steuerung!$F$6,'D Finanzen'!$B$182:$B$193,C13)</f>
        <v/>
      </c>
      <c r="O13" s="17">
        <f>L13-N13</f>
        <v/>
      </c>
      <c r="P13" s="18">
        <f>IF(I13=0,"n.a.",L13/I13)</f>
        <v/>
      </c>
      <c r="Q13" s="48" t="n"/>
    </row>
    <row r="14">
      <c r="A14" s="48" t="n"/>
      <c r="B14" s="48" t="n"/>
      <c r="C14" s="48" t="n">
        <v>8</v>
      </c>
      <c r="D14" s="48">
        <f>IF(C14&lt;=Steuerung!$F$8,"IST","FC")</f>
        <v/>
      </c>
      <c r="E14" s="17">
        <f>IF(AND(C14&lt;=Steuerung!$F$8,COUNTIFS(TVFImportMonate[Jahr],Steuerung!$F$6,TVFImportMonate[Monat],8)&gt;0),GuV!M7,SUMIFS('D Finanzen'!$E$278:$E$301,'D Finanzen'!$H$278:$H$301,Steuerung!$F$6,'D Finanzen'!$A$278:$A$301,C14))</f>
        <v/>
      </c>
      <c r="F14" s="17">
        <f>IF(AND(C14&lt;=Steuerung!$F$8,COUNTIFS(TVFImportMonate[Jahr],Steuerung!$F$6,TVFImportMonate[Monat],8)&gt;0),GuV!M8,SUMIFS('D Finanzen'!$F$278:$F$301,'D Finanzen'!$H$278:$H$301,Steuerung!$F$6,'D Finanzen'!$A$278:$A$301,C14))</f>
        <v/>
      </c>
      <c r="G14" s="17">
        <f>SUMIFS('FC Eingabe'!$G$7:$G$506,'FC Eingabe'!$C$7:$C$506,Steuerung!$F$6,'FC Eingabe'!$D$7:$D$506,C14,'FC Eingabe'!$K$7:$K$506,"Wirksam")</f>
        <v/>
      </c>
      <c r="H14" s="17">
        <f>SUMIFS('FC Eingabe'!$H$7:$H$506,'FC Eingabe'!$C$7:$C$506,Steuerung!$F$6,'FC Eingabe'!$D$7:$D$506,C14,'FC Eingabe'!$K$7:$K$506,"Wirksam")</f>
        <v/>
      </c>
      <c r="I14" s="17">
        <f>SUM(E14:H14)</f>
        <v/>
      </c>
      <c r="J14" s="17">
        <f>IF(AND(C14&lt;=Steuerung!$F$8,COUNTIFS(TVFImportMonate[Jahr],Steuerung!$F$6,TVFImportMonate[Monat],8)&gt;0),GuV!M20,SUMIFS('D Finanzen'!$G$22:$G$33,'D Finanzen'!$A$22:$A$33,Steuerung!$F$6,'D Finanzen'!$B$22:$B$33,C14))</f>
        <v/>
      </c>
      <c r="K14" s="17">
        <f>SUMIFS('FC Eingabe'!$I$7:$I$506,'FC Eingabe'!$C$7:$C$506,Steuerung!$F$6,'FC Eingabe'!$D$7:$D$506,C14,'FC Eingabe'!$K$7:$K$506,"Wirksam")</f>
        <v/>
      </c>
      <c r="L14" s="17">
        <f>J14+G14+H14-K14</f>
        <v/>
      </c>
      <c r="M14" s="17">
        <f>SUMIFS('D Finanzen'!$D$182:$D$193,'D Finanzen'!$A$182:$A$193,Steuerung!$F$6,'D Finanzen'!$B$182:$B$193,C14)</f>
        <v/>
      </c>
      <c r="N14" s="17">
        <f>SUMIFS('D Finanzen'!$G$182:$G$193,'D Finanzen'!$A$182:$A$193,Steuerung!$F$6,'D Finanzen'!$B$182:$B$193,C14)</f>
        <v/>
      </c>
      <c r="O14" s="17">
        <f>L14-N14</f>
        <v/>
      </c>
      <c r="P14" s="18">
        <f>IF(I14=0,"n.a.",L14/I14)</f>
        <v/>
      </c>
      <c r="Q14" s="48" t="n"/>
    </row>
    <row r="15">
      <c r="A15" s="48" t="n"/>
      <c r="B15" s="48" t="n"/>
      <c r="C15" s="48" t="n">
        <v>9</v>
      </c>
      <c r="D15" s="48">
        <f>IF(C15&lt;=Steuerung!$F$8,"IST","FC")</f>
        <v/>
      </c>
      <c r="E15" s="17">
        <f>IF(AND(C15&lt;=Steuerung!$F$8,COUNTIFS(TVFImportMonate[Jahr],Steuerung!$F$6,TVFImportMonate[Monat],9)&gt;0),GuV!N7,SUMIFS('D Finanzen'!$E$278:$E$301,'D Finanzen'!$H$278:$H$301,Steuerung!$F$6,'D Finanzen'!$A$278:$A$301,C15))</f>
        <v/>
      </c>
      <c r="F15" s="17">
        <f>IF(AND(C15&lt;=Steuerung!$F$8,COUNTIFS(TVFImportMonate[Jahr],Steuerung!$F$6,TVFImportMonate[Monat],9)&gt;0),GuV!N8,SUMIFS('D Finanzen'!$F$278:$F$301,'D Finanzen'!$H$278:$H$301,Steuerung!$F$6,'D Finanzen'!$A$278:$A$301,C15))</f>
        <v/>
      </c>
      <c r="G15" s="17">
        <f>SUMIFS('FC Eingabe'!$G$7:$G$506,'FC Eingabe'!$C$7:$C$506,Steuerung!$F$6,'FC Eingabe'!$D$7:$D$506,C15,'FC Eingabe'!$K$7:$K$506,"Wirksam")</f>
        <v/>
      </c>
      <c r="H15" s="17">
        <f>SUMIFS('FC Eingabe'!$H$7:$H$506,'FC Eingabe'!$C$7:$C$506,Steuerung!$F$6,'FC Eingabe'!$D$7:$D$506,C15,'FC Eingabe'!$K$7:$K$506,"Wirksam")</f>
        <v/>
      </c>
      <c r="I15" s="17">
        <f>SUM(E15:H15)</f>
        <v/>
      </c>
      <c r="J15" s="17">
        <f>IF(AND(C15&lt;=Steuerung!$F$8,COUNTIFS(TVFImportMonate[Jahr],Steuerung!$F$6,TVFImportMonate[Monat],9)&gt;0),GuV!N20,SUMIFS('D Finanzen'!$G$22:$G$33,'D Finanzen'!$A$22:$A$33,Steuerung!$F$6,'D Finanzen'!$B$22:$B$33,C15))</f>
        <v/>
      </c>
      <c r="K15" s="17">
        <f>SUMIFS('FC Eingabe'!$I$7:$I$506,'FC Eingabe'!$C$7:$C$506,Steuerung!$F$6,'FC Eingabe'!$D$7:$D$506,C15,'FC Eingabe'!$K$7:$K$506,"Wirksam")</f>
        <v/>
      </c>
      <c r="L15" s="17">
        <f>J15+G15+H15-K15</f>
        <v/>
      </c>
      <c r="M15" s="17">
        <f>SUMIFS('D Finanzen'!$D$182:$D$193,'D Finanzen'!$A$182:$A$193,Steuerung!$F$6,'D Finanzen'!$B$182:$B$193,C15)</f>
        <v/>
      </c>
      <c r="N15" s="17">
        <f>SUMIFS('D Finanzen'!$G$182:$G$193,'D Finanzen'!$A$182:$A$193,Steuerung!$F$6,'D Finanzen'!$B$182:$B$193,C15)</f>
        <v/>
      </c>
      <c r="O15" s="17">
        <f>L15-N15</f>
        <v/>
      </c>
      <c r="P15" s="18">
        <f>IF(I15=0,"n.a.",L15/I15)</f>
        <v/>
      </c>
      <c r="Q15" s="48" t="n"/>
    </row>
    <row r="16">
      <c r="A16" s="48" t="n"/>
      <c r="B16" s="48" t="n"/>
      <c r="C16" s="48" t="n">
        <v>10</v>
      </c>
      <c r="D16" s="48">
        <f>IF(C16&lt;=Steuerung!$F$8,"IST","FC")</f>
        <v/>
      </c>
      <c r="E16" s="17">
        <f>IF(AND(C16&lt;=Steuerung!$F$8,COUNTIFS(TVFImportMonate[Jahr],Steuerung!$F$6,TVFImportMonate[Monat],10)&gt;0),GuV!O7,SUMIFS('D Finanzen'!$E$278:$E$301,'D Finanzen'!$H$278:$H$301,Steuerung!$F$6,'D Finanzen'!$A$278:$A$301,C16))</f>
        <v/>
      </c>
      <c r="F16" s="17">
        <f>IF(AND(C16&lt;=Steuerung!$F$8,COUNTIFS(TVFImportMonate[Jahr],Steuerung!$F$6,TVFImportMonate[Monat],10)&gt;0),GuV!O8,SUMIFS('D Finanzen'!$F$278:$F$301,'D Finanzen'!$H$278:$H$301,Steuerung!$F$6,'D Finanzen'!$A$278:$A$301,C16))</f>
        <v/>
      </c>
      <c r="G16" s="17">
        <f>SUMIFS('FC Eingabe'!$G$7:$G$506,'FC Eingabe'!$C$7:$C$506,Steuerung!$F$6,'FC Eingabe'!$D$7:$D$506,C16,'FC Eingabe'!$K$7:$K$506,"Wirksam")</f>
        <v/>
      </c>
      <c r="H16" s="17">
        <f>SUMIFS('FC Eingabe'!$H$7:$H$506,'FC Eingabe'!$C$7:$C$506,Steuerung!$F$6,'FC Eingabe'!$D$7:$D$506,C16,'FC Eingabe'!$K$7:$K$506,"Wirksam")</f>
        <v/>
      </c>
      <c r="I16" s="17">
        <f>SUM(E16:H16)</f>
        <v/>
      </c>
      <c r="J16" s="17">
        <f>IF(AND(C16&lt;=Steuerung!$F$8,COUNTIFS(TVFImportMonate[Jahr],Steuerung!$F$6,TVFImportMonate[Monat],10)&gt;0),GuV!O20,SUMIFS('D Finanzen'!$G$22:$G$33,'D Finanzen'!$A$22:$A$33,Steuerung!$F$6,'D Finanzen'!$B$22:$B$33,C16))</f>
        <v/>
      </c>
      <c r="K16" s="17">
        <f>SUMIFS('FC Eingabe'!$I$7:$I$506,'FC Eingabe'!$C$7:$C$506,Steuerung!$F$6,'FC Eingabe'!$D$7:$D$506,C16,'FC Eingabe'!$K$7:$K$506,"Wirksam")</f>
        <v/>
      </c>
      <c r="L16" s="17">
        <f>J16+G16+H16-K16</f>
        <v/>
      </c>
      <c r="M16" s="17">
        <f>SUMIFS('D Finanzen'!$D$182:$D$193,'D Finanzen'!$A$182:$A$193,Steuerung!$F$6,'D Finanzen'!$B$182:$B$193,C16)</f>
        <v/>
      </c>
      <c r="N16" s="17">
        <f>SUMIFS('D Finanzen'!$G$182:$G$193,'D Finanzen'!$A$182:$A$193,Steuerung!$F$6,'D Finanzen'!$B$182:$B$193,C16)</f>
        <v/>
      </c>
      <c r="O16" s="17">
        <f>L16-N16</f>
        <v/>
      </c>
      <c r="P16" s="18">
        <f>IF(I16=0,"n.a.",L16/I16)</f>
        <v/>
      </c>
      <c r="Q16" s="48" t="n"/>
    </row>
    <row r="17">
      <c r="A17" s="48" t="n"/>
      <c r="B17" s="48" t="n"/>
      <c r="C17" s="48" t="n">
        <v>11</v>
      </c>
      <c r="D17" s="48">
        <f>IF(C17&lt;=Steuerung!$F$8,"IST","FC")</f>
        <v/>
      </c>
      <c r="E17" s="17">
        <f>IF(AND(C17&lt;=Steuerung!$F$8,COUNTIFS(TVFImportMonate[Jahr],Steuerung!$F$6,TVFImportMonate[Monat],11)&gt;0),GuV!P7,SUMIFS('D Finanzen'!$E$278:$E$301,'D Finanzen'!$H$278:$H$301,Steuerung!$F$6,'D Finanzen'!$A$278:$A$301,C17))</f>
        <v/>
      </c>
      <c r="F17" s="17">
        <f>IF(AND(C17&lt;=Steuerung!$F$8,COUNTIFS(TVFImportMonate[Jahr],Steuerung!$F$6,TVFImportMonate[Monat],11)&gt;0),GuV!P8,SUMIFS('D Finanzen'!$F$278:$F$301,'D Finanzen'!$H$278:$H$301,Steuerung!$F$6,'D Finanzen'!$A$278:$A$301,C17))</f>
        <v/>
      </c>
      <c r="G17" s="17">
        <f>SUMIFS('FC Eingabe'!$G$7:$G$506,'FC Eingabe'!$C$7:$C$506,Steuerung!$F$6,'FC Eingabe'!$D$7:$D$506,C17,'FC Eingabe'!$K$7:$K$506,"Wirksam")</f>
        <v/>
      </c>
      <c r="H17" s="17">
        <f>SUMIFS('FC Eingabe'!$H$7:$H$506,'FC Eingabe'!$C$7:$C$506,Steuerung!$F$6,'FC Eingabe'!$D$7:$D$506,C17,'FC Eingabe'!$K$7:$K$506,"Wirksam")</f>
        <v/>
      </c>
      <c r="I17" s="17">
        <f>SUM(E17:H17)</f>
        <v/>
      </c>
      <c r="J17" s="17">
        <f>IF(AND(C17&lt;=Steuerung!$F$8,COUNTIFS(TVFImportMonate[Jahr],Steuerung!$F$6,TVFImportMonate[Monat],11)&gt;0),GuV!P20,SUMIFS('D Finanzen'!$G$22:$G$33,'D Finanzen'!$A$22:$A$33,Steuerung!$F$6,'D Finanzen'!$B$22:$B$33,C17))</f>
        <v/>
      </c>
      <c r="K17" s="17">
        <f>SUMIFS('FC Eingabe'!$I$7:$I$506,'FC Eingabe'!$C$7:$C$506,Steuerung!$F$6,'FC Eingabe'!$D$7:$D$506,C17,'FC Eingabe'!$K$7:$K$506,"Wirksam")</f>
        <v/>
      </c>
      <c r="L17" s="17">
        <f>J17+G17+H17-K17</f>
        <v/>
      </c>
      <c r="M17" s="17">
        <f>SUMIFS('D Finanzen'!$D$182:$D$193,'D Finanzen'!$A$182:$A$193,Steuerung!$F$6,'D Finanzen'!$B$182:$B$193,C17)</f>
        <v/>
      </c>
      <c r="N17" s="17">
        <f>SUMIFS('D Finanzen'!$G$182:$G$193,'D Finanzen'!$A$182:$A$193,Steuerung!$F$6,'D Finanzen'!$B$182:$B$193,C17)</f>
        <v/>
      </c>
      <c r="O17" s="17">
        <f>L17-N17</f>
        <v/>
      </c>
      <c r="P17" s="18">
        <f>IF(I17=0,"n.a.",L17/I17)</f>
        <v/>
      </c>
      <c r="Q17" s="48" t="n"/>
    </row>
    <row r="18">
      <c r="A18" s="48" t="n"/>
      <c r="B18" s="48" t="n"/>
      <c r="C18" s="48" t="n">
        <v>12</v>
      </c>
      <c r="D18" s="48">
        <f>IF(C18&lt;=Steuerung!$F$8,"IST","FC")</f>
        <v/>
      </c>
      <c r="E18" s="17">
        <f>IF(AND(C18&lt;=Steuerung!$F$8,COUNTIFS(TVFImportMonate[Jahr],Steuerung!$F$6,TVFImportMonate[Monat],12)&gt;0),GuV!Q7,SUMIFS('D Finanzen'!$E$278:$E$301,'D Finanzen'!$H$278:$H$301,Steuerung!$F$6,'D Finanzen'!$A$278:$A$301,C18))</f>
        <v/>
      </c>
      <c r="F18" s="17">
        <f>IF(AND(C18&lt;=Steuerung!$F$8,COUNTIFS(TVFImportMonate[Jahr],Steuerung!$F$6,TVFImportMonate[Monat],12)&gt;0),GuV!Q8,SUMIFS('D Finanzen'!$F$278:$F$301,'D Finanzen'!$H$278:$H$301,Steuerung!$F$6,'D Finanzen'!$A$278:$A$301,C18))</f>
        <v/>
      </c>
      <c r="G18" s="17">
        <f>SUMIFS('FC Eingabe'!$G$7:$G$506,'FC Eingabe'!$C$7:$C$506,Steuerung!$F$6,'FC Eingabe'!$D$7:$D$506,C18,'FC Eingabe'!$K$7:$K$506,"Wirksam")</f>
        <v/>
      </c>
      <c r="H18" s="17">
        <f>SUMIFS('FC Eingabe'!$H$7:$H$506,'FC Eingabe'!$C$7:$C$506,Steuerung!$F$6,'FC Eingabe'!$D$7:$D$506,C18,'FC Eingabe'!$K$7:$K$506,"Wirksam")</f>
        <v/>
      </c>
      <c r="I18" s="17">
        <f>SUM(E18:H18)</f>
        <v/>
      </c>
      <c r="J18" s="17">
        <f>IF(AND(C18&lt;=Steuerung!$F$8,COUNTIFS(TVFImportMonate[Jahr],Steuerung!$F$6,TVFImportMonate[Monat],12)&gt;0),GuV!Q20,SUMIFS('D Finanzen'!$G$22:$G$33,'D Finanzen'!$A$22:$A$33,Steuerung!$F$6,'D Finanzen'!$B$22:$B$33,C18))</f>
        <v/>
      </c>
      <c r="K18" s="17">
        <f>SUMIFS('FC Eingabe'!$I$7:$I$506,'FC Eingabe'!$C$7:$C$506,Steuerung!$F$6,'FC Eingabe'!$D$7:$D$506,C18,'FC Eingabe'!$K$7:$K$506,"Wirksam")</f>
        <v/>
      </c>
      <c r="L18" s="17">
        <f>J18+G18+H18-K18</f>
        <v/>
      </c>
      <c r="M18" s="17">
        <f>SUMIFS('D Finanzen'!$D$182:$D$193,'D Finanzen'!$A$182:$A$193,Steuerung!$F$6,'D Finanzen'!$B$182:$B$193,C18)</f>
        <v/>
      </c>
      <c r="N18" s="17">
        <f>SUMIFS('D Finanzen'!$G$182:$G$193,'D Finanzen'!$A$182:$A$193,Steuerung!$F$6,'D Finanzen'!$B$182:$B$193,C18)</f>
        <v/>
      </c>
      <c r="O18" s="17">
        <f>L18-N18</f>
        <v/>
      </c>
      <c r="P18" s="18">
        <f>IF(I18=0,"n.a.",L18/I18)</f>
        <v/>
      </c>
      <c r="Q18" s="48" t="n"/>
    </row>
    <row r="19">
      <c r="A19" s="48" t="n"/>
      <c r="B19" s="48" t="n"/>
      <c r="C19" s="48" t="n"/>
      <c r="D19" s="48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8" t="n"/>
      <c r="Q19" s="48" t="n"/>
    </row>
    <row r="20" ht="25" customHeight="1">
      <c r="A20" s="48" t="n"/>
      <c r="B20" s="48" t="n"/>
      <c r="C20" s="20" t="inlineStr">
        <is>
          <t>Gesamtjahr</t>
        </is>
      </c>
      <c r="D20" s="20" t="n"/>
      <c r="E20" s="21">
        <f>SUM(E7:E18)</f>
        <v/>
      </c>
      <c r="F20" s="21">
        <f>SUM(F7:F18)</f>
        <v/>
      </c>
      <c r="G20" s="21">
        <f>SUM(G7:G18)</f>
        <v/>
      </c>
      <c r="H20" s="21">
        <f>SUM(H7:H18)</f>
        <v/>
      </c>
      <c r="I20" s="21">
        <f>SUM(I7:I18)</f>
        <v/>
      </c>
      <c r="J20" s="21">
        <f>SUM(J7:J18)</f>
        <v/>
      </c>
      <c r="K20" s="21">
        <f>SUM(K7:K18)</f>
        <v/>
      </c>
      <c r="L20" s="21">
        <f>SUM(L7:L18)</f>
        <v/>
      </c>
      <c r="M20" s="21">
        <f>SUM(M7:M18)</f>
        <v/>
      </c>
      <c r="N20" s="21">
        <f>SUM(N7:N18)</f>
        <v/>
      </c>
      <c r="O20" s="21">
        <f>SUM(O7:O18)</f>
        <v/>
      </c>
      <c r="P20" s="22">
        <f>IF(I20=0,"n.a.",L20/I20)</f>
        <v/>
      </c>
      <c r="Q20" s="48" t="n"/>
    </row>
    <row r="21">
      <c r="A21" s="48" t="n"/>
      <c r="B21" s="48" t="n"/>
      <c r="C21" s="48" t="n"/>
      <c r="D21" s="48" t="n"/>
      <c r="E21" s="48" t="n"/>
      <c r="F21" s="48" t="n"/>
      <c r="G21" s="48" t="n"/>
      <c r="H21" s="48" t="n"/>
      <c r="I21" s="48" t="n"/>
      <c r="J21" s="48" t="n"/>
      <c r="K21" s="48" t="n"/>
      <c r="L21" s="48" t="n"/>
      <c r="M21" s="48" t="n"/>
      <c r="N21" s="48" t="n"/>
      <c r="O21" s="48" t="n"/>
      <c r="P21" s="48" t="n"/>
      <c r="Q21" s="48" t="n"/>
    </row>
    <row r="22">
      <c r="A22" s="48" t="n"/>
      <c r="B22" s="48" t="n"/>
      <c r="C22" s="48" t="inlineStr">
        <is>
          <t>Offene Bewertung</t>
        </is>
      </c>
      <c r="D22" s="48" t="n"/>
      <c r="E22" s="48" t="n"/>
      <c r="F22" s="48" t="n"/>
      <c r="G22" s="48" t="n"/>
      <c r="H22" s="48" t="n"/>
      <c r="I22" s="48" t="n"/>
      <c r="J22" s="48" t="n"/>
      <c r="K22" s="48" t="n"/>
      <c r="L22" s="48">
        <f>'D Finanzen'!F39</f>
        <v/>
      </c>
      <c r="M22" s="48" t="n"/>
      <c r="N22" s="48" t="n"/>
      <c r="O22" s="48" t="n"/>
      <c r="P22" s="48" t="n"/>
      <c r="Q22" s="48" t="n"/>
    </row>
    <row r="23" ht="25" customHeight="1">
      <c r="A23" s="48" t="n"/>
      <c r="B23" s="48" t="n"/>
      <c r="C23" s="20" t="inlineStr">
        <is>
          <t>EBITDA nach offener Bewertung</t>
        </is>
      </c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>
        <f>L20+L22</f>
        <v/>
      </c>
      <c r="M23" s="20" t="n"/>
      <c r="N23" s="20" t="n"/>
      <c r="O23" s="20" t="n"/>
      <c r="P23" s="20" t="n"/>
      <c r="Q23" s="48" t="n"/>
    </row>
    <row r="24">
      <c r="A24" s="48" t="n"/>
      <c r="B24" s="48" t="n"/>
      <c r="C24" s="48" t="n"/>
      <c r="D24" s="48" t="n"/>
      <c r="E24" s="48" t="n"/>
      <c r="F24" s="48" t="n"/>
      <c r="G24" s="48" t="n"/>
      <c r="H24" s="48" t="n"/>
      <c r="I24" s="48" t="n"/>
      <c r="J24" s="48" t="n"/>
      <c r="K24" s="48" t="n"/>
      <c r="L24" s="48" t="n"/>
      <c r="M24" s="48" t="n"/>
      <c r="N24" s="48" t="n"/>
      <c r="O24" s="48" t="n"/>
      <c r="P24" s="48" t="n"/>
      <c r="Q24" s="48" t="n"/>
    </row>
    <row r="25">
      <c r="A25" s="48" t="n"/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48" t="n"/>
      <c r="Q25" s="48" t="n"/>
    </row>
    <row r="26">
      <c r="A26" s="48" t="n"/>
      <c r="B26" s="48" t="n"/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 t="n"/>
      <c r="P26" s="48" t="n"/>
      <c r="Q26" s="48" t="n"/>
    </row>
    <row r="27">
      <c r="A27" s="48" t="n"/>
      <c r="B27" s="48" t="n"/>
      <c r="C27" s="48" t="n"/>
      <c r="D27" s="48" t="n"/>
      <c r="E27" s="48" t="n"/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 t="n"/>
      <c r="P27" s="48" t="n"/>
      <c r="Q27" s="48" t="n"/>
    </row>
    <row r="28">
      <c r="A28" s="48" t="n"/>
      <c r="B28" s="48" t="n"/>
      <c r="C28" s="48" t="n"/>
      <c r="D28" s="48" t="n"/>
      <c r="E28" s="48" t="n"/>
      <c r="F28" s="48" t="n"/>
      <c r="G28" s="48" t="n"/>
      <c r="H28" s="48" t="n"/>
      <c r="I28" s="48" t="n"/>
      <c r="J28" s="48" t="n"/>
      <c r="K28" s="48" t="n"/>
      <c r="L28" s="48" t="n"/>
      <c r="M28" s="48" t="n"/>
      <c r="N28" s="48" t="n"/>
      <c r="O28" s="48" t="n"/>
      <c r="P28" s="48" t="n"/>
      <c r="Q28" s="48" t="n"/>
    </row>
    <row r="29">
      <c r="A29" s="48" t="n"/>
      <c r="B29" s="48" t="n"/>
      <c r="C29" s="48" t="n"/>
      <c r="D29" s="48" t="n"/>
      <c r="E29" s="48" t="n"/>
      <c r="F29" s="48" t="n"/>
      <c r="G29" s="48" t="n"/>
      <c r="H29" s="48" t="n"/>
      <c r="I29" s="48" t="n"/>
      <c r="J29" s="48" t="n"/>
      <c r="K29" s="48" t="n"/>
      <c r="L29" s="48" t="n"/>
      <c r="M29" s="48" t="n"/>
      <c r="N29" s="48" t="n"/>
      <c r="O29" s="48" t="n"/>
      <c r="P29" s="48" t="n"/>
      <c r="Q29" s="48" t="n"/>
    </row>
    <row r="30">
      <c r="A30" s="48" t="n"/>
      <c r="B30" s="48" t="n"/>
      <c r="C30" s="48" t="n"/>
      <c r="D30" s="48" t="n"/>
      <c r="E30" s="48" t="n"/>
      <c r="F30" s="48" t="n"/>
      <c r="G30" s="48" t="n"/>
      <c r="H30" s="48" t="n"/>
      <c r="I30" s="48" t="n"/>
      <c r="J30" s="48" t="n"/>
      <c r="K30" s="48" t="n"/>
      <c r="L30" s="48" t="n"/>
      <c r="M30" s="48" t="n"/>
      <c r="N30" s="48" t="n"/>
      <c r="O30" s="48" t="n"/>
      <c r="P30" s="48" t="n"/>
      <c r="Q30" s="48" t="n"/>
    </row>
    <row r="31">
      <c r="A31" s="48" t="n"/>
      <c r="B31" s="48" t="n"/>
      <c r="C31" s="48" t="n"/>
      <c r="D31" s="48" t="n"/>
      <c r="E31" s="48" t="n"/>
      <c r="F31" s="48" t="n"/>
      <c r="G31" s="48" t="n"/>
      <c r="H31" s="48" t="n"/>
      <c r="I31" s="48" t="n"/>
      <c r="J31" s="48" t="n"/>
      <c r="K31" s="48" t="n"/>
      <c r="L31" s="48" t="n"/>
      <c r="M31" s="48" t="n"/>
      <c r="N31" s="48" t="n"/>
      <c r="O31" s="48" t="n"/>
      <c r="P31" s="48" t="n"/>
      <c r="Q31" s="48" t="n"/>
    </row>
    <row r="32">
      <c r="A32" s="48" t="n"/>
      <c r="B32" s="48" t="n"/>
      <c r="C32" s="48" t="n"/>
      <c r="D32" s="48" t="n"/>
      <c r="E32" s="48" t="n"/>
      <c r="F32" s="48" t="n"/>
      <c r="G32" s="48" t="n"/>
      <c r="H32" s="48" t="n"/>
      <c r="I32" s="48" t="n"/>
      <c r="J32" s="48" t="n"/>
      <c r="K32" s="48" t="n"/>
      <c r="L32" s="48" t="n"/>
      <c r="M32" s="48" t="n"/>
      <c r="N32" s="48" t="n"/>
      <c r="O32" s="48" t="n"/>
      <c r="P32" s="48" t="n"/>
      <c r="Q32" s="48" t="n"/>
    </row>
    <row r="33">
      <c r="A33" s="48" t="n"/>
      <c r="B33" s="48" t="n"/>
      <c r="C33" s="48" t="n"/>
      <c r="D33" s="48" t="n"/>
      <c r="E33" s="48" t="n"/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  <c r="O33" s="48" t="n"/>
      <c r="P33" s="48" t="n"/>
      <c r="Q33" s="48" t="n"/>
    </row>
    <row r="34">
      <c r="A34" s="48" t="n"/>
      <c r="B34" s="48" t="n"/>
      <c r="C34" s="48" t="n"/>
      <c r="D34" s="48" t="n"/>
      <c r="E34" s="48" t="n"/>
      <c r="F34" s="48" t="n"/>
      <c r="G34" s="48" t="n"/>
      <c r="H34" s="48" t="n"/>
      <c r="I34" s="48" t="n"/>
      <c r="J34" s="48" t="n"/>
      <c r="K34" s="48" t="n"/>
      <c r="L34" s="48" t="n"/>
      <c r="M34" s="48" t="n"/>
      <c r="N34" s="48" t="n"/>
      <c r="O34" s="48" t="n"/>
      <c r="P34" s="48" t="n"/>
      <c r="Q34" s="48" t="n"/>
    </row>
    <row r="35">
      <c r="A35" s="48" t="n"/>
      <c r="B35" s="48" t="n"/>
      <c r="C35" s="48" t="n"/>
      <c r="D35" s="48" t="n"/>
      <c r="E35" s="48" t="n"/>
      <c r="F35" s="48" t="n"/>
      <c r="G35" s="48" t="n"/>
      <c r="H35" s="48" t="n"/>
      <c r="I35" s="48" t="n"/>
      <c r="J35" s="48" t="n"/>
      <c r="K35" s="48" t="n"/>
      <c r="L35" s="48" t="n"/>
      <c r="M35" s="48" t="n"/>
      <c r="N35" s="48" t="n"/>
      <c r="O35" s="48" t="n"/>
      <c r="P35" s="48" t="n"/>
      <c r="Q35" s="48" t="n"/>
    </row>
    <row r="36">
      <c r="A36" s="48" t="n"/>
      <c r="B36" s="48" t="n"/>
      <c r="C36" s="48" t="n"/>
      <c r="D36" s="48" t="n"/>
      <c r="E36" s="48" t="n"/>
      <c r="F36" s="48" t="n"/>
      <c r="G36" s="48" t="n"/>
      <c r="H36" s="48" t="n"/>
      <c r="I36" s="48" t="n"/>
      <c r="J36" s="48" t="n"/>
      <c r="K36" s="48" t="n"/>
      <c r="L36" s="48" t="n"/>
      <c r="M36" s="48" t="n"/>
      <c r="N36" s="48" t="n"/>
      <c r="O36" s="48" t="n"/>
      <c r="P36" s="48" t="n"/>
      <c r="Q36" s="48" t="n"/>
    </row>
    <row r="37">
      <c r="A37" s="48" t="n"/>
      <c r="B37" s="48" t="n"/>
      <c r="C37" s="48" t="n"/>
      <c r="D37" s="48" t="n"/>
      <c r="E37" s="48" t="n"/>
      <c r="F37" s="48" t="n"/>
      <c r="G37" s="48" t="n"/>
      <c r="H37" s="48" t="n"/>
      <c r="I37" s="48" t="n"/>
      <c r="J37" s="48" t="n"/>
      <c r="K37" s="48" t="n"/>
      <c r="L37" s="48" t="n"/>
      <c r="M37" s="48" t="n"/>
      <c r="N37" s="48" t="n"/>
      <c r="O37" s="48" t="n"/>
      <c r="P37" s="48" t="n"/>
      <c r="Q37" s="48" t="n"/>
    </row>
    <row r="38">
      <c r="A38" s="48" t="n"/>
      <c r="B38" s="48" t="n"/>
      <c r="C38" s="48" t="n"/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/>
      <c r="M38" s="48" t="n"/>
      <c r="N38" s="48" t="n"/>
      <c r="O38" s="48" t="n"/>
      <c r="P38" s="48" t="n"/>
      <c r="Q38" s="48" t="n"/>
    </row>
    <row r="39">
      <c r="A39" s="48" t="n"/>
      <c r="B39" s="48" t="n"/>
      <c r="C39" s="48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</row>
    <row r="40">
      <c r="A40" s="48" t="n"/>
      <c r="B40" s="48" t="n"/>
      <c r="C40" s="48" t="n"/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 t="n"/>
      <c r="P40" s="48" t="n"/>
      <c r="Q40" s="48" t="n"/>
    </row>
    <row r="41">
      <c r="A41" s="48" t="n"/>
      <c r="B41" s="48" t="n"/>
      <c r="C41" s="48" t="n"/>
      <c r="D41" s="48" t="n"/>
      <c r="E41" s="48" t="n"/>
      <c r="F41" s="48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</row>
    <row r="42">
      <c r="A42" s="48" t="n"/>
      <c r="B42" s="48" t="n"/>
      <c r="C42" s="48" t="n"/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8" t="n"/>
      <c r="P42" s="48" t="n"/>
      <c r="Q42" s="48" t="n"/>
    </row>
    <row r="43">
      <c r="A43" s="48" t="n"/>
      <c r="B43" s="48" t="n"/>
      <c r="C43" s="48" t="n"/>
      <c r="D43" s="48" t="n"/>
      <c r="E43" s="48" t="n"/>
      <c r="F43" s="48" t="n"/>
      <c r="G43" s="48" t="n"/>
      <c r="H43" s="48" t="n"/>
      <c r="I43" s="48" t="n"/>
      <c r="J43" s="48" t="n"/>
      <c r="K43" s="48" t="n"/>
      <c r="L43" s="48" t="n"/>
      <c r="M43" s="48" t="n"/>
      <c r="N43" s="48" t="n"/>
      <c r="O43" s="48" t="n"/>
      <c r="P43" s="48" t="n"/>
      <c r="Q43" s="48" t="n"/>
    </row>
    <row r="44">
      <c r="A44" s="48" t="n"/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  <c r="P44" s="48" t="n"/>
      <c r="Q44" s="48" t="n"/>
    </row>
    <row r="45">
      <c r="A45" s="48" t="n"/>
      <c r="B45" s="48" t="n"/>
      <c r="C45" s="48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 t="n"/>
      <c r="P45" s="48" t="n"/>
      <c r="Q45" s="48" t="n"/>
    </row>
    <row r="46" ht="26" customHeight="1">
      <c r="A46" s="48" t="n"/>
      <c r="B46" s="48" t="n"/>
      <c r="C46" s="52" t="inlineStr">
        <is>
          <t>Forecast je Auftrag / Projekt</t>
        </is>
      </c>
    </row>
    <row r="47">
      <c r="A47" s="48" t="n"/>
      <c r="B47" s="48" t="n"/>
      <c r="C47" s="48" t="n"/>
      <c r="D47" s="48" t="n"/>
      <c r="E47" s="48" t="n"/>
      <c r="F47" s="48" t="n"/>
      <c r="G47" s="48" t="n"/>
      <c r="H47" s="48" t="n"/>
      <c r="I47" s="48" t="n"/>
      <c r="J47" s="48" t="n"/>
      <c r="K47" s="48" t="n"/>
      <c r="L47" s="48" t="n"/>
      <c r="M47" s="48" t="n"/>
      <c r="N47" s="48" t="n"/>
      <c r="O47" s="48" t="n"/>
      <c r="P47" s="48" t="n"/>
      <c r="Q47" s="48" t="n"/>
    </row>
    <row r="48" ht="36" customHeight="1">
      <c r="A48" s="48" t="n"/>
      <c r="B48" s="48" t="n"/>
      <c r="C48" s="3" t="inlineStr">
        <is>
          <t>Auftrag</t>
        </is>
      </c>
      <c r="D48" s="3" t="inlineStr">
        <is>
          <t>Bezeichnung</t>
        </is>
      </c>
      <c r="E48" s="3" t="inlineStr">
        <is>
          <t>Region</t>
        </is>
      </c>
      <c r="F48" s="3" t="inlineStr">
        <is>
          <t>Umsatz Ist</t>
        </is>
      </c>
      <c r="G48" s="3" t="inlineStr">
        <is>
          <t>Kosten Ist (neg.)</t>
        </is>
      </c>
      <c r="H48" s="3" t="inlineStr">
        <is>
          <t>Bestand Ist</t>
        </is>
      </c>
      <c r="I48" s="3" t="inlineStr">
        <is>
          <t>Umsatz Rest</t>
        </is>
      </c>
      <c r="J48" s="3" t="inlineStr">
        <is>
          <t>Kosten Rest (neg.)</t>
        </is>
      </c>
      <c r="K48" s="3" t="inlineStr">
        <is>
          <t>Bestand Rest</t>
        </is>
      </c>
      <c r="L48" s="3" t="inlineStr">
        <is>
          <t>Umsatz erwartet</t>
        </is>
      </c>
      <c r="M48" s="3" t="inlineStr">
        <is>
          <t>Kosten erwartet</t>
        </is>
      </c>
      <c r="N48" s="3" t="inlineStr">
        <is>
          <t>Bestand erwartet</t>
        </is>
      </c>
      <c r="O48" s="3" t="inlineStr">
        <is>
          <t>Ergebnis erwartet</t>
        </is>
      </c>
      <c r="P48" s="48" t="n"/>
      <c r="Q48" s="48" t="n"/>
    </row>
    <row r="49" ht="21" customHeight="1">
      <c r="A49" s="48" t="n"/>
      <c r="B49" s="48" t="n"/>
      <c r="C49" s="48" t="inlineStr">
        <is>
          <t>P4102157208</t>
        </is>
      </c>
      <c r="D49" s="48" t="inlineStr">
        <is>
          <t>Waggonverschrottung</t>
        </is>
      </c>
      <c r="E49" s="48" t="inlineStr">
        <is>
          <t>West</t>
        </is>
      </c>
      <c r="F49" s="17" t="n">
        <v>24855.15</v>
      </c>
      <c r="G49" s="17" t="n">
        <v>-13515.52</v>
      </c>
      <c r="H49" s="17" t="n">
        <v>-10000</v>
      </c>
      <c r="I49" s="17" t="n">
        <v>0</v>
      </c>
      <c r="J49" s="17" t="n">
        <v>0</v>
      </c>
      <c r="K49" s="17" t="n">
        <v>0</v>
      </c>
      <c r="L49" s="17">
        <f>F49+I49+SUMIFS('FC Eingabe'!$G$7:$G$126,'FC Eingabe'!$F$7:$F$126,C49,'FC Eingabe'!$K$7:$K$126,"Wirksam")</f>
        <v/>
      </c>
      <c r="M49" s="17">
        <f>G49+J49-SUMIFS('FC Eingabe'!$I$7:$I$126,'FC Eingabe'!$F$7:$F$126,C49,'FC Eingabe'!$K$7:$K$126,"Wirksam")</f>
        <v/>
      </c>
      <c r="N49" s="17">
        <f>H49+K49+SUMIFS('FC Eingabe'!$H$7:$H$126,'FC Eingabe'!$F$7:$F$126,C49,'FC Eingabe'!$K$7:$K$126,"Wirksam")</f>
        <v/>
      </c>
      <c r="O49" s="17">
        <f>SUM(L49:N49)</f>
        <v/>
      </c>
      <c r="P49" s="48" t="n"/>
      <c r="Q49" s="48" t="n"/>
    </row>
    <row r="50" ht="21" customHeight="1">
      <c r="A50" s="48" t="n"/>
      <c r="B50" s="48" t="n"/>
      <c r="C50" s="48" t="inlineStr">
        <is>
          <t>P4102157411</t>
        </is>
      </c>
      <c r="D50" s="48" t="inlineStr">
        <is>
          <t>ARGE RB Chemiepark Krefeld</t>
        </is>
      </c>
      <c r="E50" s="48" t="inlineStr">
        <is>
          <t>West</t>
        </is>
      </c>
      <c r="F50" s="17" t="n">
        <v>45582.42</v>
      </c>
      <c r="G50" s="17" t="n">
        <v>0</v>
      </c>
      <c r="H50" s="17" t="n">
        <v>0</v>
      </c>
      <c r="I50" s="17" t="n">
        <v>0</v>
      </c>
      <c r="J50" s="17" t="n">
        <v>0</v>
      </c>
      <c r="K50" s="17" t="n">
        <v>0</v>
      </c>
      <c r="L50" s="17">
        <f>F50+I50+SUMIFS('FC Eingabe'!$G$7:$G$126,'FC Eingabe'!$F$7:$F$126,C50,'FC Eingabe'!$K$7:$K$126,"Wirksam")</f>
        <v/>
      </c>
      <c r="M50" s="17">
        <f>G50+J50-SUMIFS('FC Eingabe'!$I$7:$I$126,'FC Eingabe'!$F$7:$F$126,C50,'FC Eingabe'!$K$7:$K$126,"Wirksam")</f>
        <v/>
      </c>
      <c r="N50" s="17">
        <f>H50+K50+SUMIFS('FC Eingabe'!$H$7:$H$126,'FC Eingabe'!$F$7:$F$126,C50,'FC Eingabe'!$K$7:$K$126,"Wirksam")</f>
        <v/>
      </c>
      <c r="O50" s="17">
        <f>SUM(L50:N50)</f>
        <v/>
      </c>
      <c r="P50" s="48" t="n"/>
      <c r="Q50" s="48" t="n"/>
    </row>
    <row r="51" ht="21" customHeight="1">
      <c r="A51" s="48" t="n"/>
      <c r="B51" s="48" t="n"/>
      <c r="C51" s="48" t="inlineStr">
        <is>
          <t>P4102157414</t>
        </is>
      </c>
      <c r="D51" s="48" t="inlineStr">
        <is>
          <t>Krandemontage</t>
        </is>
      </c>
      <c r="E51" s="48" t="inlineStr">
        <is>
          <t>West</t>
        </is>
      </c>
      <c r="F51" s="17" t="n">
        <v>414976.03</v>
      </c>
      <c r="G51" s="17" t="n">
        <v>-100883.26</v>
      </c>
      <c r="H51" s="17" t="n">
        <v>-279004.22</v>
      </c>
      <c r="I51" s="17" t="n">
        <v>0</v>
      </c>
      <c r="J51" s="17" t="n">
        <v>0</v>
      </c>
      <c r="K51" s="17" t="n">
        <v>0</v>
      </c>
      <c r="L51" s="17">
        <f>F51+I51+SUMIFS('FC Eingabe'!$G$7:$G$126,'FC Eingabe'!$F$7:$F$126,C51,'FC Eingabe'!$K$7:$K$126,"Wirksam")</f>
        <v/>
      </c>
      <c r="M51" s="17">
        <f>G51+J51-SUMIFS('FC Eingabe'!$I$7:$I$126,'FC Eingabe'!$F$7:$F$126,C51,'FC Eingabe'!$K$7:$K$126,"Wirksam")</f>
        <v/>
      </c>
      <c r="N51" s="17">
        <f>H51+K51+SUMIFS('FC Eingabe'!$H$7:$H$126,'FC Eingabe'!$F$7:$F$126,C51,'FC Eingabe'!$K$7:$K$126,"Wirksam")</f>
        <v/>
      </c>
      <c r="O51" s="17">
        <f>SUM(L51:N51)</f>
        <v/>
      </c>
      <c r="P51" s="48" t="n"/>
      <c r="Q51" s="48" t="n"/>
    </row>
    <row r="52" ht="21" customHeight="1">
      <c r="A52" s="48" t="n"/>
      <c r="B52" s="48" t="n"/>
      <c r="C52" s="48" t="inlineStr">
        <is>
          <t>P4102157420</t>
        </is>
      </c>
      <c r="D52" s="48" t="inlineStr">
        <is>
          <t>ARGE RB GWA+SGA 4</t>
        </is>
      </c>
      <c r="E52" s="48" t="inlineStr">
        <is>
          <t>West</t>
        </is>
      </c>
      <c r="F52" s="17" t="n">
        <v>0</v>
      </c>
      <c r="G52" s="17" t="n">
        <v>-1084.64</v>
      </c>
      <c r="H52" s="17" t="n">
        <v>0</v>
      </c>
      <c r="I52" s="17" t="n">
        <v>0</v>
      </c>
      <c r="J52" s="17" t="n">
        <v>0</v>
      </c>
      <c r="K52" s="17" t="n">
        <v>0</v>
      </c>
      <c r="L52" s="17">
        <f>F52+I52+SUMIFS('FC Eingabe'!$G$7:$G$126,'FC Eingabe'!$F$7:$F$126,C52,'FC Eingabe'!$K$7:$K$126,"Wirksam")</f>
        <v/>
      </c>
      <c r="M52" s="17">
        <f>G52+J52-SUMIFS('FC Eingabe'!$I$7:$I$126,'FC Eingabe'!$F$7:$F$126,C52,'FC Eingabe'!$K$7:$K$126,"Wirksam")</f>
        <v/>
      </c>
      <c r="N52" s="17">
        <f>H52+K52+SUMIFS('FC Eingabe'!$H$7:$H$126,'FC Eingabe'!$F$7:$F$126,C52,'FC Eingabe'!$K$7:$K$126,"Wirksam")</f>
        <v/>
      </c>
      <c r="O52" s="17">
        <f>SUM(L52:N52)</f>
        <v/>
      </c>
      <c r="P52" s="48" t="n"/>
      <c r="Q52" s="48" t="n"/>
    </row>
    <row r="53" ht="21" customHeight="1">
      <c r="A53" s="48" t="n"/>
      <c r="B53" s="48" t="n"/>
      <c r="C53" s="48" t="inlineStr">
        <is>
          <t>P4102157429</t>
        </is>
      </c>
      <c r="D53" s="48" t="inlineStr">
        <is>
          <t>Covestro - Rückbau LEV O13</t>
        </is>
      </c>
      <c r="E53" s="48" t="inlineStr">
        <is>
          <t>West</t>
        </is>
      </c>
      <c r="F53" s="17" t="n">
        <v>0</v>
      </c>
      <c r="G53" s="17" t="n">
        <v>24.2</v>
      </c>
      <c r="H53" s="17" t="n">
        <v>59.31</v>
      </c>
      <c r="I53" s="17" t="n">
        <v>442000</v>
      </c>
      <c r="J53" s="17" t="n">
        <v>-350000</v>
      </c>
      <c r="K53" s="17" t="n">
        <v>0</v>
      </c>
      <c r="L53" s="17">
        <f>F53+I53+SUMIFS('FC Eingabe'!$G$7:$G$126,'FC Eingabe'!$F$7:$F$126,C53,'FC Eingabe'!$K$7:$K$126,"Wirksam")</f>
        <v/>
      </c>
      <c r="M53" s="17">
        <f>G53+J53-SUMIFS('FC Eingabe'!$I$7:$I$126,'FC Eingabe'!$F$7:$F$126,C53,'FC Eingabe'!$K$7:$K$126,"Wirksam")</f>
        <v/>
      </c>
      <c r="N53" s="17">
        <f>H53+K53+SUMIFS('FC Eingabe'!$H$7:$H$126,'FC Eingabe'!$F$7:$F$126,C53,'FC Eingabe'!$K$7:$K$126,"Wirksam")</f>
        <v/>
      </c>
      <c r="O53" s="17">
        <f>SUM(L53:N53)</f>
        <v/>
      </c>
      <c r="P53" s="48" t="n"/>
      <c r="Q53" s="48" t="n"/>
    </row>
    <row r="54" ht="21" customHeight="1">
      <c r="A54" s="48" t="n"/>
      <c r="B54" s="48" t="n"/>
      <c r="C54" s="48" t="inlineStr">
        <is>
          <t>P4102157431</t>
        </is>
      </c>
      <c r="D54" s="48" t="inlineStr">
        <is>
          <t>RB drei Sandfilter</t>
        </is>
      </c>
      <c r="E54" s="48" t="inlineStr">
        <is>
          <t>West</t>
        </is>
      </c>
      <c r="F54" s="17" t="n">
        <v>19000</v>
      </c>
      <c r="G54" s="17" t="n">
        <v>0</v>
      </c>
      <c r="H54" s="17" t="n">
        <v>-24683.12</v>
      </c>
      <c r="I54" s="17" t="n">
        <v>0</v>
      </c>
      <c r="J54" s="17" t="n">
        <v>0</v>
      </c>
      <c r="K54" s="17" t="n">
        <v>0</v>
      </c>
      <c r="L54" s="17">
        <f>F54+I54+SUMIFS('FC Eingabe'!$G$7:$G$126,'FC Eingabe'!$F$7:$F$126,C54,'FC Eingabe'!$K$7:$K$126,"Wirksam")</f>
        <v/>
      </c>
      <c r="M54" s="17">
        <f>G54+J54-SUMIFS('FC Eingabe'!$I$7:$I$126,'FC Eingabe'!$F$7:$F$126,C54,'FC Eingabe'!$K$7:$K$126,"Wirksam")</f>
        <v/>
      </c>
      <c r="N54" s="17">
        <f>H54+K54+SUMIFS('FC Eingabe'!$H$7:$H$126,'FC Eingabe'!$F$7:$F$126,C54,'FC Eingabe'!$K$7:$K$126,"Wirksam")</f>
        <v/>
      </c>
      <c r="O54" s="17">
        <f>SUM(L54:N54)</f>
        <v/>
      </c>
      <c r="P54" s="48" t="n"/>
      <c r="Q54" s="48" t="n"/>
    </row>
    <row r="55" ht="21" customHeight="1">
      <c r="A55" s="48" t="n"/>
      <c r="B55" s="48" t="n"/>
      <c r="C55" s="48" t="inlineStr">
        <is>
          <t>P4102157436</t>
        </is>
      </c>
      <c r="D55" s="48" t="inlineStr">
        <is>
          <t>Sanierung Kompensatoren</t>
        </is>
      </c>
      <c r="E55" s="48" t="inlineStr">
        <is>
          <t>West</t>
        </is>
      </c>
      <c r="F55" s="17" t="n">
        <v>49999</v>
      </c>
      <c r="G55" s="17" t="n">
        <v>0</v>
      </c>
      <c r="H55" s="17" t="n">
        <v>-44762.43</v>
      </c>
      <c r="I55" s="17" t="n">
        <v>0</v>
      </c>
      <c r="J55" s="17" t="n">
        <v>0</v>
      </c>
      <c r="K55" s="17" t="n">
        <v>0</v>
      </c>
      <c r="L55" s="17">
        <f>F55+I55+SUMIFS('FC Eingabe'!$G$7:$G$126,'FC Eingabe'!$F$7:$F$126,C55,'FC Eingabe'!$K$7:$K$126,"Wirksam")</f>
        <v/>
      </c>
      <c r="M55" s="17">
        <f>G55+J55-SUMIFS('FC Eingabe'!$I$7:$I$126,'FC Eingabe'!$F$7:$F$126,C55,'FC Eingabe'!$K$7:$K$126,"Wirksam")</f>
        <v/>
      </c>
      <c r="N55" s="17">
        <f>H55+K55+SUMIFS('FC Eingabe'!$H$7:$H$126,'FC Eingabe'!$F$7:$F$126,C55,'FC Eingabe'!$K$7:$K$126,"Wirksam")</f>
        <v/>
      </c>
      <c r="O55" s="17">
        <f>SUM(L55:N55)</f>
        <v/>
      </c>
      <c r="P55" s="48" t="n"/>
      <c r="Q55" s="48" t="n"/>
    </row>
    <row r="56" ht="21" customHeight="1">
      <c r="A56" s="48" t="n"/>
      <c r="B56" s="48" t="n"/>
      <c r="C56" s="48" t="inlineStr">
        <is>
          <t>P4102157439</t>
        </is>
      </c>
      <c r="D56" s="48" t="inlineStr">
        <is>
          <t>RB Sperrmüllschereefeld</t>
        </is>
      </c>
      <c r="E56" s="48" t="inlineStr">
        <is>
          <t>West</t>
        </is>
      </c>
      <c r="F56" s="17" t="n">
        <v>37284</v>
      </c>
      <c r="G56" s="17" t="n">
        <v>0</v>
      </c>
      <c r="H56" s="17" t="n">
        <v>0</v>
      </c>
      <c r="I56" s="17" t="n">
        <v>0</v>
      </c>
      <c r="J56" s="17" t="n">
        <v>0</v>
      </c>
      <c r="K56" s="17" t="n">
        <v>0</v>
      </c>
      <c r="L56" s="17">
        <f>F56+I56+SUMIFS('FC Eingabe'!$G$7:$G$126,'FC Eingabe'!$F$7:$F$126,C56,'FC Eingabe'!$K$7:$K$126,"Wirksam")</f>
        <v/>
      </c>
      <c r="M56" s="17">
        <f>G56+J56-SUMIFS('FC Eingabe'!$I$7:$I$126,'FC Eingabe'!$F$7:$F$126,C56,'FC Eingabe'!$K$7:$K$126,"Wirksam")</f>
        <v/>
      </c>
      <c r="N56" s="17">
        <f>H56+K56+SUMIFS('FC Eingabe'!$H$7:$H$126,'FC Eingabe'!$F$7:$F$126,C56,'FC Eingabe'!$K$7:$K$126,"Wirksam")</f>
        <v/>
      </c>
      <c r="O56" s="17">
        <f>SUM(L56:N56)</f>
        <v/>
      </c>
      <c r="P56" s="48" t="n"/>
      <c r="Q56" s="48" t="n"/>
    </row>
    <row r="57" ht="21" customHeight="1">
      <c r="A57" s="48" t="n"/>
      <c r="B57" s="48" t="n"/>
      <c r="C57" s="48" t="inlineStr">
        <is>
          <t>P4102157440</t>
        </is>
      </c>
      <c r="D57" s="48" t="inlineStr">
        <is>
          <t>tkse RB 2025</t>
        </is>
      </c>
      <c r="E57" s="48" t="inlineStr">
        <is>
          <t>West</t>
        </is>
      </c>
      <c r="F57" s="17" t="n">
        <v>0</v>
      </c>
      <c r="G57" s="17" t="n">
        <v>0</v>
      </c>
      <c r="H57" s="17" t="n">
        <v>0</v>
      </c>
      <c r="I57" s="17" t="n">
        <v>0</v>
      </c>
      <c r="J57" s="17" t="n">
        <v>0</v>
      </c>
      <c r="K57" s="17" t="n">
        <v>0</v>
      </c>
      <c r="L57" s="17">
        <f>F57+I57+SUMIFS('FC Eingabe'!$G$7:$G$126,'FC Eingabe'!$F$7:$F$126,C57,'FC Eingabe'!$K$7:$K$126,"Wirksam")</f>
        <v/>
      </c>
      <c r="M57" s="17">
        <f>G57+J57-SUMIFS('FC Eingabe'!$I$7:$I$126,'FC Eingabe'!$F$7:$F$126,C57,'FC Eingabe'!$K$7:$K$126,"Wirksam")</f>
        <v/>
      </c>
      <c r="N57" s="17">
        <f>H57+K57+SUMIFS('FC Eingabe'!$H$7:$H$126,'FC Eingabe'!$F$7:$F$126,C57,'FC Eingabe'!$K$7:$K$126,"Wirksam")</f>
        <v/>
      </c>
      <c r="O57" s="17">
        <f>SUM(L57:N57)</f>
        <v/>
      </c>
      <c r="P57" s="48" t="n"/>
      <c r="Q57" s="48" t="n"/>
    </row>
    <row r="58" ht="21" customHeight="1">
      <c r="A58" s="48" t="n"/>
      <c r="B58" s="48" t="n"/>
      <c r="C58" s="48" t="inlineStr">
        <is>
          <t>P4102157442</t>
        </is>
      </c>
      <c r="D58" s="48" t="inlineStr">
        <is>
          <t>RB Leitstand Flämmaschine</t>
        </is>
      </c>
      <c r="E58" s="48" t="inlineStr">
        <is>
          <t>West</t>
        </is>
      </c>
      <c r="F58" s="17" t="n">
        <v>48086.9</v>
      </c>
      <c r="G58" s="17" t="n">
        <v>-31274.13</v>
      </c>
      <c r="H58" s="17" t="n">
        <v>0</v>
      </c>
      <c r="I58" s="17" t="n">
        <v>0</v>
      </c>
      <c r="J58" s="17" t="n">
        <v>0</v>
      </c>
      <c r="K58" s="17" t="n">
        <v>0</v>
      </c>
      <c r="L58" s="17">
        <f>F58+I58+SUMIFS('FC Eingabe'!$G$7:$G$126,'FC Eingabe'!$F$7:$F$126,C58,'FC Eingabe'!$K$7:$K$126,"Wirksam")</f>
        <v/>
      </c>
      <c r="M58" s="17">
        <f>G58+J58-SUMIFS('FC Eingabe'!$I$7:$I$126,'FC Eingabe'!$F$7:$F$126,C58,'FC Eingabe'!$K$7:$K$126,"Wirksam")</f>
        <v/>
      </c>
      <c r="N58" s="17">
        <f>H58+K58+SUMIFS('FC Eingabe'!$H$7:$H$126,'FC Eingabe'!$F$7:$F$126,C58,'FC Eingabe'!$K$7:$K$126,"Wirksam")</f>
        <v/>
      </c>
      <c r="O58" s="17">
        <f>SUM(L58:N58)</f>
        <v/>
      </c>
      <c r="P58" s="48" t="n"/>
      <c r="Q58" s="48" t="n"/>
    </row>
    <row r="59" ht="21" customHeight="1">
      <c r="A59" s="48" t="n"/>
      <c r="B59" s="48" t="n"/>
      <c r="C59" s="48" t="inlineStr">
        <is>
          <t>P4102157443</t>
        </is>
      </c>
      <c r="D59" s="48" t="inlineStr">
        <is>
          <t>Medice Arzneim. RB 2 Tanks</t>
        </is>
      </c>
      <c r="E59" s="48" t="inlineStr">
        <is>
          <t>West</t>
        </is>
      </c>
      <c r="F59" s="17" t="n">
        <v>21000</v>
      </c>
      <c r="G59" s="17" t="n">
        <v>0</v>
      </c>
      <c r="H59" s="17" t="n">
        <v>-13730.16</v>
      </c>
      <c r="I59" s="17" t="n">
        <v>0</v>
      </c>
      <c r="J59" s="17" t="n">
        <v>0</v>
      </c>
      <c r="K59" s="17" t="n">
        <v>0</v>
      </c>
      <c r="L59" s="17">
        <f>F59+I59+SUMIFS('FC Eingabe'!$G$7:$G$126,'FC Eingabe'!$F$7:$F$126,C59,'FC Eingabe'!$K$7:$K$126,"Wirksam")</f>
        <v/>
      </c>
      <c r="M59" s="17">
        <f>G59+J59-SUMIFS('FC Eingabe'!$I$7:$I$126,'FC Eingabe'!$F$7:$F$126,C59,'FC Eingabe'!$K$7:$K$126,"Wirksam")</f>
        <v/>
      </c>
      <c r="N59" s="17">
        <f>H59+K59+SUMIFS('FC Eingabe'!$H$7:$H$126,'FC Eingabe'!$F$7:$F$126,C59,'FC Eingabe'!$K$7:$K$126,"Wirksam")</f>
        <v/>
      </c>
      <c r="O59" s="17">
        <f>SUM(L59:N59)</f>
        <v/>
      </c>
      <c r="P59" s="48" t="n"/>
      <c r="Q59" s="48" t="n"/>
    </row>
    <row r="60" ht="21" customHeight="1">
      <c r="A60" s="48" t="n"/>
      <c r="B60" s="48" t="n"/>
      <c r="C60" s="48" t="inlineStr">
        <is>
          <t>P4102157445</t>
        </is>
      </c>
      <c r="D60" s="48" t="inlineStr">
        <is>
          <t>RB 2 Stahlwände Lüra Halle</t>
        </is>
      </c>
      <c r="E60" s="48" t="inlineStr">
        <is>
          <t>West</t>
        </is>
      </c>
      <c r="F60" s="17" t="n">
        <v>0</v>
      </c>
      <c r="G60" s="17" t="n">
        <v>-189.05</v>
      </c>
      <c r="H60" s="17" t="n">
        <v>0</v>
      </c>
      <c r="I60" s="17" t="n">
        <v>0</v>
      </c>
      <c r="J60" s="17" t="n">
        <v>0</v>
      </c>
      <c r="K60" s="17" t="n">
        <v>0</v>
      </c>
      <c r="L60" s="17">
        <f>F60+I60+SUMIFS('FC Eingabe'!$G$7:$G$126,'FC Eingabe'!$F$7:$F$126,C60,'FC Eingabe'!$K$7:$K$126,"Wirksam")</f>
        <v/>
      </c>
      <c r="M60" s="17">
        <f>G60+J60-SUMIFS('FC Eingabe'!$I$7:$I$126,'FC Eingabe'!$F$7:$F$126,C60,'FC Eingabe'!$K$7:$K$126,"Wirksam")</f>
        <v/>
      </c>
      <c r="N60" s="17">
        <f>H60+K60+SUMIFS('FC Eingabe'!$H$7:$H$126,'FC Eingabe'!$F$7:$F$126,C60,'FC Eingabe'!$K$7:$K$126,"Wirksam")</f>
        <v/>
      </c>
      <c r="O60" s="17">
        <f>SUM(L60:N60)</f>
        <v/>
      </c>
      <c r="P60" s="48" t="n"/>
      <c r="Q60" s="48" t="n"/>
    </row>
    <row r="61" ht="21" customHeight="1">
      <c r="C61" s="10" t="inlineStr">
        <is>
          <t>P4102157447</t>
        </is>
      </c>
      <c r="D61" s="10" t="inlineStr">
        <is>
          <t>Hkm Demontage DN 500</t>
        </is>
      </c>
      <c r="E61" s="10" t="inlineStr">
        <is>
          <t>West</t>
        </is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>
        <f>F61+I61+SUMIFS('FC Eingabe'!$G$7:$G$126,'FC Eingabe'!$F$7:$F$126,C61,'FC Eingabe'!$K$7:$K$126,"Wirksam")</f>
        <v/>
      </c>
      <c r="M61" s="23">
        <f>G61+J61-SUMIFS('FC Eingabe'!$I$7:$I$126,'FC Eingabe'!$F$7:$F$126,C61,'FC Eingabe'!$K$7:$K$126,"Wirksam")</f>
        <v/>
      </c>
      <c r="N61" s="23">
        <f>H61+K61+SUMIFS('FC Eingabe'!$H$7:$H$126,'FC Eingabe'!$F$7:$F$126,C61,'FC Eingabe'!$K$7:$K$126,"Wirksam")</f>
        <v/>
      </c>
      <c r="O61" s="23">
        <f>SUM(L61:N61)</f>
        <v/>
      </c>
    </row>
    <row r="62" ht="21" customHeight="1">
      <c r="C62" s="10" t="inlineStr">
        <is>
          <t>P4102157449</t>
        </is>
      </c>
      <c r="D62" s="10" t="inlineStr">
        <is>
          <t>RB Kessel KW Lausward</t>
        </is>
      </c>
      <c r="E62" s="10" t="inlineStr">
        <is>
          <t>West</t>
        </is>
      </c>
      <c r="F62" s="23" t="n">
        <v>827176.51</v>
      </c>
      <c r="G62" s="23" t="n">
        <v>-137348.38</v>
      </c>
      <c r="H62" s="23" t="n">
        <v>-578657.23</v>
      </c>
      <c r="I62" s="23" t="n">
        <v>0</v>
      </c>
      <c r="J62" s="23" t="n">
        <v>0</v>
      </c>
      <c r="K62" s="23" t="n">
        <v>0</v>
      </c>
      <c r="L62" s="23">
        <f>F62+I62+SUMIFS('FC Eingabe'!$G$7:$G$126,'FC Eingabe'!$F$7:$F$126,C62,'FC Eingabe'!$K$7:$K$126,"Wirksam")</f>
        <v/>
      </c>
      <c r="M62" s="23">
        <f>G62+J62-SUMIFS('FC Eingabe'!$I$7:$I$126,'FC Eingabe'!$F$7:$F$126,C62,'FC Eingabe'!$K$7:$K$126,"Wirksam")</f>
        <v/>
      </c>
      <c r="N62" s="23">
        <f>H62+K62+SUMIFS('FC Eingabe'!$H$7:$H$126,'FC Eingabe'!$F$7:$F$126,C62,'FC Eingabe'!$K$7:$K$126,"Wirksam")</f>
        <v/>
      </c>
      <c r="O62" s="23">
        <f>SUM(L62:N62)</f>
        <v/>
      </c>
    </row>
    <row r="63" ht="21" customHeight="1">
      <c r="C63" s="10" t="inlineStr">
        <is>
          <t>P4102157450</t>
        </is>
      </c>
      <c r="D63" s="10" t="inlineStr">
        <is>
          <t>Verschr. Brennkammer BA-301 Oxygen</t>
        </is>
      </c>
      <c r="E63" s="10" t="inlineStr">
        <is>
          <t>West</t>
        </is>
      </c>
      <c r="F63" s="23" t="n">
        <v>0</v>
      </c>
      <c r="G63" s="23" t="n">
        <v>-6.1</v>
      </c>
      <c r="H63" s="23" t="n">
        <v>0</v>
      </c>
      <c r="I63" s="23" t="n">
        <v>0</v>
      </c>
      <c r="J63" s="23" t="n">
        <v>0</v>
      </c>
      <c r="K63" s="23" t="n">
        <v>0</v>
      </c>
      <c r="L63" s="23">
        <f>F63+I63+SUMIFS('FC Eingabe'!$G$7:$G$126,'FC Eingabe'!$F$7:$F$126,C63,'FC Eingabe'!$K$7:$K$126,"Wirksam")</f>
        <v/>
      </c>
      <c r="M63" s="23">
        <f>G63+J63-SUMIFS('FC Eingabe'!$I$7:$I$126,'FC Eingabe'!$F$7:$F$126,C63,'FC Eingabe'!$K$7:$K$126,"Wirksam")</f>
        <v/>
      </c>
      <c r="N63" s="23">
        <f>H63+K63+SUMIFS('FC Eingabe'!$H$7:$H$126,'FC Eingabe'!$F$7:$F$126,C63,'FC Eingabe'!$K$7:$K$126,"Wirksam")</f>
        <v/>
      </c>
      <c r="O63" s="23">
        <f>SUM(L63:N63)</f>
        <v/>
      </c>
    </row>
    <row r="64" ht="21" customHeight="1">
      <c r="C64" s="10" t="inlineStr">
        <is>
          <t>P4102157451</t>
        </is>
      </c>
      <c r="D64" s="10" t="inlineStr">
        <is>
          <t>Sanierung Campus Golzheim</t>
        </is>
      </c>
      <c r="E64" s="10" t="inlineStr">
        <is>
          <t>West</t>
        </is>
      </c>
      <c r="F64" s="23" t="n">
        <v>40150.9</v>
      </c>
      <c r="G64" s="23" t="n">
        <v>-1893113.68</v>
      </c>
      <c r="H64" s="23" t="n">
        <v>2134210.44</v>
      </c>
      <c r="I64" s="23" t="n">
        <v>0</v>
      </c>
      <c r="J64" s="23" t="n">
        <v>0</v>
      </c>
      <c r="K64" s="23" t="n">
        <v>0</v>
      </c>
      <c r="L64" s="23">
        <f>F64+I64+SUMIFS('FC Eingabe'!$G$7:$G$126,'FC Eingabe'!$F$7:$F$126,C64,'FC Eingabe'!$K$7:$K$126,"Wirksam")</f>
        <v/>
      </c>
      <c r="M64" s="23">
        <f>G64+J64-SUMIFS('FC Eingabe'!$I$7:$I$126,'FC Eingabe'!$F$7:$F$126,C64,'FC Eingabe'!$K$7:$K$126,"Wirksam")</f>
        <v/>
      </c>
      <c r="N64" s="23">
        <f>H64+K64+SUMIFS('FC Eingabe'!$H$7:$H$126,'FC Eingabe'!$F$7:$F$126,C64,'FC Eingabe'!$K$7:$K$126,"Wirksam")</f>
        <v/>
      </c>
      <c r="O64" s="23">
        <f>SUM(L64:N64)</f>
        <v/>
      </c>
    </row>
    <row r="65" ht="21" customHeight="1">
      <c r="C65" s="10" t="inlineStr">
        <is>
          <t>P4102157452</t>
        </is>
      </c>
      <c r="D65" s="10" t="inlineStr">
        <is>
          <t>RB Cont.anlage TKSE Gelände</t>
        </is>
      </c>
      <c r="E65" s="10" t="inlineStr">
        <is>
          <t>West</t>
        </is>
      </c>
      <c r="F65" s="23" t="n">
        <v>0</v>
      </c>
      <c r="G65" s="23" t="n">
        <v>0</v>
      </c>
      <c r="H65" s="23" t="n">
        <v>-2847.73</v>
      </c>
      <c r="I65" s="23" t="n">
        <v>0</v>
      </c>
      <c r="J65" s="23" t="n">
        <v>0</v>
      </c>
      <c r="K65" s="23" t="n">
        <v>0</v>
      </c>
      <c r="L65" s="23">
        <f>F65+I65+SUMIFS('FC Eingabe'!$G$7:$G$126,'FC Eingabe'!$F$7:$F$126,C65,'FC Eingabe'!$K$7:$K$126,"Wirksam")</f>
        <v/>
      </c>
      <c r="M65" s="23">
        <f>G65+J65-SUMIFS('FC Eingabe'!$I$7:$I$126,'FC Eingabe'!$F$7:$F$126,C65,'FC Eingabe'!$K$7:$K$126,"Wirksam")</f>
        <v/>
      </c>
      <c r="N65" s="23">
        <f>H65+K65+SUMIFS('FC Eingabe'!$H$7:$H$126,'FC Eingabe'!$F$7:$F$126,C65,'FC Eingabe'!$K$7:$K$126,"Wirksam")</f>
        <v/>
      </c>
      <c r="O65" s="23">
        <f>SUM(L65:N65)</f>
        <v/>
      </c>
    </row>
    <row r="66" ht="21" customHeight="1">
      <c r="C66" s="10" t="inlineStr">
        <is>
          <t>P4102157453</t>
        </is>
      </c>
      <c r="D66" s="10" t="inlineStr">
        <is>
          <t>Wbw 4 Hallenrückbau</t>
        </is>
      </c>
      <c r="E66" s="10" t="inlineStr">
        <is>
          <t>West</t>
        </is>
      </c>
      <c r="F66" s="23" t="n">
        <v>1176663.57</v>
      </c>
      <c r="G66" s="23" t="n">
        <v>-699485.9</v>
      </c>
      <c r="H66" s="23" t="n">
        <v>-0.01</v>
      </c>
      <c r="I66" s="23" t="n">
        <v>0</v>
      </c>
      <c r="J66" s="23" t="n">
        <v>0</v>
      </c>
      <c r="K66" s="23" t="n">
        <v>0</v>
      </c>
      <c r="L66" s="23">
        <f>F66+I66+SUMIFS('FC Eingabe'!$G$7:$G$126,'FC Eingabe'!$F$7:$F$126,C66,'FC Eingabe'!$K$7:$K$126,"Wirksam")</f>
        <v/>
      </c>
      <c r="M66" s="23">
        <f>G66+J66-SUMIFS('FC Eingabe'!$I$7:$I$126,'FC Eingabe'!$F$7:$F$126,C66,'FC Eingabe'!$K$7:$K$126,"Wirksam")</f>
        <v/>
      </c>
      <c r="N66" s="23">
        <f>H66+K66+SUMIFS('FC Eingabe'!$H$7:$H$126,'FC Eingabe'!$F$7:$F$126,C66,'FC Eingabe'!$K$7:$K$126,"Wirksam")</f>
        <v/>
      </c>
      <c r="O66" s="23">
        <f>SUM(L66:N66)</f>
        <v/>
      </c>
    </row>
    <row r="67" ht="21" customHeight="1">
      <c r="C67" s="10" t="inlineStr">
        <is>
          <t>P4102157455</t>
        </is>
      </c>
      <c r="D67" s="10" t="inlineStr">
        <is>
          <t>Currenta San.+RB G22 Los 1+2 Anm.fehlt</t>
        </is>
      </c>
      <c r="E67" s="10" t="inlineStr">
        <is>
          <t>West</t>
        </is>
      </c>
      <c r="F67" s="23" t="n">
        <v>0</v>
      </c>
      <c r="G67" s="23" t="n">
        <v>-3255042.73</v>
      </c>
      <c r="H67" s="23" t="n">
        <v>3166169.81</v>
      </c>
      <c r="I67" s="23" t="n">
        <v>2223000</v>
      </c>
      <c r="J67" s="23" t="n">
        <v>-2114000</v>
      </c>
      <c r="K67" s="23" t="n">
        <v>0</v>
      </c>
      <c r="L67" s="23">
        <f>F67+I67+SUMIFS('FC Eingabe'!$G$7:$G$126,'FC Eingabe'!$F$7:$F$126,C67,'FC Eingabe'!$K$7:$K$126,"Wirksam")</f>
        <v/>
      </c>
      <c r="M67" s="23">
        <f>G67+J67-SUMIFS('FC Eingabe'!$I$7:$I$126,'FC Eingabe'!$F$7:$F$126,C67,'FC Eingabe'!$K$7:$K$126,"Wirksam")</f>
        <v/>
      </c>
      <c r="N67" s="23">
        <f>H67+K67+SUMIFS('FC Eingabe'!$H$7:$H$126,'FC Eingabe'!$F$7:$F$126,C67,'FC Eingabe'!$K$7:$K$126,"Wirksam")</f>
        <v/>
      </c>
      <c r="O67" s="23">
        <f>SUM(L67:N67)</f>
        <v/>
      </c>
    </row>
    <row r="68" ht="21" customHeight="1">
      <c r="C68" s="10" t="inlineStr">
        <is>
          <t>P4102157456</t>
        </is>
      </c>
      <c r="D68" s="10" t="inlineStr">
        <is>
          <t>RB und Entsorgung Fundament Schleifbank</t>
        </is>
      </c>
      <c r="E68" s="10" t="inlineStr">
        <is>
          <t>West</t>
        </is>
      </c>
      <c r="F68" s="23" t="n">
        <v>103280</v>
      </c>
      <c r="G68" s="23" t="n">
        <v>-69993.84</v>
      </c>
      <c r="H68" s="23" t="n">
        <v>0</v>
      </c>
      <c r="I68" s="23" t="n">
        <v>0</v>
      </c>
      <c r="J68" s="23" t="n">
        <v>0</v>
      </c>
      <c r="K68" s="23" t="n">
        <v>0</v>
      </c>
      <c r="L68" s="23">
        <f>F68+I68+SUMIFS('FC Eingabe'!$G$7:$G$126,'FC Eingabe'!$F$7:$F$126,C68,'FC Eingabe'!$K$7:$K$126,"Wirksam")</f>
        <v/>
      </c>
      <c r="M68" s="23">
        <f>G68+J68-SUMIFS('FC Eingabe'!$I$7:$I$126,'FC Eingabe'!$F$7:$F$126,C68,'FC Eingabe'!$K$7:$K$126,"Wirksam")</f>
        <v/>
      </c>
      <c r="N68" s="23">
        <f>H68+K68+SUMIFS('FC Eingabe'!$H$7:$H$126,'FC Eingabe'!$F$7:$F$126,C68,'FC Eingabe'!$K$7:$K$126,"Wirksam")</f>
        <v/>
      </c>
      <c r="O68" s="23">
        <f>SUM(L68:N68)</f>
        <v/>
      </c>
    </row>
    <row r="69" ht="21" customHeight="1">
      <c r="C69" s="10" t="inlineStr">
        <is>
          <t>P4102157457</t>
        </is>
      </c>
      <c r="D69" s="10" t="inlineStr">
        <is>
          <t>tkse RB 2026</t>
        </is>
      </c>
      <c r="E69" s="10" t="inlineStr">
        <is>
          <t>West</t>
        </is>
      </c>
      <c r="F69" s="23" t="n">
        <v>322730.1</v>
      </c>
      <c r="G69" s="23" t="n">
        <v>-146134.19</v>
      </c>
      <c r="H69" s="23" t="n">
        <v>0</v>
      </c>
      <c r="I69" s="23" t="n">
        <v>85000</v>
      </c>
      <c r="J69" s="23" t="n">
        <v>-80000</v>
      </c>
      <c r="K69" s="23" t="n">
        <v>0</v>
      </c>
      <c r="L69" s="23">
        <f>F69+I69+SUMIFS('FC Eingabe'!$G$7:$G$126,'FC Eingabe'!$F$7:$F$126,C69,'FC Eingabe'!$K$7:$K$126,"Wirksam")</f>
        <v/>
      </c>
      <c r="M69" s="23">
        <f>G69+J69-SUMIFS('FC Eingabe'!$I$7:$I$126,'FC Eingabe'!$F$7:$F$126,C69,'FC Eingabe'!$K$7:$K$126,"Wirksam")</f>
        <v/>
      </c>
      <c r="N69" s="23">
        <f>H69+K69+SUMIFS('FC Eingabe'!$H$7:$H$126,'FC Eingabe'!$F$7:$F$126,C69,'FC Eingabe'!$K$7:$K$126,"Wirksam")</f>
        <v/>
      </c>
      <c r="O69" s="23">
        <f>SUM(L69:N69)</f>
        <v/>
      </c>
    </row>
    <row r="70" ht="21" customHeight="1">
      <c r="C70" s="10" t="inlineStr">
        <is>
          <t>P4102157458</t>
        </is>
      </c>
      <c r="D70" s="10" t="inlineStr">
        <is>
          <t>Kleinaufträge Region West 2026</t>
        </is>
      </c>
      <c r="E70" s="10" t="inlineStr">
        <is>
          <t>West</t>
        </is>
      </c>
      <c r="F70" s="23" t="n">
        <v>27473.13</v>
      </c>
      <c r="G70" s="23" t="n">
        <v>-4953.57</v>
      </c>
      <c r="H70" s="23" t="n">
        <v>0</v>
      </c>
      <c r="I70" s="23" t="n">
        <v>0</v>
      </c>
      <c r="J70" s="23" t="n">
        <v>0</v>
      </c>
      <c r="K70" s="23" t="n">
        <v>0</v>
      </c>
      <c r="L70" s="23">
        <f>F70+I70+SUMIFS('FC Eingabe'!$G$7:$G$126,'FC Eingabe'!$F$7:$F$126,C70,'FC Eingabe'!$K$7:$K$126,"Wirksam")</f>
        <v/>
      </c>
      <c r="M70" s="23">
        <f>G70+J70-SUMIFS('FC Eingabe'!$I$7:$I$126,'FC Eingabe'!$F$7:$F$126,C70,'FC Eingabe'!$K$7:$K$126,"Wirksam")</f>
        <v/>
      </c>
      <c r="N70" s="23">
        <f>H70+K70+SUMIFS('FC Eingabe'!$H$7:$H$126,'FC Eingabe'!$F$7:$F$126,C70,'FC Eingabe'!$K$7:$K$126,"Wirksam")</f>
        <v/>
      </c>
      <c r="O70" s="23">
        <f>SUM(L70:N70)</f>
        <v/>
      </c>
    </row>
    <row r="71" ht="21" customHeight="1">
      <c r="C71" s="10" t="inlineStr">
        <is>
          <t>P4102157459</t>
        </is>
      </c>
      <c r="D71" s="10" t="inlineStr">
        <is>
          <t>RB alte Beizanlage</t>
        </is>
      </c>
      <c r="E71" s="10" t="inlineStr">
        <is>
          <t>West</t>
        </is>
      </c>
      <c r="F71" s="23" t="n">
        <v>32538</v>
      </c>
      <c r="G71" s="23" t="n">
        <v>-15918.45</v>
      </c>
      <c r="H71" s="23" t="n">
        <v>0</v>
      </c>
      <c r="I71" s="23" t="n">
        <v>0</v>
      </c>
      <c r="J71" s="23" t="n">
        <v>0</v>
      </c>
      <c r="K71" s="23" t="n">
        <v>0</v>
      </c>
      <c r="L71" s="23">
        <f>F71+I71+SUMIFS('FC Eingabe'!$G$7:$G$126,'FC Eingabe'!$F$7:$F$126,C71,'FC Eingabe'!$K$7:$K$126,"Wirksam")</f>
        <v/>
      </c>
      <c r="M71" s="23">
        <f>G71+J71-SUMIFS('FC Eingabe'!$I$7:$I$126,'FC Eingabe'!$F$7:$F$126,C71,'FC Eingabe'!$K$7:$K$126,"Wirksam")</f>
        <v/>
      </c>
      <c r="N71" s="23">
        <f>H71+K71+SUMIFS('FC Eingabe'!$H$7:$H$126,'FC Eingabe'!$F$7:$F$126,C71,'FC Eingabe'!$K$7:$K$126,"Wirksam")</f>
        <v/>
      </c>
      <c r="O71" s="23">
        <f>SUM(L71:N71)</f>
        <v/>
      </c>
    </row>
    <row r="72" ht="21" customHeight="1">
      <c r="C72" s="10" t="inlineStr">
        <is>
          <t>P4102157461</t>
        </is>
      </c>
      <c r="D72" s="10" t="inlineStr">
        <is>
          <t>Brücke D 1 Seitenteile</t>
        </is>
      </c>
      <c r="E72" s="10" t="inlineStr">
        <is>
          <t>West</t>
        </is>
      </c>
      <c r="F72" s="23" t="n">
        <v>37000</v>
      </c>
      <c r="G72" s="23" t="n">
        <v>-22614.95</v>
      </c>
      <c r="H72" s="23" t="n">
        <v>0</v>
      </c>
      <c r="I72" s="23" t="n">
        <v>0</v>
      </c>
      <c r="J72" s="23" t="n">
        <v>0</v>
      </c>
      <c r="K72" s="23" t="n">
        <v>0</v>
      </c>
      <c r="L72" s="23">
        <f>F72+I72+SUMIFS('FC Eingabe'!$G$7:$G$126,'FC Eingabe'!$F$7:$F$126,C72,'FC Eingabe'!$K$7:$K$126,"Wirksam")</f>
        <v/>
      </c>
      <c r="M72" s="23">
        <f>G72+J72-SUMIFS('FC Eingabe'!$I$7:$I$126,'FC Eingabe'!$F$7:$F$126,C72,'FC Eingabe'!$K$7:$K$126,"Wirksam")</f>
        <v/>
      </c>
      <c r="N72" s="23">
        <f>H72+K72+SUMIFS('FC Eingabe'!$H$7:$H$126,'FC Eingabe'!$F$7:$F$126,C72,'FC Eingabe'!$K$7:$K$126,"Wirksam")</f>
        <v/>
      </c>
      <c r="O72" s="23">
        <f>SUM(L72:N72)</f>
        <v/>
      </c>
    </row>
    <row r="73" ht="21" customHeight="1">
      <c r="C73" s="10" t="inlineStr">
        <is>
          <t>P4102157462</t>
        </is>
      </c>
      <c r="D73" s="10" t="inlineStr">
        <is>
          <t>Waggonverschrottung 2026</t>
        </is>
      </c>
      <c r="E73" s="10" t="inlineStr">
        <is>
          <t>West</t>
        </is>
      </c>
      <c r="F73" s="23" t="n">
        <v>27918.14</v>
      </c>
      <c r="G73" s="23" t="n">
        <v>-30897.53</v>
      </c>
      <c r="H73" s="23" t="n">
        <v>0</v>
      </c>
      <c r="I73" s="23" t="n">
        <v>0</v>
      </c>
      <c r="J73" s="23" t="n">
        <v>0</v>
      </c>
      <c r="K73" s="23" t="n">
        <v>0</v>
      </c>
      <c r="L73" s="23">
        <f>F73+I73+SUMIFS('FC Eingabe'!$G$7:$G$126,'FC Eingabe'!$F$7:$F$126,C73,'FC Eingabe'!$K$7:$K$126,"Wirksam")</f>
        <v/>
      </c>
      <c r="M73" s="23">
        <f>G73+J73-SUMIFS('FC Eingabe'!$I$7:$I$126,'FC Eingabe'!$F$7:$F$126,C73,'FC Eingabe'!$K$7:$K$126,"Wirksam")</f>
        <v/>
      </c>
      <c r="N73" s="23">
        <f>H73+K73+SUMIFS('FC Eingabe'!$H$7:$H$126,'FC Eingabe'!$F$7:$F$126,C73,'FC Eingabe'!$K$7:$K$126,"Wirksam")</f>
        <v/>
      </c>
      <c r="O73" s="23">
        <f>SUM(L73:N73)</f>
        <v/>
      </c>
    </row>
    <row r="74" ht="21" customHeight="1">
      <c r="C74" s="10" t="inlineStr">
        <is>
          <t>P4102157463</t>
        </is>
      </c>
      <c r="D74" s="10" t="inlineStr">
        <is>
          <t>RB Maschinenhaus Bl. B+C</t>
        </is>
      </c>
      <c r="E74" s="10" t="inlineStr">
        <is>
          <t>West</t>
        </is>
      </c>
      <c r="F74" s="23" t="n">
        <v>546993.5699999999</v>
      </c>
      <c r="G74" s="23" t="n">
        <v>-876166.21</v>
      </c>
      <c r="H74" s="23" t="n">
        <v>327267.27</v>
      </c>
      <c r="I74" s="23" t="n">
        <v>546994</v>
      </c>
      <c r="J74" s="23" t="n">
        <v>-350000</v>
      </c>
      <c r="K74" s="23" t="n">
        <v>0</v>
      </c>
      <c r="L74" s="23">
        <f>F74+I74+SUMIFS('FC Eingabe'!$G$7:$G$126,'FC Eingabe'!$F$7:$F$126,C74,'FC Eingabe'!$K$7:$K$126,"Wirksam")</f>
        <v/>
      </c>
      <c r="M74" s="23">
        <f>G74+J74-SUMIFS('FC Eingabe'!$I$7:$I$126,'FC Eingabe'!$F$7:$F$126,C74,'FC Eingabe'!$K$7:$K$126,"Wirksam")</f>
        <v/>
      </c>
      <c r="N74" s="23">
        <f>H74+K74+SUMIFS('FC Eingabe'!$H$7:$H$126,'FC Eingabe'!$F$7:$F$126,C74,'FC Eingabe'!$K$7:$K$126,"Wirksam")</f>
        <v/>
      </c>
      <c r="O74" s="23">
        <f>SUM(L74:N74)</f>
        <v/>
      </c>
    </row>
    <row r="75" ht="21" customHeight="1">
      <c r="C75" s="10" t="inlineStr">
        <is>
          <t>P4102157464</t>
        </is>
      </c>
      <c r="D75" s="10" t="inlineStr">
        <is>
          <t>Asbest Schadstoffsanierung C 601</t>
        </is>
      </c>
      <c r="E75" s="10" t="inlineStr">
        <is>
          <t>West</t>
        </is>
      </c>
      <c r="F75" s="23" t="n">
        <v>23745</v>
      </c>
      <c r="G75" s="23" t="n">
        <v>-15967</v>
      </c>
      <c r="H75" s="23" t="n">
        <v>0</v>
      </c>
      <c r="I75" s="23" t="n">
        <v>0</v>
      </c>
      <c r="J75" s="23" t="n">
        <v>0</v>
      </c>
      <c r="K75" s="23" t="n">
        <v>0</v>
      </c>
      <c r="L75" s="23">
        <f>F75+I75+SUMIFS('FC Eingabe'!$G$7:$G$126,'FC Eingabe'!$F$7:$F$126,C75,'FC Eingabe'!$K$7:$K$126,"Wirksam")</f>
        <v/>
      </c>
      <c r="M75" s="23">
        <f>G75+J75-SUMIFS('FC Eingabe'!$I$7:$I$126,'FC Eingabe'!$F$7:$F$126,C75,'FC Eingabe'!$K$7:$K$126,"Wirksam")</f>
        <v/>
      </c>
      <c r="N75" s="23">
        <f>H75+K75+SUMIFS('FC Eingabe'!$H$7:$H$126,'FC Eingabe'!$F$7:$F$126,C75,'FC Eingabe'!$K$7:$K$126,"Wirksam")</f>
        <v/>
      </c>
      <c r="O75" s="23">
        <f>SUM(L75:N75)</f>
        <v/>
      </c>
    </row>
    <row r="76" ht="21" customHeight="1">
      <c r="C76" s="10" t="inlineStr">
        <is>
          <t>P4102157465</t>
        </is>
      </c>
      <c r="D76" s="10" t="inlineStr">
        <is>
          <t>Reinigungsarbeiten Block B</t>
        </is>
      </c>
      <c r="E76" s="10" t="inlineStr">
        <is>
          <t>West</t>
        </is>
      </c>
      <c r="F76" s="23" t="n">
        <v>16000</v>
      </c>
      <c r="G76" s="23" t="n">
        <v>-8117.03</v>
      </c>
      <c r="H76" s="23" t="n">
        <v>0</v>
      </c>
      <c r="I76" s="23" t="n">
        <v>0</v>
      </c>
      <c r="J76" s="23" t="n">
        <v>0</v>
      </c>
      <c r="K76" s="23" t="n">
        <v>0</v>
      </c>
      <c r="L76" s="23">
        <f>F76+I76+SUMIFS('FC Eingabe'!$G$7:$G$126,'FC Eingabe'!$F$7:$F$126,C76,'FC Eingabe'!$K$7:$K$126,"Wirksam")</f>
        <v/>
      </c>
      <c r="M76" s="23">
        <f>G76+J76-SUMIFS('FC Eingabe'!$I$7:$I$126,'FC Eingabe'!$F$7:$F$126,C76,'FC Eingabe'!$K$7:$K$126,"Wirksam")</f>
        <v/>
      </c>
      <c r="N76" s="23">
        <f>H76+K76+SUMIFS('FC Eingabe'!$H$7:$H$126,'FC Eingabe'!$F$7:$F$126,C76,'FC Eingabe'!$K$7:$K$126,"Wirksam")</f>
        <v/>
      </c>
      <c r="O76" s="23">
        <f>SUM(L76:N76)</f>
        <v/>
      </c>
    </row>
    <row r="77" ht="21" customHeight="1">
      <c r="C77" s="10" t="inlineStr">
        <is>
          <t>P4102157466</t>
        </is>
      </c>
      <c r="D77" s="10" t="inlineStr">
        <is>
          <t>Verschrottung Anlagenteile</t>
        </is>
      </c>
      <c r="E77" s="10" t="inlineStr">
        <is>
          <t>West</t>
        </is>
      </c>
      <c r="F77" s="23" t="n">
        <v>15250</v>
      </c>
      <c r="G77" s="23" t="n">
        <v>-8192.09</v>
      </c>
      <c r="H77" s="23" t="n">
        <v>0</v>
      </c>
      <c r="I77" s="23" t="n">
        <v>0</v>
      </c>
      <c r="J77" s="23" t="n">
        <v>0</v>
      </c>
      <c r="K77" s="23" t="n">
        <v>0</v>
      </c>
      <c r="L77" s="23">
        <f>F77+I77+SUMIFS('FC Eingabe'!$G$7:$G$126,'FC Eingabe'!$F$7:$F$126,C77,'FC Eingabe'!$K$7:$K$126,"Wirksam")</f>
        <v/>
      </c>
      <c r="M77" s="23">
        <f>G77+J77-SUMIFS('FC Eingabe'!$I$7:$I$126,'FC Eingabe'!$F$7:$F$126,C77,'FC Eingabe'!$K$7:$K$126,"Wirksam")</f>
        <v/>
      </c>
      <c r="N77" s="23">
        <f>H77+K77+SUMIFS('FC Eingabe'!$H$7:$H$126,'FC Eingabe'!$F$7:$F$126,C77,'FC Eingabe'!$K$7:$K$126,"Wirksam")</f>
        <v/>
      </c>
      <c r="O77" s="23">
        <f>SUM(L77:N77)</f>
        <v/>
      </c>
    </row>
    <row r="78" ht="21" customHeight="1">
      <c r="C78" s="10" t="inlineStr">
        <is>
          <t>P4102157467</t>
        </is>
      </c>
      <c r="D78" s="10" t="inlineStr">
        <is>
          <t>Plakoma - Dem. Roheisenfähren</t>
        </is>
      </c>
      <c r="E78" s="10" t="inlineStr">
        <is>
          <t>West</t>
        </is>
      </c>
      <c r="F78" s="23" t="n">
        <v>220000</v>
      </c>
      <c r="G78" s="23" t="n">
        <v>-40000</v>
      </c>
      <c r="H78" s="23" t="n">
        <v>0</v>
      </c>
      <c r="I78" s="23" t="n">
        <v>230000</v>
      </c>
      <c r="J78" s="23" t="n">
        <v>-184000</v>
      </c>
      <c r="K78" s="23" t="n">
        <v>0</v>
      </c>
      <c r="L78" s="23">
        <f>F78+I78+SUMIFS('FC Eingabe'!$G$7:$G$126,'FC Eingabe'!$F$7:$F$126,C78,'FC Eingabe'!$K$7:$K$126,"Wirksam")</f>
        <v/>
      </c>
      <c r="M78" s="23">
        <f>G78+J78-SUMIFS('FC Eingabe'!$I$7:$I$126,'FC Eingabe'!$F$7:$F$126,C78,'FC Eingabe'!$K$7:$K$126,"Wirksam")</f>
        <v/>
      </c>
      <c r="N78" s="23">
        <f>H78+K78+SUMIFS('FC Eingabe'!$H$7:$H$126,'FC Eingabe'!$F$7:$F$126,C78,'FC Eingabe'!$K$7:$K$126,"Wirksam")</f>
        <v/>
      </c>
      <c r="O78" s="23">
        <f>SUM(L78:N78)</f>
        <v/>
      </c>
    </row>
    <row r="79" ht="21" customHeight="1">
      <c r="C79" s="10" t="inlineStr">
        <is>
          <t>P4102157468</t>
        </is>
      </c>
      <c r="D79" s="10" t="inlineStr">
        <is>
          <t>Verschr. Kondensattank Kokerei Schwelger</t>
        </is>
      </c>
      <c r="E79" s="10" t="inlineStr">
        <is>
          <t>West</t>
        </is>
      </c>
      <c r="F79" s="23" t="n">
        <v>0</v>
      </c>
      <c r="G79" s="23" t="n">
        <v>-31262.12</v>
      </c>
      <c r="H79" s="23" t="n">
        <v>0</v>
      </c>
      <c r="I79" s="23" t="n">
        <v>0</v>
      </c>
      <c r="J79" s="23" t="n">
        <v>0</v>
      </c>
      <c r="K79" s="23" t="n">
        <v>0</v>
      </c>
      <c r="L79" s="23">
        <f>F79+I79+SUMIFS('FC Eingabe'!$G$7:$G$126,'FC Eingabe'!$F$7:$F$126,C79,'FC Eingabe'!$K$7:$K$126,"Wirksam")</f>
        <v/>
      </c>
      <c r="M79" s="23">
        <f>G79+J79-SUMIFS('FC Eingabe'!$I$7:$I$126,'FC Eingabe'!$F$7:$F$126,C79,'FC Eingabe'!$K$7:$K$126,"Wirksam")</f>
        <v/>
      </c>
      <c r="N79" s="23">
        <f>H79+K79+SUMIFS('FC Eingabe'!$H$7:$H$126,'FC Eingabe'!$F$7:$F$126,C79,'FC Eingabe'!$K$7:$K$126,"Wirksam")</f>
        <v/>
      </c>
      <c r="O79" s="23">
        <f>SUM(L79:N79)</f>
        <v/>
      </c>
    </row>
    <row r="80" ht="21" customHeight="1">
      <c r="C80" s="10" t="inlineStr">
        <is>
          <t>P4102157469</t>
        </is>
      </c>
      <c r="D80" s="10" t="inlineStr">
        <is>
          <t>Anmeldung fehlt</t>
        </is>
      </c>
      <c r="E80" s="10" t="inlineStr">
        <is>
          <t>West</t>
        </is>
      </c>
      <c r="F80" s="23" t="n">
        <v>0</v>
      </c>
      <c r="G80" s="23" t="n">
        <v>-3228.29</v>
      </c>
      <c r="H80" s="23" t="n">
        <v>0</v>
      </c>
      <c r="I80" s="23" t="n">
        <v>0</v>
      </c>
      <c r="J80" s="23" t="n">
        <v>0</v>
      </c>
      <c r="K80" s="23" t="n">
        <v>0</v>
      </c>
      <c r="L80" s="23">
        <f>F80+I80+SUMIFS('FC Eingabe'!$G$7:$G$126,'FC Eingabe'!$F$7:$F$126,C80,'FC Eingabe'!$K$7:$K$126,"Wirksam")</f>
        <v/>
      </c>
      <c r="M80" s="23">
        <f>G80+J80-SUMIFS('FC Eingabe'!$I$7:$I$126,'FC Eingabe'!$F$7:$F$126,C80,'FC Eingabe'!$K$7:$K$126,"Wirksam")</f>
        <v/>
      </c>
      <c r="N80" s="23">
        <f>H80+K80+SUMIFS('FC Eingabe'!$H$7:$H$126,'FC Eingabe'!$F$7:$F$126,C80,'FC Eingabe'!$K$7:$K$126,"Wirksam")</f>
        <v/>
      </c>
      <c r="O80" s="23">
        <f>SUM(L80:N80)</f>
        <v/>
      </c>
    </row>
    <row r="81" ht="21" customHeight="1">
      <c r="C81" s="10" t="inlineStr">
        <is>
          <t>P4102307304</t>
        </is>
      </c>
      <c r="D81" s="10" t="inlineStr">
        <is>
          <t>HKW Süd</t>
        </is>
      </c>
      <c r="E81" s="10" t="inlineStr">
        <is>
          <t>Süd-West</t>
        </is>
      </c>
      <c r="F81" s="23" t="n">
        <v>0</v>
      </c>
      <c r="G81" s="23" t="n">
        <v>-1337.87</v>
      </c>
      <c r="H81" s="23" t="n">
        <v>124.87</v>
      </c>
      <c r="I81" s="23" t="n">
        <v>0</v>
      </c>
      <c r="J81" s="23" t="n">
        <v>0</v>
      </c>
      <c r="K81" s="23" t="n">
        <v>0</v>
      </c>
      <c r="L81" s="23">
        <f>F81+I81+SUMIFS('FC Eingabe'!$G$7:$G$126,'FC Eingabe'!$F$7:$F$126,C81,'FC Eingabe'!$K$7:$K$126,"Wirksam")</f>
        <v/>
      </c>
      <c r="M81" s="23">
        <f>G81+J81-SUMIFS('FC Eingabe'!$I$7:$I$126,'FC Eingabe'!$F$7:$F$126,C81,'FC Eingabe'!$K$7:$K$126,"Wirksam")</f>
        <v/>
      </c>
      <c r="N81" s="23">
        <f>H81+K81+SUMIFS('FC Eingabe'!$H$7:$H$126,'FC Eingabe'!$F$7:$F$126,C81,'FC Eingabe'!$K$7:$K$126,"Wirksam")</f>
        <v/>
      </c>
      <c r="O81" s="23">
        <f>SUM(L81:N81)</f>
        <v/>
      </c>
    </row>
    <row r="82" ht="21" customHeight="1">
      <c r="C82" s="10" t="inlineStr">
        <is>
          <t>P4102307306</t>
        </is>
      </c>
      <c r="D82" s="10" t="inlineStr">
        <is>
          <t>RB Halle Karlsruhe</t>
        </is>
      </c>
      <c r="E82" s="10" t="inlineStr">
        <is>
          <t>Süd-West</t>
        </is>
      </c>
      <c r="F82" s="23" t="n">
        <v>0</v>
      </c>
      <c r="G82" s="23" t="n">
        <v>0</v>
      </c>
      <c r="H82" s="23" t="n">
        <v>-7000</v>
      </c>
      <c r="I82" s="23" t="n">
        <v>0</v>
      </c>
      <c r="J82" s="23" t="n">
        <v>0</v>
      </c>
      <c r="K82" s="23" t="n">
        <v>0</v>
      </c>
      <c r="L82" s="23">
        <f>F82+I82+SUMIFS('FC Eingabe'!$G$7:$G$126,'FC Eingabe'!$F$7:$F$126,C82,'FC Eingabe'!$K$7:$K$126,"Wirksam")</f>
        <v/>
      </c>
      <c r="M82" s="23">
        <f>G82+J82-SUMIFS('FC Eingabe'!$I$7:$I$126,'FC Eingabe'!$F$7:$F$126,C82,'FC Eingabe'!$K$7:$K$126,"Wirksam")</f>
        <v/>
      </c>
      <c r="N82" s="23">
        <f>H82+K82+SUMIFS('FC Eingabe'!$H$7:$H$126,'FC Eingabe'!$F$7:$F$126,C82,'FC Eingabe'!$K$7:$K$126,"Wirksam")</f>
        <v/>
      </c>
      <c r="O82" s="23">
        <f>SUM(L82:N82)</f>
        <v/>
      </c>
    </row>
    <row r="83" ht="21" customHeight="1">
      <c r="C83" s="10" t="inlineStr">
        <is>
          <t>P4102307366</t>
        </is>
      </c>
      <c r="D83" s="10" t="inlineStr">
        <is>
          <t>EnBW UW Niederbühl</t>
        </is>
      </c>
      <c r="E83" s="10" t="inlineStr">
        <is>
          <t>Süd-West</t>
        </is>
      </c>
      <c r="F83" s="23" t="n">
        <v>0</v>
      </c>
      <c r="G83" s="23" t="n">
        <v>0</v>
      </c>
      <c r="H83" s="23" t="n">
        <v>0</v>
      </c>
      <c r="I83" s="23" t="n">
        <v>66000</v>
      </c>
      <c r="J83" s="23" t="n">
        <v>0</v>
      </c>
      <c r="K83" s="23" t="n">
        <v>0</v>
      </c>
      <c r="L83" s="23">
        <f>F83+I83+SUMIFS('FC Eingabe'!$G$7:$G$126,'FC Eingabe'!$F$7:$F$126,C83,'FC Eingabe'!$K$7:$K$126,"Wirksam")</f>
        <v/>
      </c>
      <c r="M83" s="23">
        <f>G83+J83-SUMIFS('FC Eingabe'!$I$7:$I$126,'FC Eingabe'!$F$7:$F$126,C83,'FC Eingabe'!$K$7:$K$126,"Wirksam")</f>
        <v/>
      </c>
      <c r="N83" s="23">
        <f>H83+K83+SUMIFS('FC Eingabe'!$H$7:$H$126,'FC Eingabe'!$F$7:$F$126,C83,'FC Eingabe'!$K$7:$K$126,"Wirksam")</f>
        <v/>
      </c>
      <c r="O83" s="23">
        <f>SUM(L83:N83)</f>
        <v/>
      </c>
    </row>
    <row r="84" ht="21" customHeight="1">
      <c r="C84" s="10" t="inlineStr">
        <is>
          <t>P4102307411</t>
        </is>
      </c>
      <c r="D84" s="10" t="inlineStr">
        <is>
          <t>BASF G 521</t>
        </is>
      </c>
      <c r="E84" s="10" t="inlineStr">
        <is>
          <t>Süd-West</t>
        </is>
      </c>
      <c r="F84" s="23" t="n">
        <v>0</v>
      </c>
      <c r="G84" s="23" t="n">
        <v>0</v>
      </c>
      <c r="H84" s="23" t="n">
        <v>0</v>
      </c>
      <c r="I84" s="23" t="n">
        <v>0</v>
      </c>
      <c r="J84" s="23" t="n">
        <v>0</v>
      </c>
      <c r="K84" s="23" t="n">
        <v>0</v>
      </c>
      <c r="L84" s="23">
        <f>F84+I84+SUMIFS('FC Eingabe'!$G$7:$G$126,'FC Eingabe'!$F$7:$F$126,C84,'FC Eingabe'!$K$7:$K$126,"Wirksam")</f>
        <v/>
      </c>
      <c r="M84" s="23">
        <f>G84+J84-SUMIFS('FC Eingabe'!$I$7:$I$126,'FC Eingabe'!$F$7:$F$126,C84,'FC Eingabe'!$K$7:$K$126,"Wirksam")</f>
        <v/>
      </c>
      <c r="N84" s="23">
        <f>H84+K84+SUMIFS('FC Eingabe'!$H$7:$H$126,'FC Eingabe'!$F$7:$F$126,C84,'FC Eingabe'!$K$7:$K$126,"Wirksam")</f>
        <v/>
      </c>
      <c r="O84" s="23">
        <f>SUM(L84:N84)</f>
        <v/>
      </c>
    </row>
    <row r="85" ht="21" customHeight="1">
      <c r="C85" s="10" t="inlineStr">
        <is>
          <t>P4102307416</t>
        </is>
      </c>
      <c r="D85" s="10" t="inlineStr">
        <is>
          <t>BASF O 405 Ammoniak</t>
        </is>
      </c>
      <c r="E85" s="10" t="inlineStr">
        <is>
          <t>Süd-West</t>
        </is>
      </c>
      <c r="F85" s="23" t="n">
        <v>0</v>
      </c>
      <c r="G85" s="23" t="n">
        <v>0</v>
      </c>
      <c r="H85" s="23" t="n">
        <v>-25780.46</v>
      </c>
      <c r="I85" s="23" t="n">
        <v>0</v>
      </c>
      <c r="J85" s="23" t="n">
        <v>0</v>
      </c>
      <c r="K85" s="23" t="n">
        <v>0</v>
      </c>
      <c r="L85" s="23">
        <f>F85+I85+SUMIFS('FC Eingabe'!$G$7:$G$126,'FC Eingabe'!$F$7:$F$126,C85,'FC Eingabe'!$K$7:$K$126,"Wirksam")</f>
        <v/>
      </c>
      <c r="M85" s="23">
        <f>G85+J85-SUMIFS('FC Eingabe'!$I$7:$I$126,'FC Eingabe'!$F$7:$F$126,C85,'FC Eingabe'!$K$7:$K$126,"Wirksam")</f>
        <v/>
      </c>
      <c r="N85" s="23">
        <f>H85+K85+SUMIFS('FC Eingabe'!$H$7:$H$126,'FC Eingabe'!$F$7:$F$126,C85,'FC Eingabe'!$K$7:$K$126,"Wirksam")</f>
        <v/>
      </c>
      <c r="O85" s="23">
        <f>SUM(L85:N85)</f>
        <v/>
      </c>
    </row>
    <row r="86" ht="21" customHeight="1">
      <c r="C86" s="10" t="inlineStr">
        <is>
          <t>P4102307422</t>
        </is>
      </c>
      <c r="D86" s="10" t="inlineStr">
        <is>
          <t>BASF M 950</t>
        </is>
      </c>
      <c r="E86" s="10" t="inlineStr">
        <is>
          <t>Süd-West</t>
        </is>
      </c>
      <c r="F86" s="23" t="n">
        <v>1613.33</v>
      </c>
      <c r="G86" s="23" t="n">
        <v>-17995.46</v>
      </c>
      <c r="H86" s="23" t="n">
        <v>-10353.48</v>
      </c>
      <c r="I86" s="23" t="n">
        <v>0</v>
      </c>
      <c r="J86" s="23" t="n">
        <v>0</v>
      </c>
      <c r="K86" s="23" t="n">
        <v>0</v>
      </c>
      <c r="L86" s="23">
        <f>F86+I86+SUMIFS('FC Eingabe'!$G$7:$G$126,'FC Eingabe'!$F$7:$F$126,C86,'FC Eingabe'!$K$7:$K$126,"Wirksam")</f>
        <v/>
      </c>
      <c r="M86" s="23">
        <f>G86+J86-SUMIFS('FC Eingabe'!$I$7:$I$126,'FC Eingabe'!$F$7:$F$126,C86,'FC Eingabe'!$K$7:$K$126,"Wirksam")</f>
        <v/>
      </c>
      <c r="N86" s="23">
        <f>H86+K86+SUMIFS('FC Eingabe'!$H$7:$H$126,'FC Eingabe'!$F$7:$F$126,C86,'FC Eingabe'!$K$7:$K$126,"Wirksam")</f>
        <v/>
      </c>
      <c r="O86" s="23">
        <f>SUM(L86:N86)</f>
        <v/>
      </c>
    </row>
    <row r="87" ht="21" customHeight="1">
      <c r="C87" s="10" t="inlineStr">
        <is>
          <t>P4102307423</t>
        </is>
      </c>
      <c r="D87" s="10" t="inlineStr">
        <is>
          <t>BASF F 712</t>
        </is>
      </c>
      <c r="E87" s="10" t="inlineStr">
        <is>
          <t>Süd-West</t>
        </is>
      </c>
      <c r="F87" s="23" t="n">
        <v>29755.02</v>
      </c>
      <c r="G87" s="23" t="n">
        <v>-31000</v>
      </c>
      <c r="H87" s="23" t="n">
        <v>0</v>
      </c>
      <c r="I87" s="23" t="n">
        <v>0</v>
      </c>
      <c r="J87" s="23" t="n">
        <v>0</v>
      </c>
      <c r="K87" s="23" t="n">
        <v>0</v>
      </c>
      <c r="L87" s="23">
        <f>F87+I87+SUMIFS('FC Eingabe'!$G$7:$G$126,'FC Eingabe'!$F$7:$F$126,C87,'FC Eingabe'!$K$7:$K$126,"Wirksam")</f>
        <v/>
      </c>
      <c r="M87" s="23">
        <f>G87+J87-SUMIFS('FC Eingabe'!$I$7:$I$126,'FC Eingabe'!$F$7:$F$126,C87,'FC Eingabe'!$K$7:$K$126,"Wirksam")</f>
        <v/>
      </c>
      <c r="N87" s="23">
        <f>H87+K87+SUMIFS('FC Eingabe'!$H$7:$H$126,'FC Eingabe'!$F$7:$F$126,C87,'FC Eingabe'!$K$7:$K$126,"Wirksam")</f>
        <v/>
      </c>
      <c r="O87" s="23">
        <f>SUM(L87:N87)</f>
        <v/>
      </c>
    </row>
    <row r="88" ht="21" customHeight="1">
      <c r="C88" s="10" t="inlineStr">
        <is>
          <t>P4102307424</t>
        </is>
      </c>
      <c r="D88" s="10" t="inlineStr">
        <is>
          <t>BASF P 703</t>
        </is>
      </c>
      <c r="E88" s="10" t="inlineStr">
        <is>
          <t>Süd-West</t>
        </is>
      </c>
      <c r="F88" s="23" t="n">
        <v>0</v>
      </c>
      <c r="G88" s="23" t="n">
        <v>-166.84</v>
      </c>
      <c r="H88" s="23" t="n">
        <v>0</v>
      </c>
      <c r="I88" s="23" t="n">
        <v>0</v>
      </c>
      <c r="J88" s="23" t="n">
        <v>0</v>
      </c>
      <c r="K88" s="23" t="n">
        <v>0</v>
      </c>
      <c r="L88" s="23">
        <f>F88+I88+SUMIFS('FC Eingabe'!$G$7:$G$126,'FC Eingabe'!$F$7:$F$126,C88,'FC Eingabe'!$K$7:$K$126,"Wirksam")</f>
        <v/>
      </c>
      <c r="M88" s="23">
        <f>G88+J88-SUMIFS('FC Eingabe'!$I$7:$I$126,'FC Eingabe'!$F$7:$F$126,C88,'FC Eingabe'!$K$7:$K$126,"Wirksam")</f>
        <v/>
      </c>
      <c r="N88" s="23">
        <f>H88+K88+SUMIFS('FC Eingabe'!$H$7:$H$126,'FC Eingabe'!$F$7:$F$126,C88,'FC Eingabe'!$K$7:$K$126,"Wirksam")</f>
        <v/>
      </c>
      <c r="O88" s="23">
        <f>SUM(L88:N88)</f>
        <v/>
      </c>
    </row>
    <row r="89" ht="21" customHeight="1">
      <c r="C89" s="10" t="inlineStr">
        <is>
          <t>P4102307426</t>
        </is>
      </c>
      <c r="D89" s="10" t="inlineStr">
        <is>
          <t>BASF Z 300</t>
        </is>
      </c>
      <c r="E89" s="10" t="inlineStr">
        <is>
          <t>Süd-West</t>
        </is>
      </c>
      <c r="F89" s="23" t="n">
        <v>40236.26</v>
      </c>
      <c r="G89" s="23" t="n">
        <v>-31447.44</v>
      </c>
      <c r="H89" s="23" t="n">
        <v>0</v>
      </c>
      <c r="I89" s="23" t="n">
        <v>10000</v>
      </c>
      <c r="J89" s="23" t="n">
        <v>0</v>
      </c>
      <c r="K89" s="23" t="n">
        <v>0</v>
      </c>
      <c r="L89" s="23">
        <f>F89+I89+SUMIFS('FC Eingabe'!$G$7:$G$126,'FC Eingabe'!$F$7:$F$126,C89,'FC Eingabe'!$K$7:$K$126,"Wirksam")</f>
        <v/>
      </c>
      <c r="M89" s="23">
        <f>G89+J89-SUMIFS('FC Eingabe'!$I$7:$I$126,'FC Eingabe'!$F$7:$F$126,C89,'FC Eingabe'!$K$7:$K$126,"Wirksam")</f>
        <v/>
      </c>
      <c r="N89" s="23">
        <f>H89+K89+SUMIFS('FC Eingabe'!$H$7:$H$126,'FC Eingabe'!$F$7:$F$126,C89,'FC Eingabe'!$K$7:$K$126,"Wirksam")</f>
        <v/>
      </c>
      <c r="O89" s="23">
        <f>SUM(L89:N89)</f>
        <v/>
      </c>
    </row>
    <row r="90" ht="21" customHeight="1">
      <c r="C90" s="10" t="inlineStr">
        <is>
          <t>P4102307427</t>
        </is>
      </c>
      <c r="D90" s="10" t="inlineStr">
        <is>
          <t>BASF N 720</t>
        </is>
      </c>
      <c r="E90" s="10" t="inlineStr">
        <is>
          <t>Süd-West</t>
        </is>
      </c>
      <c r="F90" s="23" t="n">
        <v>40570.44</v>
      </c>
      <c r="G90" s="23" t="n">
        <v>-63381.2</v>
      </c>
      <c r="H90" s="23" t="n">
        <v>0</v>
      </c>
      <c r="I90" s="23" t="n">
        <v>100000</v>
      </c>
      <c r="J90" s="23" t="n">
        <v>-95000</v>
      </c>
      <c r="K90" s="23" t="n">
        <v>0</v>
      </c>
      <c r="L90" s="23">
        <f>F90+I90+SUMIFS('FC Eingabe'!$G$7:$G$126,'FC Eingabe'!$F$7:$F$126,C90,'FC Eingabe'!$K$7:$K$126,"Wirksam")</f>
        <v/>
      </c>
      <c r="M90" s="23">
        <f>G90+J90-SUMIFS('FC Eingabe'!$I$7:$I$126,'FC Eingabe'!$F$7:$F$126,C90,'FC Eingabe'!$K$7:$K$126,"Wirksam")</f>
        <v/>
      </c>
      <c r="N90" s="23">
        <f>H90+K90+SUMIFS('FC Eingabe'!$H$7:$H$126,'FC Eingabe'!$F$7:$F$126,C90,'FC Eingabe'!$K$7:$K$126,"Wirksam")</f>
        <v/>
      </c>
      <c r="O90" s="23">
        <f>SUM(L90:N90)</f>
        <v/>
      </c>
    </row>
    <row r="91" ht="21" customHeight="1">
      <c r="C91" s="10" t="inlineStr">
        <is>
          <t>P4102307428</t>
        </is>
      </c>
      <c r="D91" s="10" t="inlineStr">
        <is>
          <t>BASF O 405</t>
        </is>
      </c>
      <c r="E91" s="10" t="inlineStr">
        <is>
          <t>Süd-West</t>
        </is>
      </c>
      <c r="F91" s="23" t="n">
        <v>149536.25</v>
      </c>
      <c r="G91" s="23" t="n">
        <v>-7367.86</v>
      </c>
      <c r="H91" s="23" t="n">
        <v>0</v>
      </c>
      <c r="I91" s="23" t="n">
        <v>49000</v>
      </c>
      <c r="J91" s="23" t="n">
        <v>-29400</v>
      </c>
      <c r="K91" s="23" t="n">
        <v>0</v>
      </c>
      <c r="L91" s="23">
        <f>F91+I91+SUMIFS('FC Eingabe'!$G$7:$G$126,'FC Eingabe'!$F$7:$F$126,C91,'FC Eingabe'!$K$7:$K$126,"Wirksam")</f>
        <v/>
      </c>
      <c r="M91" s="23">
        <f>G91+J91-SUMIFS('FC Eingabe'!$I$7:$I$126,'FC Eingabe'!$F$7:$F$126,C91,'FC Eingabe'!$K$7:$K$126,"Wirksam")</f>
        <v/>
      </c>
      <c r="N91" s="23">
        <f>H91+K91+SUMIFS('FC Eingabe'!$H$7:$H$126,'FC Eingabe'!$F$7:$F$126,C91,'FC Eingabe'!$K$7:$K$126,"Wirksam")</f>
        <v/>
      </c>
      <c r="O91" s="23">
        <f>SUM(L91:N91)</f>
        <v/>
      </c>
    </row>
    <row r="92" ht="21" customHeight="1">
      <c r="C92" s="10" t="inlineStr">
        <is>
          <t>P4102307429</t>
        </is>
      </c>
      <c r="D92" s="10" t="inlineStr">
        <is>
          <t>BASF C 509</t>
        </is>
      </c>
      <c r="E92" s="10" t="inlineStr">
        <is>
          <t>Süd-West</t>
        </is>
      </c>
      <c r="F92" s="23" t="n">
        <v>47313.87</v>
      </c>
      <c r="G92" s="23" t="n">
        <v>-11295.81</v>
      </c>
      <c r="H92" s="23" t="n">
        <v>0</v>
      </c>
      <c r="I92" s="23" t="n">
        <v>0</v>
      </c>
      <c r="J92" s="23" t="n">
        <v>0</v>
      </c>
      <c r="K92" s="23" t="n">
        <v>0</v>
      </c>
      <c r="L92" s="23">
        <f>F92+I92+SUMIFS('FC Eingabe'!$G$7:$G$126,'FC Eingabe'!$F$7:$F$126,C92,'FC Eingabe'!$K$7:$K$126,"Wirksam")</f>
        <v/>
      </c>
      <c r="M92" s="23">
        <f>G92+J92-SUMIFS('FC Eingabe'!$I$7:$I$126,'FC Eingabe'!$F$7:$F$126,C92,'FC Eingabe'!$K$7:$K$126,"Wirksam")</f>
        <v/>
      </c>
      <c r="N92" s="23">
        <f>H92+K92+SUMIFS('FC Eingabe'!$H$7:$H$126,'FC Eingabe'!$F$7:$F$126,C92,'FC Eingabe'!$K$7:$K$126,"Wirksam")</f>
        <v/>
      </c>
      <c r="O92" s="23">
        <f>SUM(L92:N92)</f>
        <v/>
      </c>
    </row>
    <row r="93" ht="21" customHeight="1">
      <c r="C93" s="10" t="inlineStr">
        <is>
          <t>P4102307430</t>
        </is>
      </c>
      <c r="D93" s="10" t="inlineStr">
        <is>
          <t>BASF E 701</t>
        </is>
      </c>
      <c r="E93" s="10" t="inlineStr">
        <is>
          <t>Süd-West</t>
        </is>
      </c>
      <c r="F93" s="23" t="n">
        <v>42425.11</v>
      </c>
      <c r="G93" s="23" t="n">
        <v>-19891.85</v>
      </c>
      <c r="H93" s="23" t="n">
        <v>0</v>
      </c>
      <c r="I93" s="23" t="n">
        <v>0</v>
      </c>
      <c r="J93" s="23" t="n">
        <v>0</v>
      </c>
      <c r="K93" s="23" t="n">
        <v>0</v>
      </c>
      <c r="L93" s="23">
        <f>F93+I93+SUMIFS('FC Eingabe'!$G$7:$G$126,'FC Eingabe'!$F$7:$F$126,C93,'FC Eingabe'!$K$7:$K$126,"Wirksam")</f>
        <v/>
      </c>
      <c r="M93" s="23">
        <f>G93+J93-SUMIFS('FC Eingabe'!$I$7:$I$126,'FC Eingabe'!$F$7:$F$126,C93,'FC Eingabe'!$K$7:$K$126,"Wirksam")</f>
        <v/>
      </c>
      <c r="N93" s="23">
        <f>H93+K93+SUMIFS('FC Eingabe'!$H$7:$H$126,'FC Eingabe'!$F$7:$F$126,C93,'FC Eingabe'!$K$7:$K$126,"Wirksam")</f>
        <v/>
      </c>
      <c r="O93" s="23">
        <f>SUM(L93:N93)</f>
        <v/>
      </c>
    </row>
    <row r="94" ht="21" customHeight="1">
      <c r="C94" s="10" t="inlineStr">
        <is>
          <t>P4102307431</t>
        </is>
      </c>
      <c r="D94" s="10" t="inlineStr">
        <is>
          <t>HNVG Bauph. II Gaswerk</t>
        </is>
      </c>
      <c r="E94" s="10" t="inlineStr">
        <is>
          <t>Süd-West</t>
        </is>
      </c>
      <c r="F94" s="23" t="n">
        <v>97490.11</v>
      </c>
      <c r="G94" s="23" t="n">
        <v>0</v>
      </c>
      <c r="H94" s="23" t="n">
        <v>-83199.77</v>
      </c>
      <c r="I94" s="23" t="n">
        <v>0</v>
      </c>
      <c r="J94" s="23" t="n">
        <v>0</v>
      </c>
      <c r="K94" s="23" t="n">
        <v>0</v>
      </c>
      <c r="L94" s="23">
        <f>F94+I94+SUMIFS('FC Eingabe'!$G$7:$G$126,'FC Eingabe'!$F$7:$F$126,C94,'FC Eingabe'!$K$7:$K$126,"Wirksam")</f>
        <v/>
      </c>
      <c r="M94" s="23">
        <f>G94+J94-SUMIFS('FC Eingabe'!$I$7:$I$126,'FC Eingabe'!$F$7:$F$126,C94,'FC Eingabe'!$K$7:$K$126,"Wirksam")</f>
        <v/>
      </c>
      <c r="N94" s="23">
        <f>H94+K94+SUMIFS('FC Eingabe'!$H$7:$H$126,'FC Eingabe'!$F$7:$F$126,C94,'FC Eingabe'!$K$7:$K$126,"Wirksam")</f>
        <v/>
      </c>
      <c r="O94" s="23">
        <f>SUM(L94:N94)</f>
        <v/>
      </c>
    </row>
    <row r="95" ht="21" customHeight="1">
      <c r="C95" s="10" t="inlineStr">
        <is>
          <t>P4102307432</t>
        </is>
      </c>
      <c r="D95" s="10" t="inlineStr">
        <is>
          <t>HNVG - Bauph. III Gaswerk</t>
        </is>
      </c>
      <c r="E95" s="10" t="inlineStr">
        <is>
          <t>Süd-West</t>
        </is>
      </c>
      <c r="F95" s="23" t="n">
        <v>85258.00999999999</v>
      </c>
      <c r="G95" s="23" t="n">
        <v>-30600</v>
      </c>
      <c r="H95" s="23" t="n">
        <v>-39732.85</v>
      </c>
      <c r="I95" s="23" t="n">
        <v>0</v>
      </c>
      <c r="J95" s="23" t="n">
        <v>0</v>
      </c>
      <c r="K95" s="23" t="n">
        <v>0</v>
      </c>
      <c r="L95" s="23">
        <f>F95+I95+SUMIFS('FC Eingabe'!$G$7:$G$126,'FC Eingabe'!$F$7:$F$126,C95,'FC Eingabe'!$K$7:$K$126,"Wirksam")</f>
        <v/>
      </c>
      <c r="M95" s="23">
        <f>G95+J95-SUMIFS('FC Eingabe'!$I$7:$I$126,'FC Eingabe'!$F$7:$F$126,C95,'FC Eingabe'!$K$7:$K$126,"Wirksam")</f>
        <v/>
      </c>
      <c r="N95" s="23">
        <f>H95+K95+SUMIFS('FC Eingabe'!$H$7:$H$126,'FC Eingabe'!$F$7:$F$126,C95,'FC Eingabe'!$K$7:$K$126,"Wirksam")</f>
        <v/>
      </c>
      <c r="O95" s="23">
        <f>SUM(L95:N95)</f>
        <v/>
      </c>
    </row>
    <row r="96" ht="21" customHeight="1">
      <c r="C96" s="10" t="inlineStr">
        <is>
          <t>P4102307433</t>
        </is>
      </c>
      <c r="D96" s="10" t="inlineStr">
        <is>
          <t>BASF U 505 Blauer Block</t>
        </is>
      </c>
      <c r="E96" s="10" t="inlineStr">
        <is>
          <t>Süd-West</t>
        </is>
      </c>
      <c r="F96" s="23" t="n">
        <v>845320.52</v>
      </c>
      <c r="G96" s="23" t="n">
        <v>-825817.55</v>
      </c>
      <c r="H96" s="23" t="n">
        <v>0</v>
      </c>
      <c r="I96" s="23" t="n">
        <v>200000</v>
      </c>
      <c r="J96" s="23" t="n">
        <v>-120000</v>
      </c>
      <c r="K96" s="23" t="n">
        <v>0</v>
      </c>
      <c r="L96" s="23">
        <f>F96+I96+SUMIFS('FC Eingabe'!$G$7:$G$126,'FC Eingabe'!$F$7:$F$126,C96,'FC Eingabe'!$K$7:$K$126,"Wirksam")</f>
        <v/>
      </c>
      <c r="M96" s="23">
        <f>G96+J96-SUMIFS('FC Eingabe'!$I$7:$I$126,'FC Eingabe'!$F$7:$F$126,C96,'FC Eingabe'!$K$7:$K$126,"Wirksam")</f>
        <v/>
      </c>
      <c r="N96" s="23">
        <f>H96+K96+SUMIFS('FC Eingabe'!$H$7:$H$126,'FC Eingabe'!$F$7:$F$126,C96,'FC Eingabe'!$K$7:$K$126,"Wirksam")</f>
        <v/>
      </c>
      <c r="O96" s="23">
        <f>SUM(L96:N96)</f>
        <v/>
      </c>
    </row>
    <row r="97" ht="21" customHeight="1">
      <c r="C97" s="10" t="inlineStr">
        <is>
          <t>P4102307434</t>
        </is>
      </c>
      <c r="D97" s="10" t="inlineStr">
        <is>
          <t>BASF S 304</t>
        </is>
      </c>
      <c r="E97" s="10" t="inlineStr">
        <is>
          <t>Süd-West</t>
        </is>
      </c>
      <c r="F97" s="23" t="n">
        <v>60554.04</v>
      </c>
      <c r="G97" s="23" t="n">
        <v>-22058.42</v>
      </c>
      <c r="H97" s="23" t="n">
        <v>-46621</v>
      </c>
      <c r="I97" s="23" t="n">
        <v>0</v>
      </c>
      <c r="J97" s="23" t="n">
        <v>0</v>
      </c>
      <c r="K97" s="23" t="n">
        <v>0</v>
      </c>
      <c r="L97" s="23">
        <f>F97+I97+SUMIFS('FC Eingabe'!$G$7:$G$126,'FC Eingabe'!$F$7:$F$126,C97,'FC Eingabe'!$K$7:$K$126,"Wirksam")</f>
        <v/>
      </c>
      <c r="M97" s="23">
        <f>G97+J97-SUMIFS('FC Eingabe'!$I$7:$I$126,'FC Eingabe'!$F$7:$F$126,C97,'FC Eingabe'!$K$7:$K$126,"Wirksam")</f>
        <v/>
      </c>
      <c r="N97" s="23">
        <f>H97+K97+SUMIFS('FC Eingabe'!$H$7:$H$126,'FC Eingabe'!$F$7:$F$126,C97,'FC Eingabe'!$K$7:$K$126,"Wirksam")</f>
        <v/>
      </c>
      <c r="O97" s="23">
        <f>SUM(L97:N97)</f>
        <v/>
      </c>
    </row>
    <row r="98" ht="21" customHeight="1">
      <c r="C98" s="10" t="inlineStr">
        <is>
          <t>P4102307435</t>
        </is>
      </c>
      <c r="D98" s="10" t="inlineStr">
        <is>
          <t>ENBW - KW Walheim</t>
        </is>
      </c>
      <c r="E98" s="10" t="inlineStr">
        <is>
          <t>Süd-West</t>
        </is>
      </c>
      <c r="F98" s="23" t="n">
        <v>240770.35</v>
      </c>
      <c r="G98" s="23" t="n">
        <v>-142710.2</v>
      </c>
      <c r="H98" s="23" t="n">
        <v>-168400.34</v>
      </c>
      <c r="I98" s="23" t="n">
        <v>0</v>
      </c>
      <c r="J98" s="23" t="n">
        <v>0</v>
      </c>
      <c r="K98" s="23" t="n">
        <v>0</v>
      </c>
      <c r="L98" s="23">
        <f>F98+I98+SUMIFS('FC Eingabe'!$G$7:$G$126,'FC Eingabe'!$F$7:$F$126,C98,'FC Eingabe'!$K$7:$K$126,"Wirksam")</f>
        <v/>
      </c>
      <c r="M98" s="23">
        <f>G98+J98-SUMIFS('FC Eingabe'!$I$7:$I$126,'FC Eingabe'!$F$7:$F$126,C98,'FC Eingabe'!$K$7:$K$126,"Wirksam")</f>
        <v/>
      </c>
      <c r="N98" s="23">
        <f>H98+K98+SUMIFS('FC Eingabe'!$H$7:$H$126,'FC Eingabe'!$F$7:$F$126,C98,'FC Eingabe'!$K$7:$K$126,"Wirksam")</f>
        <v/>
      </c>
      <c r="O98" s="23">
        <f>SUM(L98:N98)</f>
        <v/>
      </c>
    </row>
    <row r="99" ht="21" customHeight="1">
      <c r="C99" s="10" t="inlineStr">
        <is>
          <t>P4102307436</t>
        </is>
      </c>
      <c r="D99" s="10" t="inlineStr">
        <is>
          <t>BASF O 914 - O 915</t>
        </is>
      </c>
      <c r="E99" s="10" t="inlineStr">
        <is>
          <t>Süd-West</t>
        </is>
      </c>
      <c r="F99" s="23" t="n">
        <v>51822.08</v>
      </c>
      <c r="G99" s="23" t="n">
        <v>-56256.37</v>
      </c>
      <c r="H99" s="23" t="n">
        <v>5723.3</v>
      </c>
      <c r="I99" s="23" t="n">
        <v>0</v>
      </c>
      <c r="J99" s="23" t="n">
        <v>0</v>
      </c>
      <c r="K99" s="23" t="n">
        <v>0</v>
      </c>
      <c r="L99" s="23">
        <f>F99+I99+SUMIFS('FC Eingabe'!$G$7:$G$126,'FC Eingabe'!$F$7:$F$126,C99,'FC Eingabe'!$K$7:$K$126,"Wirksam")</f>
        <v/>
      </c>
      <c r="M99" s="23">
        <f>G99+J99-SUMIFS('FC Eingabe'!$I$7:$I$126,'FC Eingabe'!$F$7:$F$126,C99,'FC Eingabe'!$K$7:$K$126,"Wirksam")</f>
        <v/>
      </c>
      <c r="N99" s="23">
        <f>H99+K99+SUMIFS('FC Eingabe'!$H$7:$H$126,'FC Eingabe'!$F$7:$F$126,C99,'FC Eingabe'!$K$7:$K$126,"Wirksam")</f>
        <v/>
      </c>
      <c r="O99" s="23">
        <f>SUM(L99:N99)</f>
        <v/>
      </c>
    </row>
    <row r="100" ht="21" customHeight="1">
      <c r="C100" s="10" t="inlineStr">
        <is>
          <t>P4102307437</t>
        </is>
      </c>
      <c r="D100" s="10" t="inlineStr">
        <is>
          <t>ENBW - KW Walheim, Permutit-Anlage</t>
        </is>
      </c>
      <c r="E100" s="10" t="inlineStr">
        <is>
          <t>Süd-West</t>
        </is>
      </c>
      <c r="F100" s="23" t="n">
        <v>66801.86</v>
      </c>
      <c r="G100" s="23" t="n">
        <v>-188.19</v>
      </c>
      <c r="H100" s="23" t="n">
        <v>-66752</v>
      </c>
      <c r="I100" s="23" t="n">
        <v>0</v>
      </c>
      <c r="J100" s="23" t="n">
        <v>0</v>
      </c>
      <c r="K100" s="23" t="n">
        <v>0</v>
      </c>
      <c r="L100" s="23">
        <f>F100+I100+SUMIFS('FC Eingabe'!$G$7:$G$126,'FC Eingabe'!$F$7:$F$126,C100,'FC Eingabe'!$K$7:$K$126,"Wirksam")</f>
        <v/>
      </c>
      <c r="M100" s="23">
        <f>G100+J100-SUMIFS('FC Eingabe'!$I$7:$I$126,'FC Eingabe'!$F$7:$F$126,C100,'FC Eingabe'!$K$7:$K$126,"Wirksam")</f>
        <v/>
      </c>
      <c r="N100" s="23">
        <f>H100+K100+SUMIFS('FC Eingabe'!$H$7:$H$126,'FC Eingabe'!$F$7:$F$126,C100,'FC Eingabe'!$K$7:$K$126,"Wirksam")</f>
        <v/>
      </c>
      <c r="O100" s="23">
        <f>SUM(L100:N100)</f>
        <v/>
      </c>
    </row>
    <row r="101" ht="21" customHeight="1">
      <c r="C101" s="10" t="inlineStr">
        <is>
          <t>P4102307438</t>
        </is>
      </c>
      <c r="D101" s="10" t="inlineStr">
        <is>
          <t>Netze BW- UW Bruchsal</t>
        </is>
      </c>
      <c r="E101" s="10" t="inlineStr">
        <is>
          <t>Süd-West</t>
        </is>
      </c>
      <c r="F101" s="23" t="n">
        <v>20108.3</v>
      </c>
      <c r="G101" s="23" t="n">
        <v>-65980.50999999999</v>
      </c>
      <c r="H101" s="23" t="n">
        <v>66878.32000000001</v>
      </c>
      <c r="I101" s="23" t="n">
        <v>81000</v>
      </c>
      <c r="J101" s="23" t="n">
        <v>-70227</v>
      </c>
      <c r="K101" s="23" t="n">
        <v>0</v>
      </c>
      <c r="L101" s="23">
        <f>F101+I101+SUMIFS('FC Eingabe'!$G$7:$G$126,'FC Eingabe'!$F$7:$F$126,C101,'FC Eingabe'!$K$7:$K$126,"Wirksam")</f>
        <v/>
      </c>
      <c r="M101" s="23">
        <f>G101+J101-SUMIFS('FC Eingabe'!$I$7:$I$126,'FC Eingabe'!$F$7:$F$126,C101,'FC Eingabe'!$K$7:$K$126,"Wirksam")</f>
        <v/>
      </c>
      <c r="N101" s="23">
        <f>H101+K101+SUMIFS('FC Eingabe'!$H$7:$H$126,'FC Eingabe'!$F$7:$F$126,C101,'FC Eingabe'!$K$7:$K$126,"Wirksam")</f>
        <v/>
      </c>
      <c r="O101" s="23">
        <f>SUM(L101:N101)</f>
        <v/>
      </c>
    </row>
    <row r="102" ht="21" customHeight="1">
      <c r="C102" s="10" t="inlineStr">
        <is>
          <t>P4102307439</t>
        </is>
      </c>
      <c r="D102" s="10" t="inlineStr">
        <is>
          <t>BASF U 405 Teil 1</t>
        </is>
      </c>
      <c r="E102" s="10" t="inlineStr">
        <is>
          <t>Süd-West</t>
        </is>
      </c>
      <c r="F102" s="23" t="n">
        <v>73270.25</v>
      </c>
      <c r="G102" s="23" t="n">
        <v>-104560.54</v>
      </c>
      <c r="H102" s="23" t="n">
        <v>0</v>
      </c>
      <c r="I102" s="23" t="n">
        <v>94000</v>
      </c>
      <c r="J102" s="23" t="n">
        <v>-50000</v>
      </c>
      <c r="K102" s="23" t="n">
        <v>0</v>
      </c>
      <c r="L102" s="23">
        <f>F102+I102+SUMIFS('FC Eingabe'!$G$7:$G$126,'FC Eingabe'!$F$7:$F$126,C102,'FC Eingabe'!$K$7:$K$126,"Wirksam")</f>
        <v/>
      </c>
      <c r="M102" s="23">
        <f>G102+J102-SUMIFS('FC Eingabe'!$I$7:$I$126,'FC Eingabe'!$F$7:$F$126,C102,'FC Eingabe'!$K$7:$K$126,"Wirksam")</f>
        <v/>
      </c>
      <c r="N102" s="23">
        <f>H102+K102+SUMIFS('FC Eingabe'!$H$7:$H$126,'FC Eingabe'!$F$7:$F$126,C102,'FC Eingabe'!$K$7:$K$126,"Wirksam")</f>
        <v/>
      </c>
      <c r="O102" s="23">
        <f>SUM(L102:N102)</f>
        <v/>
      </c>
    </row>
    <row r="103" ht="21" customHeight="1">
      <c r="C103" s="10" t="inlineStr">
        <is>
          <t>P4102307440</t>
        </is>
      </c>
      <c r="D103" s="10" t="inlineStr">
        <is>
          <t>BASF  L 605</t>
        </is>
      </c>
      <c r="E103" s="10" t="inlineStr">
        <is>
          <t>Süd-West</t>
        </is>
      </c>
      <c r="F103" s="23" t="n">
        <v>249898.21</v>
      </c>
      <c r="G103" s="23" t="n">
        <v>-161600.06</v>
      </c>
      <c r="H103" s="23" t="n">
        <v>0</v>
      </c>
      <c r="I103" s="23" t="n">
        <v>0</v>
      </c>
      <c r="J103" s="23" t="n">
        <v>0</v>
      </c>
      <c r="K103" s="23" t="n">
        <v>0</v>
      </c>
      <c r="L103" s="23">
        <f>F103+I103+SUMIFS('FC Eingabe'!$G$7:$G$126,'FC Eingabe'!$F$7:$F$126,C103,'FC Eingabe'!$K$7:$K$126,"Wirksam")</f>
        <v/>
      </c>
      <c r="M103" s="23">
        <f>G103+J103-SUMIFS('FC Eingabe'!$I$7:$I$126,'FC Eingabe'!$F$7:$F$126,C103,'FC Eingabe'!$K$7:$K$126,"Wirksam")</f>
        <v/>
      </c>
      <c r="N103" s="23">
        <f>H103+K103+SUMIFS('FC Eingabe'!$H$7:$H$126,'FC Eingabe'!$F$7:$F$126,C103,'FC Eingabe'!$K$7:$K$126,"Wirksam")</f>
        <v/>
      </c>
      <c r="O103" s="23">
        <f>SUM(L103:N103)</f>
        <v/>
      </c>
    </row>
    <row r="104" ht="21" customHeight="1">
      <c r="C104" s="10" t="inlineStr">
        <is>
          <t>P4102307441</t>
        </is>
      </c>
      <c r="D104" s="10" t="inlineStr">
        <is>
          <t>BASF  E 301</t>
        </is>
      </c>
      <c r="E104" s="10" t="inlineStr">
        <is>
          <t>Süd-West</t>
        </is>
      </c>
      <c r="F104" s="23" t="n">
        <v>50827.6</v>
      </c>
      <c r="G104" s="23" t="n">
        <v>-16165.48</v>
      </c>
      <c r="H104" s="23" t="n">
        <v>0</v>
      </c>
      <c r="I104" s="23" t="n">
        <v>0</v>
      </c>
      <c r="J104" s="23" t="n">
        <v>0</v>
      </c>
      <c r="K104" s="23" t="n">
        <v>0</v>
      </c>
      <c r="L104" s="23">
        <f>F104+I104+SUMIFS('FC Eingabe'!$G$7:$G$126,'FC Eingabe'!$F$7:$F$126,C104,'FC Eingabe'!$K$7:$K$126,"Wirksam")</f>
        <v/>
      </c>
      <c r="M104" s="23">
        <f>G104+J104-SUMIFS('FC Eingabe'!$I$7:$I$126,'FC Eingabe'!$F$7:$F$126,C104,'FC Eingabe'!$K$7:$K$126,"Wirksam")</f>
        <v/>
      </c>
      <c r="N104" s="23">
        <f>H104+K104+SUMIFS('FC Eingabe'!$H$7:$H$126,'FC Eingabe'!$F$7:$F$126,C104,'FC Eingabe'!$K$7:$K$126,"Wirksam")</f>
        <v/>
      </c>
      <c r="O104" s="23">
        <f>SUM(L104:N104)</f>
        <v/>
      </c>
    </row>
    <row r="105" ht="21" customHeight="1">
      <c r="C105" s="10" t="inlineStr">
        <is>
          <t>P4102307442</t>
        </is>
      </c>
      <c r="D105" s="10" t="inlineStr">
        <is>
          <t>Leingarten Schwimmhalle 1</t>
        </is>
      </c>
      <c r="E105" s="10" t="inlineStr">
        <is>
          <t>Süd-West</t>
        </is>
      </c>
      <c r="F105" s="23" t="n">
        <v>9232.4</v>
      </c>
      <c r="G105" s="23" t="n">
        <v>-68659.09</v>
      </c>
      <c r="H105" s="23" t="n">
        <v>77704.58</v>
      </c>
      <c r="I105" s="23" t="n">
        <v>0</v>
      </c>
      <c r="J105" s="23" t="n">
        <v>0</v>
      </c>
      <c r="K105" s="23" t="n">
        <v>0</v>
      </c>
      <c r="L105" s="23">
        <f>F105+I105+SUMIFS('FC Eingabe'!$G$7:$G$126,'FC Eingabe'!$F$7:$F$126,C105,'FC Eingabe'!$K$7:$K$126,"Wirksam")</f>
        <v/>
      </c>
      <c r="M105" s="23">
        <f>G105+J105-SUMIFS('FC Eingabe'!$I$7:$I$126,'FC Eingabe'!$F$7:$F$126,C105,'FC Eingabe'!$K$7:$K$126,"Wirksam")</f>
        <v/>
      </c>
      <c r="N105" s="23">
        <f>H105+K105+SUMIFS('FC Eingabe'!$H$7:$H$126,'FC Eingabe'!$F$7:$F$126,C105,'FC Eingabe'!$K$7:$K$126,"Wirksam")</f>
        <v/>
      </c>
      <c r="O105" s="23">
        <f>SUM(L105:N105)</f>
        <v/>
      </c>
    </row>
    <row r="106" ht="21" customHeight="1">
      <c r="C106" s="10" t="inlineStr">
        <is>
          <t>P4102307443</t>
        </is>
      </c>
      <c r="D106" s="10" t="inlineStr">
        <is>
          <t>Leingarten Schwimmhalle 2</t>
        </is>
      </c>
      <c r="E106" s="10" t="inlineStr">
        <is>
          <t>Süd-West</t>
        </is>
      </c>
      <c r="F106" s="23" t="n">
        <v>121773.65</v>
      </c>
      <c r="G106" s="23" t="n">
        <v>-144088.97</v>
      </c>
      <c r="H106" s="23" t="n">
        <v>59730.99</v>
      </c>
      <c r="I106" s="23" t="n">
        <v>193000</v>
      </c>
      <c r="J106" s="23" t="n">
        <v>-182000</v>
      </c>
      <c r="K106" s="23" t="n">
        <v>0</v>
      </c>
      <c r="L106" s="23">
        <f>F106+I106+SUMIFS('FC Eingabe'!$G$7:$G$126,'FC Eingabe'!$F$7:$F$126,C106,'FC Eingabe'!$K$7:$K$126,"Wirksam")</f>
        <v/>
      </c>
      <c r="M106" s="23">
        <f>G106+J106-SUMIFS('FC Eingabe'!$I$7:$I$126,'FC Eingabe'!$F$7:$F$126,C106,'FC Eingabe'!$K$7:$K$126,"Wirksam")</f>
        <v/>
      </c>
      <c r="N106" s="23">
        <f>H106+K106+SUMIFS('FC Eingabe'!$H$7:$H$126,'FC Eingabe'!$F$7:$F$126,C106,'FC Eingabe'!$K$7:$K$126,"Wirksam")</f>
        <v/>
      </c>
      <c r="O106" s="23">
        <f>SUM(L106:N106)</f>
        <v/>
      </c>
    </row>
    <row r="107" ht="21" customHeight="1">
      <c r="C107" s="10" t="inlineStr">
        <is>
          <t>P4102307444</t>
        </is>
      </c>
      <c r="D107" s="10" t="inlineStr">
        <is>
          <t>BASF  N 416-O 405</t>
        </is>
      </c>
      <c r="E107" s="10" t="inlineStr">
        <is>
          <t>Süd-West</t>
        </is>
      </c>
      <c r="F107" s="23" t="n">
        <v>119850.06</v>
      </c>
      <c r="G107" s="23" t="n">
        <v>-228386.29</v>
      </c>
      <c r="H107" s="23" t="n">
        <v>0</v>
      </c>
      <c r="I107" s="23" t="n">
        <v>566000</v>
      </c>
      <c r="J107" s="23" t="n">
        <v>-549020</v>
      </c>
      <c r="K107" s="23" t="n">
        <v>0</v>
      </c>
      <c r="L107" s="23">
        <f>F107+I107+SUMIFS('FC Eingabe'!$G$7:$G$126,'FC Eingabe'!$F$7:$F$126,C107,'FC Eingabe'!$K$7:$K$126,"Wirksam")</f>
        <v/>
      </c>
      <c r="M107" s="23">
        <f>G107+J107-SUMIFS('FC Eingabe'!$I$7:$I$126,'FC Eingabe'!$F$7:$F$126,C107,'FC Eingabe'!$K$7:$K$126,"Wirksam")</f>
        <v/>
      </c>
      <c r="N107" s="23">
        <f>H107+K107+SUMIFS('FC Eingabe'!$H$7:$H$126,'FC Eingabe'!$F$7:$F$126,C107,'FC Eingabe'!$K$7:$K$126,"Wirksam")</f>
        <v/>
      </c>
      <c r="O107" s="23">
        <f>SUM(L107:N107)</f>
        <v/>
      </c>
    </row>
    <row r="108" ht="21" customHeight="1">
      <c r="C108" s="10" t="inlineStr">
        <is>
          <t>P4102307445</t>
        </is>
      </c>
      <c r="D108" s="10" t="inlineStr">
        <is>
          <t>BASF A 030</t>
        </is>
      </c>
      <c r="E108" s="10" t="inlineStr">
        <is>
          <t>Süd-West</t>
        </is>
      </c>
      <c r="F108" s="23" t="n">
        <v>0</v>
      </c>
      <c r="G108" s="23" t="n">
        <v>0</v>
      </c>
      <c r="H108" s="23" t="n">
        <v>0</v>
      </c>
      <c r="I108" s="23" t="n">
        <v>68000</v>
      </c>
      <c r="J108" s="23" t="n">
        <v>-41600</v>
      </c>
      <c r="K108" s="23" t="n">
        <v>0</v>
      </c>
      <c r="L108" s="23">
        <f>F108+I108+SUMIFS('FC Eingabe'!$G$7:$G$126,'FC Eingabe'!$F$7:$F$126,C108,'FC Eingabe'!$K$7:$K$126,"Wirksam")</f>
        <v/>
      </c>
      <c r="M108" s="23">
        <f>G108+J108-SUMIFS('FC Eingabe'!$I$7:$I$126,'FC Eingabe'!$F$7:$F$126,C108,'FC Eingabe'!$K$7:$K$126,"Wirksam")</f>
        <v/>
      </c>
      <c r="N108" s="23">
        <f>H108+K108+SUMIFS('FC Eingabe'!$H$7:$H$126,'FC Eingabe'!$F$7:$F$126,C108,'FC Eingabe'!$K$7:$K$126,"Wirksam")</f>
        <v/>
      </c>
      <c r="O108" s="23">
        <f>SUM(L108:N108)</f>
        <v/>
      </c>
    </row>
    <row r="109" ht="21" customHeight="1">
      <c r="C109" s="10" t="inlineStr">
        <is>
          <t>P4102307446</t>
        </is>
      </c>
      <c r="D109" s="10" t="inlineStr">
        <is>
          <t>Schwimmhalle Leingarten</t>
        </is>
      </c>
      <c r="E109" s="10" t="inlineStr">
        <is>
          <t>Süd-West</t>
        </is>
      </c>
      <c r="F109" s="23" t="n">
        <v>0</v>
      </c>
      <c r="G109" s="23" t="n">
        <v>0</v>
      </c>
      <c r="H109" s="23" t="n">
        <v>0</v>
      </c>
      <c r="I109" s="23" t="n">
        <v>45000</v>
      </c>
      <c r="J109" s="23" t="n">
        <v>-34000</v>
      </c>
      <c r="K109" s="23" t="n">
        <v>0</v>
      </c>
      <c r="L109" s="23">
        <f>F109+I109+SUMIFS('FC Eingabe'!$G$7:$G$126,'FC Eingabe'!$F$7:$F$126,C109,'FC Eingabe'!$K$7:$K$126,"Wirksam")</f>
        <v/>
      </c>
      <c r="M109" s="23">
        <f>G109+J109-SUMIFS('FC Eingabe'!$I$7:$I$126,'FC Eingabe'!$F$7:$F$126,C109,'FC Eingabe'!$K$7:$K$126,"Wirksam")</f>
        <v/>
      </c>
      <c r="N109" s="23">
        <f>H109+K109+SUMIFS('FC Eingabe'!$H$7:$H$126,'FC Eingabe'!$F$7:$F$126,C109,'FC Eingabe'!$K$7:$K$126,"Wirksam")</f>
        <v/>
      </c>
      <c r="O109" s="23">
        <f>SUM(L109:N109)</f>
        <v/>
      </c>
    </row>
    <row r="110" ht="21" customHeight="1">
      <c r="C110" s="10" t="inlineStr">
        <is>
          <t>P4102307447</t>
        </is>
      </c>
      <c r="D110" s="10" t="inlineStr">
        <is>
          <t>BASF C 317</t>
        </is>
      </c>
      <c r="E110" s="10" t="inlineStr">
        <is>
          <t>Süd-West</t>
        </is>
      </c>
      <c r="F110" s="23" t="n">
        <v>60444.44</v>
      </c>
      <c r="G110" s="23" t="n">
        <v>-46837.81</v>
      </c>
      <c r="H110" s="23" t="n">
        <v>0</v>
      </c>
      <c r="I110" s="23" t="n">
        <v>0</v>
      </c>
      <c r="J110" s="23" t="n">
        <v>0</v>
      </c>
      <c r="K110" s="23" t="n">
        <v>0</v>
      </c>
      <c r="L110" s="23">
        <f>F110+I110+SUMIFS('FC Eingabe'!$G$7:$G$126,'FC Eingabe'!$F$7:$F$126,C110,'FC Eingabe'!$K$7:$K$126,"Wirksam")</f>
        <v/>
      </c>
      <c r="M110" s="23">
        <f>G110+J110-SUMIFS('FC Eingabe'!$I$7:$I$126,'FC Eingabe'!$F$7:$F$126,C110,'FC Eingabe'!$K$7:$K$126,"Wirksam")</f>
        <v/>
      </c>
      <c r="N110" s="23">
        <f>H110+K110+SUMIFS('FC Eingabe'!$H$7:$H$126,'FC Eingabe'!$F$7:$F$126,C110,'FC Eingabe'!$K$7:$K$126,"Wirksam")</f>
        <v/>
      </c>
      <c r="O110" s="23">
        <f>SUM(L110:N110)</f>
        <v/>
      </c>
    </row>
    <row r="111" ht="21" customHeight="1">
      <c r="C111" s="10" t="inlineStr">
        <is>
          <t>P4102307448</t>
        </is>
      </c>
      <c r="D111" s="10" t="inlineStr">
        <is>
          <t>Kopf SynGas - Klärschlammvergasung</t>
        </is>
      </c>
      <c r="E111" s="10" t="inlineStr">
        <is>
          <t>Süd-West</t>
        </is>
      </c>
      <c r="F111" s="23" t="n">
        <v>9829.799999999999</v>
      </c>
      <c r="G111" s="23" t="n">
        <v>-9695.459999999999</v>
      </c>
      <c r="H111" s="23" t="n">
        <v>0</v>
      </c>
      <c r="I111" s="23" t="n">
        <v>90000</v>
      </c>
      <c r="J111" s="23" t="n">
        <v>-84000</v>
      </c>
      <c r="K111" s="23" t="n">
        <v>0</v>
      </c>
      <c r="L111" s="23">
        <f>F111+I111+SUMIFS('FC Eingabe'!$G$7:$G$126,'FC Eingabe'!$F$7:$F$126,C111,'FC Eingabe'!$K$7:$K$126,"Wirksam")</f>
        <v/>
      </c>
      <c r="M111" s="23">
        <f>G111+J111-SUMIFS('FC Eingabe'!$I$7:$I$126,'FC Eingabe'!$F$7:$F$126,C111,'FC Eingabe'!$K$7:$K$126,"Wirksam")</f>
        <v/>
      </c>
      <c r="N111" s="23">
        <f>H111+K111+SUMIFS('FC Eingabe'!$H$7:$H$126,'FC Eingabe'!$F$7:$F$126,C111,'FC Eingabe'!$K$7:$K$126,"Wirksam")</f>
        <v/>
      </c>
      <c r="O111" s="23">
        <f>SUM(L111:N111)</f>
        <v/>
      </c>
    </row>
    <row r="112" ht="21" customHeight="1">
      <c r="C112" s="10" t="inlineStr">
        <is>
          <t>P4102307449</t>
        </is>
      </c>
      <c r="D112" s="10" t="inlineStr">
        <is>
          <t>BASF S 607</t>
        </is>
      </c>
      <c r="E112" s="10" t="inlineStr">
        <is>
          <t>Süd-West</t>
        </is>
      </c>
      <c r="F112" s="23" t="n">
        <v>43996.66</v>
      </c>
      <c r="G112" s="23" t="n">
        <v>-38919.52</v>
      </c>
      <c r="H112" s="23" t="n">
        <v>0</v>
      </c>
      <c r="I112" s="23" t="n">
        <v>298000</v>
      </c>
      <c r="J112" s="23" t="n">
        <v>-240000</v>
      </c>
      <c r="K112" s="23" t="n">
        <v>0</v>
      </c>
      <c r="L112" s="23">
        <f>F112+I112+SUMIFS('FC Eingabe'!$G$7:$G$126,'FC Eingabe'!$F$7:$F$126,C112,'FC Eingabe'!$K$7:$K$126,"Wirksam")</f>
        <v/>
      </c>
      <c r="M112" s="23">
        <f>G112+J112-SUMIFS('FC Eingabe'!$I$7:$I$126,'FC Eingabe'!$F$7:$F$126,C112,'FC Eingabe'!$K$7:$K$126,"Wirksam")</f>
        <v/>
      </c>
      <c r="N112" s="23">
        <f>H112+K112+SUMIFS('FC Eingabe'!$H$7:$H$126,'FC Eingabe'!$F$7:$F$126,C112,'FC Eingabe'!$K$7:$K$126,"Wirksam")</f>
        <v/>
      </c>
      <c r="O112" s="23">
        <f>SUM(L112:N112)</f>
        <v/>
      </c>
    </row>
    <row r="113" ht="21" customHeight="1">
      <c r="C113" s="10" t="inlineStr">
        <is>
          <t>P4102307450</t>
        </is>
      </c>
      <c r="D113" s="10" t="inlineStr">
        <is>
          <t>Z500-4 Helion</t>
        </is>
      </c>
      <c r="E113" s="10" t="inlineStr">
        <is>
          <t>Süd-West</t>
        </is>
      </c>
      <c r="F113" s="23" t="n">
        <v>132500</v>
      </c>
      <c r="G113" s="23" t="n">
        <v>-116621.75</v>
      </c>
      <c r="H113" s="23" t="n">
        <v>0</v>
      </c>
      <c r="I113" s="23" t="n">
        <v>120000</v>
      </c>
      <c r="J113" s="23" t="n">
        <v>-120000</v>
      </c>
      <c r="K113" s="23" t="n">
        <v>0</v>
      </c>
      <c r="L113" s="23">
        <f>F113+I113+SUMIFS('FC Eingabe'!$G$7:$G$126,'FC Eingabe'!$F$7:$F$126,C113,'FC Eingabe'!$K$7:$K$126,"Wirksam")</f>
        <v/>
      </c>
      <c r="M113" s="23">
        <f>G113+J113-SUMIFS('FC Eingabe'!$I$7:$I$126,'FC Eingabe'!$F$7:$F$126,C113,'FC Eingabe'!$K$7:$K$126,"Wirksam")</f>
        <v/>
      </c>
      <c r="N113" s="23">
        <f>H113+K113+SUMIFS('FC Eingabe'!$H$7:$H$126,'FC Eingabe'!$F$7:$F$126,C113,'FC Eingabe'!$K$7:$K$126,"Wirksam")</f>
        <v/>
      </c>
      <c r="O113" s="23">
        <f>SUM(L113:N113)</f>
        <v/>
      </c>
    </row>
    <row r="114" ht="21" customHeight="1">
      <c r="C114" s="10" t="inlineStr">
        <is>
          <t>P4102309044</t>
        </is>
      </c>
      <c r="D114" s="10" t="inlineStr">
        <is>
          <t>RB BASF 2022</t>
        </is>
      </c>
      <c r="E114" s="10" t="inlineStr">
        <is>
          <t>Süd-West</t>
        </is>
      </c>
      <c r="F114" s="23" t="n">
        <v>0</v>
      </c>
      <c r="G114" s="23" t="n">
        <v>0</v>
      </c>
      <c r="H114" s="23" t="n">
        <v>-6447.83</v>
      </c>
      <c r="I114" s="23" t="n">
        <v>0</v>
      </c>
      <c r="J114" s="23" t="n">
        <v>0</v>
      </c>
      <c r="K114" s="23" t="n">
        <v>0</v>
      </c>
      <c r="L114" s="23">
        <f>F114+I114+SUMIFS('FC Eingabe'!$G$7:$G$126,'FC Eingabe'!$F$7:$F$126,C114,'FC Eingabe'!$K$7:$K$126,"Wirksam")</f>
        <v/>
      </c>
      <c r="M114" s="23">
        <f>G114+J114-SUMIFS('FC Eingabe'!$I$7:$I$126,'FC Eingabe'!$F$7:$F$126,C114,'FC Eingabe'!$K$7:$K$126,"Wirksam")</f>
        <v/>
      </c>
      <c r="N114" s="23">
        <f>H114+K114+SUMIFS('FC Eingabe'!$H$7:$H$126,'FC Eingabe'!$F$7:$F$126,C114,'FC Eingabe'!$K$7:$K$126,"Wirksam")</f>
        <v/>
      </c>
      <c r="O114" s="23">
        <f>SUM(L114:N114)</f>
        <v/>
      </c>
    </row>
    <row r="115" ht="21" customHeight="1">
      <c r="C115" s="10" t="inlineStr">
        <is>
          <t>P4102309045</t>
        </is>
      </c>
      <c r="D115" s="10" t="inlineStr">
        <is>
          <t>BASF Sonstige Kleinmaßnahmen</t>
        </is>
      </c>
      <c r="E115" s="10" t="inlineStr">
        <is>
          <t>Süd-West</t>
        </is>
      </c>
      <c r="F115" s="23" t="n">
        <v>133273.51</v>
      </c>
      <c r="G115" s="23" t="n">
        <v>-96408.7</v>
      </c>
      <c r="H115" s="23" t="n">
        <v>0</v>
      </c>
      <c r="I115" s="23" t="n">
        <v>0</v>
      </c>
      <c r="J115" s="23" t="n">
        <v>0</v>
      </c>
      <c r="K115" s="23" t="n">
        <v>0</v>
      </c>
      <c r="L115" s="23">
        <f>F115+I115+SUMIFS('FC Eingabe'!$G$7:$G$126,'FC Eingabe'!$F$7:$F$126,C115,'FC Eingabe'!$K$7:$K$126,"Wirksam")</f>
        <v/>
      </c>
      <c r="M115" s="23">
        <f>G115+J115-SUMIFS('FC Eingabe'!$I$7:$I$126,'FC Eingabe'!$F$7:$F$126,C115,'FC Eingabe'!$K$7:$K$126,"Wirksam")</f>
        <v/>
      </c>
      <c r="N115" s="23">
        <f>H115+K115+SUMIFS('FC Eingabe'!$H$7:$H$126,'FC Eingabe'!$F$7:$F$126,C115,'FC Eingabe'!$K$7:$K$126,"Wirksam")</f>
        <v/>
      </c>
      <c r="O115" s="23">
        <f>SUM(L115:N115)</f>
        <v/>
      </c>
    </row>
    <row r="116" ht="21" customHeight="1">
      <c r="C116" s="10" t="inlineStr">
        <is>
          <t>P4102309046</t>
        </is>
      </c>
      <c r="D116" s="10" t="inlineStr">
        <is>
          <t>Sonstige Kleinmaßnahmen</t>
        </is>
      </c>
      <c r="E116" s="10" t="inlineStr">
        <is>
          <t>Süd-West</t>
        </is>
      </c>
      <c r="F116" s="23" t="n">
        <v>24410.59</v>
      </c>
      <c r="G116" s="23" t="n">
        <v>-15778</v>
      </c>
      <c r="H116" s="23" t="n">
        <v>0</v>
      </c>
      <c r="I116" s="23" t="n">
        <v>0</v>
      </c>
      <c r="J116" s="23" t="n">
        <v>0</v>
      </c>
      <c r="K116" s="23" t="n">
        <v>0</v>
      </c>
      <c r="L116" s="23">
        <f>F116+I116+SUMIFS('FC Eingabe'!$G$7:$G$126,'FC Eingabe'!$F$7:$F$126,C116,'FC Eingabe'!$K$7:$K$126,"Wirksam")</f>
        <v/>
      </c>
      <c r="M116" s="23">
        <f>G116+J116-SUMIFS('FC Eingabe'!$I$7:$I$126,'FC Eingabe'!$F$7:$F$126,C116,'FC Eingabe'!$K$7:$K$126,"Wirksam")</f>
        <v/>
      </c>
      <c r="N116" s="23">
        <f>H116+K116+SUMIFS('FC Eingabe'!$H$7:$H$126,'FC Eingabe'!$F$7:$F$126,C116,'FC Eingabe'!$K$7:$K$126,"Wirksam")</f>
        <v/>
      </c>
      <c r="O116" s="23">
        <f>SUM(L116:N116)</f>
        <v/>
      </c>
    </row>
    <row r="117" ht="21" customHeight="1">
      <c r="C117" s="10" t="inlineStr">
        <is>
          <t>P4102602023</t>
        </is>
      </c>
      <c r="D117" s="10" t="inlineStr">
        <is>
          <t>nachlaufende Kosten</t>
        </is>
      </c>
      <c r="E117" s="10" t="inlineStr">
        <is>
          <t>Ost</t>
        </is>
      </c>
      <c r="F117" s="23" t="n">
        <v>0</v>
      </c>
      <c r="G117" s="23" t="n">
        <v>-5293.57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>
        <f>F117+I117+SUMIFS('FC Eingabe'!$G$7:$G$126,'FC Eingabe'!$F$7:$F$126,C117,'FC Eingabe'!$K$7:$K$126,"Wirksam")</f>
        <v/>
      </c>
      <c r="M117" s="23">
        <f>G117+J117-SUMIFS('FC Eingabe'!$I$7:$I$126,'FC Eingabe'!$F$7:$F$126,C117,'FC Eingabe'!$K$7:$K$126,"Wirksam")</f>
        <v/>
      </c>
      <c r="N117" s="23">
        <f>H117+K117+SUMIFS('FC Eingabe'!$H$7:$H$126,'FC Eingabe'!$F$7:$F$126,C117,'FC Eingabe'!$K$7:$K$126,"Wirksam")</f>
        <v/>
      </c>
      <c r="O117" s="23">
        <f>SUM(L117:N117)</f>
        <v/>
      </c>
    </row>
    <row r="118" ht="21" customHeight="1">
      <c r="C118" s="10" t="inlineStr">
        <is>
          <t>P4102604612</t>
        </is>
      </c>
      <c r="D118" s="10" t="inlineStr">
        <is>
          <t>Recyclingplatz Boxberg</t>
        </is>
      </c>
      <c r="E118" s="10" t="inlineStr">
        <is>
          <t>Ost</t>
        </is>
      </c>
      <c r="F118" s="23" t="n">
        <v>1055.73</v>
      </c>
      <c r="G118" s="23" t="n">
        <v>-9771.620000000001</v>
      </c>
      <c r="H118" s="23" t="n">
        <v>0</v>
      </c>
      <c r="I118" s="23" t="n">
        <v>0</v>
      </c>
      <c r="J118" s="23" t="n">
        <v>0</v>
      </c>
      <c r="K118" s="23" t="n">
        <v>0</v>
      </c>
      <c r="L118" s="23">
        <f>F118+I118+SUMIFS('FC Eingabe'!$G$7:$G$126,'FC Eingabe'!$F$7:$F$126,C118,'FC Eingabe'!$K$7:$K$126,"Wirksam")</f>
        <v/>
      </c>
      <c r="M118" s="23">
        <f>G118+J118-SUMIFS('FC Eingabe'!$I$7:$I$126,'FC Eingabe'!$F$7:$F$126,C118,'FC Eingabe'!$K$7:$K$126,"Wirksam")</f>
        <v/>
      </c>
      <c r="N118" s="23">
        <f>H118+K118+SUMIFS('FC Eingabe'!$H$7:$H$126,'FC Eingabe'!$F$7:$F$126,C118,'FC Eingabe'!$K$7:$K$126,"Wirksam")</f>
        <v/>
      </c>
      <c r="O118" s="23">
        <f>SUM(L118:N118)</f>
        <v/>
      </c>
    </row>
    <row r="119" ht="21" customHeight="1">
      <c r="C119" s="10" t="inlineStr">
        <is>
          <t>P4102607989</t>
        </is>
      </c>
      <c r="D119" s="10" t="inlineStr">
        <is>
          <t>Kleinaufträge</t>
        </is>
      </c>
      <c r="E119" s="10" t="inlineStr">
        <is>
          <t>Ost</t>
        </is>
      </c>
      <c r="F119" s="23" t="n">
        <v>113903.69</v>
      </c>
      <c r="G119" s="23" t="n">
        <v>-32842.94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>
        <f>F119+I119+SUMIFS('FC Eingabe'!$G$7:$G$126,'FC Eingabe'!$F$7:$F$126,C119,'FC Eingabe'!$K$7:$K$126,"Wirksam")</f>
        <v/>
      </c>
      <c r="M119" s="23">
        <f>G119+J119-SUMIFS('FC Eingabe'!$I$7:$I$126,'FC Eingabe'!$F$7:$F$126,C119,'FC Eingabe'!$K$7:$K$126,"Wirksam")</f>
        <v/>
      </c>
      <c r="N119" s="23">
        <f>H119+K119+SUMIFS('FC Eingabe'!$H$7:$H$126,'FC Eingabe'!$F$7:$F$126,C119,'FC Eingabe'!$K$7:$K$126,"Wirksam")</f>
        <v/>
      </c>
      <c r="O119" s="23">
        <f>SUM(L119:N119)</f>
        <v/>
      </c>
    </row>
    <row r="120" ht="21" customHeight="1">
      <c r="C120" s="10" t="inlineStr">
        <is>
          <t>P4102608224</t>
        </is>
      </c>
      <c r="D120" s="10" t="inlineStr">
        <is>
          <t>RB Turbinen Hirschfelde</t>
        </is>
      </c>
      <c r="E120" s="10" t="inlineStr">
        <is>
          <t>Ost</t>
        </is>
      </c>
      <c r="F120" s="23" t="n">
        <v>0</v>
      </c>
      <c r="G120" s="23" t="n">
        <v>-1758.75</v>
      </c>
      <c r="H120" s="23" t="n">
        <v>1969.8</v>
      </c>
      <c r="I120" s="23" t="n">
        <v>0</v>
      </c>
      <c r="J120" s="23" t="n">
        <v>0</v>
      </c>
      <c r="K120" s="23" t="n">
        <v>0</v>
      </c>
      <c r="L120" s="23">
        <f>F120+I120+SUMIFS('FC Eingabe'!$G$7:$G$126,'FC Eingabe'!$F$7:$F$126,C120,'FC Eingabe'!$K$7:$K$126,"Wirksam")</f>
        <v/>
      </c>
      <c r="M120" s="23">
        <f>G120+J120-SUMIFS('FC Eingabe'!$I$7:$I$126,'FC Eingabe'!$F$7:$F$126,C120,'FC Eingabe'!$K$7:$K$126,"Wirksam")</f>
        <v/>
      </c>
      <c r="N120" s="23">
        <f>H120+K120+SUMIFS('FC Eingabe'!$H$7:$H$126,'FC Eingabe'!$F$7:$F$126,C120,'FC Eingabe'!$K$7:$K$126,"Wirksam")</f>
        <v/>
      </c>
      <c r="O120" s="23">
        <f>SUM(L120:N120)</f>
        <v/>
      </c>
    </row>
    <row r="121" ht="21" customHeight="1">
      <c r="C121" s="10" t="inlineStr">
        <is>
          <t>P4102608226</t>
        </is>
      </c>
      <c r="D121" s="10" t="inlineStr">
        <is>
          <t>RB Kohlebunker Lübbenau</t>
        </is>
      </c>
      <c r="E121" s="10" t="inlineStr">
        <is>
          <t>Ost</t>
        </is>
      </c>
      <c r="F121" s="23" t="n">
        <v>0</v>
      </c>
      <c r="G121" s="23" t="n">
        <v>-400.43</v>
      </c>
      <c r="H121" s="23" t="n">
        <v>0</v>
      </c>
      <c r="I121" s="23" t="n">
        <v>57000</v>
      </c>
      <c r="J121" s="23" t="n">
        <v>-45000</v>
      </c>
      <c r="K121" s="23" t="n">
        <v>0</v>
      </c>
      <c r="L121" s="23">
        <f>F121+I121+SUMIFS('FC Eingabe'!$G$7:$G$126,'FC Eingabe'!$F$7:$F$126,C121,'FC Eingabe'!$K$7:$K$126,"Wirksam")</f>
        <v/>
      </c>
      <c r="M121" s="23">
        <f>G121+J121-SUMIFS('FC Eingabe'!$I$7:$I$126,'FC Eingabe'!$F$7:$F$126,C121,'FC Eingabe'!$K$7:$K$126,"Wirksam")</f>
        <v/>
      </c>
      <c r="N121" s="23">
        <f>H121+K121+SUMIFS('FC Eingabe'!$H$7:$H$126,'FC Eingabe'!$F$7:$F$126,C121,'FC Eingabe'!$K$7:$K$126,"Wirksam")</f>
        <v/>
      </c>
      <c r="O121" s="23">
        <f>SUM(L121:N121)</f>
        <v/>
      </c>
    </row>
    <row r="122" ht="21" customHeight="1">
      <c r="C122" s="10" t="inlineStr">
        <is>
          <t>P4102608232</t>
        </is>
      </c>
      <c r="D122" s="10" t="inlineStr">
        <is>
          <t>Seilbaggerarbeiten Platz der Republik</t>
        </is>
      </c>
      <c r="E122" s="10" t="inlineStr">
        <is>
          <t>Ost</t>
        </is>
      </c>
      <c r="F122" s="23" t="n">
        <v>6059.53</v>
      </c>
      <c r="G122" s="23" t="n">
        <v>0</v>
      </c>
      <c r="H122" s="23" t="n">
        <v>0</v>
      </c>
      <c r="I122" s="23" t="n">
        <v>0</v>
      </c>
      <c r="J122" s="23" t="n">
        <v>0</v>
      </c>
      <c r="K122" s="23" t="n">
        <v>0</v>
      </c>
      <c r="L122" s="23">
        <f>F122+I122+SUMIFS('FC Eingabe'!$G$7:$G$126,'FC Eingabe'!$F$7:$F$126,C122,'FC Eingabe'!$K$7:$K$126,"Wirksam")</f>
        <v/>
      </c>
      <c r="M122" s="23">
        <f>G122+J122-SUMIFS('FC Eingabe'!$I$7:$I$126,'FC Eingabe'!$F$7:$F$126,C122,'FC Eingabe'!$K$7:$K$126,"Wirksam")</f>
        <v/>
      </c>
      <c r="N122" s="23">
        <f>H122+K122+SUMIFS('FC Eingabe'!$H$7:$H$126,'FC Eingabe'!$F$7:$F$126,C122,'FC Eingabe'!$K$7:$K$126,"Wirksam")</f>
        <v/>
      </c>
      <c r="O122" s="23">
        <f>SUM(L122:N122)</f>
        <v/>
      </c>
    </row>
    <row r="123" ht="21" customHeight="1">
      <c r="C123" s="10" t="inlineStr">
        <is>
          <t>P4102608246</t>
        </is>
      </c>
      <c r="D123" s="10" t="inlineStr">
        <is>
          <t>RB Kohlebunker/Brücke Lübbenau</t>
        </is>
      </c>
      <c r="E123" s="10" t="inlineStr">
        <is>
          <t>Ost</t>
        </is>
      </c>
      <c r="F123" s="23" t="n">
        <v>71914.57000000001</v>
      </c>
      <c r="G123" s="23" t="n">
        <v>-472333.29</v>
      </c>
      <c r="H123" s="23" t="n">
        <v>854549.58</v>
      </c>
      <c r="I123" s="23" t="n">
        <v>760000</v>
      </c>
      <c r="J123" s="23" t="n">
        <v>-195000</v>
      </c>
      <c r="K123" s="23" t="n">
        <v>0</v>
      </c>
      <c r="L123" s="23">
        <f>F123+I123+SUMIFS('FC Eingabe'!$G$7:$G$126,'FC Eingabe'!$F$7:$F$126,C123,'FC Eingabe'!$K$7:$K$126,"Wirksam")</f>
        <v/>
      </c>
      <c r="M123" s="23">
        <f>G123+J123-SUMIFS('FC Eingabe'!$I$7:$I$126,'FC Eingabe'!$F$7:$F$126,C123,'FC Eingabe'!$K$7:$K$126,"Wirksam")</f>
        <v/>
      </c>
      <c r="N123" s="23">
        <f>H123+K123+SUMIFS('FC Eingabe'!$H$7:$H$126,'FC Eingabe'!$F$7:$F$126,C123,'FC Eingabe'!$K$7:$K$126,"Wirksam")</f>
        <v/>
      </c>
      <c r="O123" s="23">
        <f>SUM(L123:N123)</f>
        <v/>
      </c>
    </row>
    <row r="124" ht="21" customHeight="1">
      <c r="C124" s="10" t="inlineStr">
        <is>
          <t>P4102608258</t>
        </is>
      </c>
      <c r="D124" s="10" t="inlineStr">
        <is>
          <t>BTU Dachsanierung Halle 3b</t>
        </is>
      </c>
      <c r="E124" s="10" t="inlineStr">
        <is>
          <t>Ost</t>
        </is>
      </c>
      <c r="F124" s="23" t="n">
        <v>125327.66</v>
      </c>
      <c r="G124" s="23" t="n">
        <v>0</v>
      </c>
      <c r="H124" s="23" t="n">
        <v>-44321.39</v>
      </c>
      <c r="I124" s="23" t="n">
        <v>0</v>
      </c>
      <c r="J124" s="23" t="n">
        <v>0</v>
      </c>
      <c r="K124" s="23" t="n">
        <v>0</v>
      </c>
      <c r="L124" s="23">
        <f>F124+I124+SUMIFS('FC Eingabe'!$G$7:$G$126,'FC Eingabe'!$F$7:$F$126,C124,'FC Eingabe'!$K$7:$K$126,"Wirksam")</f>
        <v/>
      </c>
      <c r="M124" s="23">
        <f>G124+J124-SUMIFS('FC Eingabe'!$I$7:$I$126,'FC Eingabe'!$F$7:$F$126,C124,'FC Eingabe'!$K$7:$K$126,"Wirksam")</f>
        <v/>
      </c>
      <c r="N124" s="23">
        <f>H124+K124+SUMIFS('FC Eingabe'!$H$7:$H$126,'FC Eingabe'!$F$7:$F$126,C124,'FC Eingabe'!$K$7:$K$126,"Wirksam")</f>
        <v/>
      </c>
      <c r="O124" s="23">
        <f>SUM(L124:N124)</f>
        <v/>
      </c>
    </row>
    <row r="125" ht="21" customHeight="1">
      <c r="C125" s="10" t="inlineStr">
        <is>
          <t>P4102608260</t>
        </is>
      </c>
      <c r="D125" s="10" t="inlineStr">
        <is>
          <t>RB Floorflexplatten Berlin</t>
        </is>
      </c>
      <c r="E125" s="10" t="inlineStr">
        <is>
          <t>Ost</t>
        </is>
      </c>
      <c r="F125" s="23" t="n">
        <v>36649.67</v>
      </c>
      <c r="G125" s="23" t="n">
        <v>-27469.51</v>
      </c>
      <c r="H125" s="23" t="n">
        <v>0</v>
      </c>
      <c r="I125" s="23" t="n">
        <v>0</v>
      </c>
      <c r="J125" s="23" t="n">
        <v>0</v>
      </c>
      <c r="K125" s="23" t="n">
        <v>0</v>
      </c>
      <c r="L125" s="23">
        <f>F125+I125+SUMIFS('FC Eingabe'!$G$7:$G$126,'FC Eingabe'!$F$7:$F$126,C125,'FC Eingabe'!$K$7:$K$126,"Wirksam")</f>
        <v/>
      </c>
      <c r="M125" s="23">
        <f>G125+J125-SUMIFS('FC Eingabe'!$I$7:$I$126,'FC Eingabe'!$F$7:$F$126,C125,'FC Eingabe'!$K$7:$K$126,"Wirksam")</f>
        <v/>
      </c>
      <c r="N125" s="23">
        <f>H125+K125+SUMIFS('FC Eingabe'!$H$7:$H$126,'FC Eingabe'!$F$7:$F$126,C125,'FC Eingabe'!$K$7:$K$126,"Wirksam")</f>
        <v/>
      </c>
      <c r="O125" s="23">
        <f>SUM(L125:N125)</f>
        <v/>
      </c>
    </row>
    <row r="126" ht="21" customHeight="1">
      <c r="C126" s="10" t="inlineStr">
        <is>
          <t>P4102608263</t>
        </is>
      </c>
      <c r="D126" s="10" t="inlineStr">
        <is>
          <t>RB Föderbrücke AFB 60</t>
        </is>
      </c>
      <c r="E126" s="10" t="inlineStr">
        <is>
          <t>Ost</t>
        </is>
      </c>
      <c r="F126" s="23" t="n">
        <v>4111658.58</v>
      </c>
      <c r="G126" s="23" t="n">
        <v>-2410704.88</v>
      </c>
      <c r="H126" s="23" t="n">
        <v>-870769.6</v>
      </c>
      <c r="I126" s="23" t="n">
        <v>390400</v>
      </c>
      <c r="J126" s="23" t="n">
        <v>-325000</v>
      </c>
      <c r="K126" s="23" t="n">
        <v>0</v>
      </c>
      <c r="L126" s="23">
        <f>F126+I126+SUMIFS('FC Eingabe'!$G$7:$G$126,'FC Eingabe'!$F$7:$F$126,C126,'FC Eingabe'!$K$7:$K$126,"Wirksam")</f>
        <v/>
      </c>
      <c r="M126" s="23">
        <f>G126+J126-SUMIFS('FC Eingabe'!$I$7:$I$126,'FC Eingabe'!$F$7:$F$126,C126,'FC Eingabe'!$K$7:$K$126,"Wirksam")</f>
        <v/>
      </c>
      <c r="N126" s="23">
        <f>H126+K126+SUMIFS('FC Eingabe'!$H$7:$H$126,'FC Eingabe'!$F$7:$F$126,C126,'FC Eingabe'!$K$7:$K$126,"Wirksam")</f>
        <v/>
      </c>
      <c r="O126" s="23">
        <f>SUM(L126:N126)</f>
        <v/>
      </c>
    </row>
    <row r="127" ht="21" customHeight="1">
      <c r="C127" s="10" t="inlineStr">
        <is>
          <t>P4102608264</t>
        </is>
      </c>
      <c r="D127" s="10" t="inlineStr">
        <is>
          <t>Mastrückbau Mainflingen</t>
        </is>
      </c>
      <c r="E127" s="10" t="inlineStr">
        <is>
          <t>Ost</t>
        </is>
      </c>
      <c r="F127" s="23" t="n">
        <v>0</v>
      </c>
      <c r="G127" s="23" t="n">
        <v>-583.34</v>
      </c>
      <c r="H127" s="23" t="n">
        <v>0</v>
      </c>
      <c r="I127" s="23" t="n">
        <v>0</v>
      </c>
      <c r="J127" s="23" t="n">
        <v>0</v>
      </c>
      <c r="K127" s="23" t="n">
        <v>0</v>
      </c>
      <c r="L127" s="23">
        <f>F127+I127+SUMIFS('FC Eingabe'!$G$7:$G$126,'FC Eingabe'!$F$7:$F$126,C127,'FC Eingabe'!$K$7:$K$126,"Wirksam")</f>
        <v/>
      </c>
      <c r="M127" s="23">
        <f>G127+J127-SUMIFS('FC Eingabe'!$I$7:$I$126,'FC Eingabe'!$F$7:$F$126,C127,'FC Eingabe'!$K$7:$K$126,"Wirksam")</f>
        <v/>
      </c>
      <c r="N127" s="23">
        <f>H127+K127+SUMIFS('FC Eingabe'!$H$7:$H$126,'FC Eingabe'!$F$7:$F$126,C127,'FC Eingabe'!$K$7:$K$126,"Wirksam")</f>
        <v/>
      </c>
      <c r="O127" s="23">
        <f>SUM(L127:N127)</f>
        <v/>
      </c>
    </row>
    <row r="128" ht="21" customHeight="1">
      <c r="C128" s="10" t="inlineStr">
        <is>
          <t>P4102608265</t>
        </is>
      </c>
      <c r="D128" s="10" t="inlineStr">
        <is>
          <t>RB Gebäude Grüneberg</t>
        </is>
      </c>
      <c r="E128" s="10" t="inlineStr">
        <is>
          <t>Ost</t>
        </is>
      </c>
      <c r="F128" s="23" t="n">
        <v>0</v>
      </c>
      <c r="G128" s="23" t="n">
        <v>-3096.72</v>
      </c>
      <c r="H128" s="23" t="n">
        <v>0</v>
      </c>
      <c r="I128" s="23" t="n">
        <v>0</v>
      </c>
      <c r="J128" s="23" t="n">
        <v>0</v>
      </c>
      <c r="K128" s="23" t="n">
        <v>0</v>
      </c>
      <c r="L128" s="23">
        <f>F128+I128+SUMIFS('FC Eingabe'!$G$7:$G$126,'FC Eingabe'!$F$7:$F$126,C128,'FC Eingabe'!$K$7:$K$126,"Wirksam")</f>
        <v/>
      </c>
      <c r="M128" s="23">
        <f>G128+J128-SUMIFS('FC Eingabe'!$I$7:$I$126,'FC Eingabe'!$F$7:$F$126,C128,'FC Eingabe'!$K$7:$K$126,"Wirksam")</f>
        <v/>
      </c>
      <c r="N128" s="23">
        <f>H128+K128+SUMIFS('FC Eingabe'!$H$7:$H$126,'FC Eingabe'!$F$7:$F$126,C128,'FC Eingabe'!$K$7:$K$126,"Wirksam")</f>
        <v/>
      </c>
      <c r="O128" s="23">
        <f>SUM(L128:N128)</f>
        <v/>
      </c>
    </row>
    <row r="129" ht="21" customHeight="1">
      <c r="C129" s="10" t="inlineStr">
        <is>
          <t>P4102608266</t>
        </is>
      </c>
      <c r="D129" s="10" t="inlineStr">
        <is>
          <t>RB Kurmark- Kaserne Storkow</t>
        </is>
      </c>
      <c r="E129" s="10" t="inlineStr">
        <is>
          <t>Ost</t>
        </is>
      </c>
      <c r="F129" s="23" t="n">
        <v>-591.8099999999999</v>
      </c>
      <c r="G129" s="23" t="n">
        <v>-279.03</v>
      </c>
      <c r="H129" s="23" t="n">
        <v>0</v>
      </c>
      <c r="I129" s="23" t="n">
        <v>0</v>
      </c>
      <c r="J129" s="23" t="n">
        <v>0</v>
      </c>
      <c r="K129" s="23" t="n">
        <v>0</v>
      </c>
      <c r="L129" s="23">
        <f>F129+I129+SUMIFS('FC Eingabe'!$G$7:$G$126,'FC Eingabe'!$F$7:$F$126,C129,'FC Eingabe'!$K$7:$K$126,"Wirksam")</f>
        <v/>
      </c>
      <c r="M129" s="23">
        <f>G129+J129-SUMIFS('FC Eingabe'!$I$7:$I$126,'FC Eingabe'!$F$7:$F$126,C129,'FC Eingabe'!$K$7:$K$126,"Wirksam")</f>
        <v/>
      </c>
      <c r="N129" s="23">
        <f>H129+K129+SUMIFS('FC Eingabe'!$H$7:$H$126,'FC Eingabe'!$F$7:$F$126,C129,'FC Eingabe'!$K$7:$K$126,"Wirksam")</f>
        <v/>
      </c>
      <c r="O129" s="23">
        <f>SUM(L129:N129)</f>
        <v/>
      </c>
    </row>
    <row r="130" ht="21" customHeight="1">
      <c r="C130" s="10" t="inlineStr">
        <is>
          <t>P4102608267</t>
        </is>
      </c>
      <c r="D130" s="10" t="inlineStr">
        <is>
          <t>Sprengarbeiten FLJS</t>
        </is>
      </c>
      <c r="E130" s="10" t="inlineStr">
        <is>
          <t>Ost</t>
        </is>
      </c>
      <c r="F130" s="23" t="n">
        <v>28224.24</v>
      </c>
      <c r="G130" s="23" t="n">
        <v>-20068.44</v>
      </c>
      <c r="H130" s="23" t="n">
        <v>0</v>
      </c>
      <c r="I130" s="23" t="n">
        <v>0</v>
      </c>
      <c r="J130" s="23" t="n">
        <v>0</v>
      </c>
      <c r="K130" s="23" t="n">
        <v>0</v>
      </c>
      <c r="L130" s="23">
        <f>F130+I130+SUMIFS('FC Eingabe'!$G$7:$G$126,'FC Eingabe'!$F$7:$F$126,C130,'FC Eingabe'!$K$7:$K$126,"Wirksam")</f>
        <v/>
      </c>
      <c r="M130" s="23">
        <f>G130+J130-SUMIFS('FC Eingabe'!$I$7:$I$126,'FC Eingabe'!$F$7:$F$126,C130,'FC Eingabe'!$K$7:$K$126,"Wirksam")</f>
        <v/>
      </c>
      <c r="N130" s="23">
        <f>H130+K130+SUMIFS('FC Eingabe'!$H$7:$H$126,'FC Eingabe'!$F$7:$F$126,C130,'FC Eingabe'!$K$7:$K$126,"Wirksam")</f>
        <v/>
      </c>
      <c r="O130" s="23">
        <f>SUM(L130:N130)</f>
        <v/>
      </c>
    </row>
    <row r="131" ht="21" customHeight="1">
      <c r="C131" s="10" t="inlineStr">
        <is>
          <t>P4102608268</t>
        </is>
      </c>
      <c r="D131" s="10" t="inlineStr">
        <is>
          <t>Gutenbergstrasse Potsdam</t>
        </is>
      </c>
      <c r="E131" s="10" t="inlineStr">
        <is>
          <t>Ost</t>
        </is>
      </c>
      <c r="F131" s="23" t="n">
        <v>5542.71</v>
      </c>
      <c r="G131" s="23" t="n">
        <v>-556.45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>
        <f>F131+I131+SUMIFS('FC Eingabe'!$G$7:$G$126,'FC Eingabe'!$F$7:$F$126,C131,'FC Eingabe'!$K$7:$K$126,"Wirksam")</f>
        <v/>
      </c>
      <c r="M131" s="23">
        <f>G131+J131-SUMIFS('FC Eingabe'!$I$7:$I$126,'FC Eingabe'!$F$7:$F$126,C131,'FC Eingabe'!$K$7:$K$126,"Wirksam")</f>
        <v/>
      </c>
      <c r="N131" s="23">
        <f>H131+K131+SUMIFS('FC Eingabe'!$H$7:$H$126,'FC Eingabe'!$F$7:$F$126,C131,'FC Eingabe'!$K$7:$K$126,"Wirksam")</f>
        <v/>
      </c>
      <c r="O131" s="23">
        <f>SUM(L131:N131)</f>
        <v/>
      </c>
    </row>
    <row r="132" ht="21" customHeight="1">
      <c r="C132" s="10" t="inlineStr">
        <is>
          <t>P4102608270</t>
        </is>
      </c>
      <c r="D132" s="10" t="inlineStr">
        <is>
          <t>Baggergestellung LH 956 Jänschwalde</t>
        </is>
      </c>
      <c r="E132" s="10" t="inlineStr">
        <is>
          <t>Ost</t>
        </is>
      </c>
      <c r="F132" s="23" t="n">
        <v>120358.55</v>
      </c>
      <c r="G132" s="23" t="n">
        <v>-22672.84</v>
      </c>
      <c r="H132" s="23" t="n">
        <v>0</v>
      </c>
      <c r="I132" s="23" t="n">
        <v>10000</v>
      </c>
      <c r="J132" s="23" t="n">
        <v>-8000</v>
      </c>
      <c r="K132" s="23" t="n">
        <v>0</v>
      </c>
      <c r="L132" s="23">
        <f>F132+I132+SUMIFS('FC Eingabe'!$G$7:$G$126,'FC Eingabe'!$F$7:$F$126,C132,'FC Eingabe'!$K$7:$K$126,"Wirksam")</f>
        <v/>
      </c>
      <c r="M132" s="23">
        <f>G132+J132-SUMIFS('FC Eingabe'!$I$7:$I$126,'FC Eingabe'!$F$7:$F$126,C132,'FC Eingabe'!$K$7:$K$126,"Wirksam")</f>
        <v/>
      </c>
      <c r="N132" s="23">
        <f>H132+K132+SUMIFS('FC Eingabe'!$H$7:$H$126,'FC Eingabe'!$F$7:$F$126,C132,'FC Eingabe'!$K$7:$K$126,"Wirksam")</f>
        <v/>
      </c>
      <c r="O132" s="23">
        <f>SUM(L132:N132)</f>
        <v/>
      </c>
    </row>
    <row r="133" ht="21" customHeight="1">
      <c r="C133" s="10" t="inlineStr">
        <is>
          <t>P4102608271</t>
        </is>
      </c>
      <c r="D133" s="10" t="inlineStr">
        <is>
          <t>Seilbagger Tagebau Jänschwalde</t>
        </is>
      </c>
      <c r="E133" s="10" t="inlineStr">
        <is>
          <t>Ost</t>
        </is>
      </c>
      <c r="F133" s="23" t="n">
        <v>194470.4</v>
      </c>
      <c r="G133" s="23" t="n">
        <v>-17848.96</v>
      </c>
      <c r="H133" s="23" t="n">
        <v>0</v>
      </c>
      <c r="I133" s="23" t="n">
        <v>9000</v>
      </c>
      <c r="J133" s="23" t="n">
        <v>-6000</v>
      </c>
      <c r="K133" s="23" t="n">
        <v>0</v>
      </c>
      <c r="L133" s="23">
        <f>F133+I133+SUMIFS('FC Eingabe'!$G$7:$G$126,'FC Eingabe'!$F$7:$F$126,C133,'FC Eingabe'!$K$7:$K$126,"Wirksam")</f>
        <v/>
      </c>
      <c r="M133" s="23">
        <f>G133+J133-SUMIFS('FC Eingabe'!$I$7:$I$126,'FC Eingabe'!$F$7:$F$126,C133,'FC Eingabe'!$K$7:$K$126,"Wirksam")</f>
        <v/>
      </c>
      <c r="N133" s="23">
        <f>H133+K133+SUMIFS('FC Eingabe'!$H$7:$H$126,'FC Eingabe'!$F$7:$F$126,C133,'FC Eingabe'!$K$7:$K$126,"Wirksam")</f>
        <v/>
      </c>
      <c r="O133" s="23">
        <f>SUM(L133:N133)</f>
        <v/>
      </c>
    </row>
    <row r="134" ht="21" customHeight="1">
      <c r="C134" s="10" t="inlineStr">
        <is>
          <t>P4102608275</t>
        </is>
      </c>
      <c r="D134" s="10" t="inlineStr">
        <is>
          <t>An der Spreewaldbahn lübben</t>
        </is>
      </c>
      <c r="E134" s="10" t="inlineStr">
        <is>
          <t>Ost</t>
        </is>
      </c>
      <c r="F134" s="23" t="n">
        <v>25652.08</v>
      </c>
      <c r="G134" s="23" t="n">
        <v>-9699</v>
      </c>
      <c r="H134" s="23" t="n">
        <v>0</v>
      </c>
      <c r="I134" s="23" t="n">
        <v>0</v>
      </c>
      <c r="J134" s="23" t="n">
        <v>0</v>
      </c>
      <c r="K134" s="23" t="n">
        <v>0</v>
      </c>
      <c r="L134" s="23">
        <f>F134+I134+SUMIFS('FC Eingabe'!$G$7:$G$126,'FC Eingabe'!$F$7:$F$126,C134,'FC Eingabe'!$K$7:$K$126,"Wirksam")</f>
        <v/>
      </c>
      <c r="M134" s="23">
        <f>G134+J134-SUMIFS('FC Eingabe'!$I$7:$I$126,'FC Eingabe'!$F$7:$F$126,C134,'FC Eingabe'!$K$7:$K$126,"Wirksam")</f>
        <v/>
      </c>
      <c r="N134" s="23">
        <f>H134+K134+SUMIFS('FC Eingabe'!$H$7:$H$126,'FC Eingabe'!$F$7:$F$126,C134,'FC Eingabe'!$K$7:$K$126,"Wirksam")</f>
        <v/>
      </c>
      <c r="O134" s="23">
        <f>SUM(L134:N134)</f>
        <v/>
      </c>
    </row>
    <row r="135" ht="21" customHeight="1">
      <c r="C135" s="10" t="inlineStr">
        <is>
          <t>P4102652023</t>
        </is>
      </c>
      <c r="D135" s="10" t="inlineStr">
        <is>
          <t>Nachlaufende Kosten</t>
        </is>
      </c>
      <c r="E135" s="10" t="inlineStr">
        <is>
          <t>Berlin</t>
        </is>
      </c>
      <c r="F135" s="23" t="n">
        <v>0</v>
      </c>
      <c r="G135" s="23" t="n">
        <v>-100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>
        <f>F135+I135+SUMIFS('FC Eingabe'!$G$7:$G$126,'FC Eingabe'!$F$7:$F$126,C135,'FC Eingabe'!$K$7:$K$126,"Wirksam")</f>
        <v/>
      </c>
      <c r="M135" s="23">
        <f>G135+J135-SUMIFS('FC Eingabe'!$I$7:$I$126,'FC Eingabe'!$F$7:$F$126,C135,'FC Eingabe'!$K$7:$K$126,"Wirksam")</f>
        <v/>
      </c>
      <c r="N135" s="23">
        <f>H135+K135+SUMIFS('FC Eingabe'!$H$7:$H$126,'FC Eingabe'!$F$7:$F$126,C135,'FC Eingabe'!$K$7:$K$126,"Wirksam")</f>
        <v/>
      </c>
      <c r="O135" s="23">
        <f>SUM(L135:N135)</f>
        <v/>
      </c>
    </row>
    <row r="136" ht="21" customHeight="1">
      <c r="C136" s="10" t="inlineStr">
        <is>
          <t>P4102657982</t>
        </is>
      </c>
      <c r="D136" s="10" t="inlineStr">
        <is>
          <t>Kleinaufträge</t>
        </is>
      </c>
      <c r="E136" s="10" t="inlineStr">
        <is>
          <t>Berlin</t>
        </is>
      </c>
      <c r="F136" s="23" t="n">
        <v>8250</v>
      </c>
      <c r="G136" s="23" t="n">
        <v>0</v>
      </c>
      <c r="H136" s="23" t="n">
        <v>0</v>
      </c>
      <c r="I136" s="23" t="n">
        <v>8250</v>
      </c>
      <c r="J136" s="23" t="n">
        <v>0</v>
      </c>
      <c r="K136" s="23" t="n">
        <v>0</v>
      </c>
      <c r="L136" s="23">
        <f>F136+I136+SUMIFS('FC Eingabe'!$G$7:$G$126,'FC Eingabe'!$F$7:$F$126,C136,'FC Eingabe'!$K$7:$K$126,"Wirksam")</f>
        <v/>
      </c>
      <c r="M136" s="23">
        <f>G136+J136-SUMIFS('FC Eingabe'!$I$7:$I$126,'FC Eingabe'!$F$7:$F$126,C136,'FC Eingabe'!$K$7:$K$126,"Wirksam")</f>
        <v/>
      </c>
      <c r="N136" s="23">
        <f>H136+K136+SUMIFS('FC Eingabe'!$H$7:$H$126,'FC Eingabe'!$F$7:$F$126,C136,'FC Eingabe'!$K$7:$K$126,"Wirksam")</f>
        <v/>
      </c>
      <c r="O136" s="23">
        <f>SUM(L136:N136)</f>
        <v/>
      </c>
    </row>
    <row r="137" ht="21" customHeight="1">
      <c r="C137" s="10" t="inlineStr">
        <is>
          <t>P4102658225</t>
        </is>
      </c>
      <c r="D137" s="10" t="inlineStr">
        <is>
          <t>B1 Brandenburg Potsdamer Straße</t>
        </is>
      </c>
      <c r="E137" s="10" t="inlineStr">
        <is>
          <t>Berlin</t>
        </is>
      </c>
      <c r="F137" s="23" t="n">
        <v>-59785.46</v>
      </c>
      <c r="G137" s="23" t="n">
        <v>-3.3</v>
      </c>
      <c r="H137" s="23" t="n">
        <v>0</v>
      </c>
      <c r="I137" s="23" t="n">
        <v>0</v>
      </c>
      <c r="J137" s="23" t="n">
        <v>0</v>
      </c>
      <c r="K137" s="23" t="n">
        <v>0</v>
      </c>
      <c r="L137" s="23">
        <f>F137+I137+SUMIFS('FC Eingabe'!$G$7:$G$126,'FC Eingabe'!$F$7:$F$126,C137,'FC Eingabe'!$K$7:$K$126,"Wirksam")</f>
        <v/>
      </c>
      <c r="M137" s="23">
        <f>G137+J137-SUMIFS('FC Eingabe'!$I$7:$I$126,'FC Eingabe'!$F$7:$F$126,C137,'FC Eingabe'!$K$7:$K$126,"Wirksam")</f>
        <v/>
      </c>
      <c r="N137" s="23">
        <f>H137+K137+SUMIFS('FC Eingabe'!$H$7:$H$126,'FC Eingabe'!$F$7:$F$126,C137,'FC Eingabe'!$K$7:$K$126,"Wirksam")</f>
        <v/>
      </c>
      <c r="O137" s="23">
        <f>SUM(L137:N137)</f>
        <v/>
      </c>
    </row>
    <row r="138" ht="21" customHeight="1">
      <c r="C138" s="10" t="inlineStr">
        <is>
          <t>P4102658228</t>
        </is>
      </c>
      <c r="D138" s="10" t="inlineStr">
        <is>
          <t>ENB EÜ Wollankstraße</t>
        </is>
      </c>
      <c r="E138" s="10" t="inlineStr">
        <is>
          <t>Berlin</t>
        </is>
      </c>
      <c r="F138" s="23" t="n">
        <v>0</v>
      </c>
      <c r="G138" s="23" t="n">
        <v>-424.37</v>
      </c>
      <c r="H138" s="23" t="n">
        <v>475.29</v>
      </c>
      <c r="I138" s="23" t="n">
        <v>0</v>
      </c>
      <c r="J138" s="23" t="n">
        <v>0</v>
      </c>
      <c r="K138" s="23" t="n">
        <v>0</v>
      </c>
      <c r="L138" s="23">
        <f>F138+I138+SUMIFS('FC Eingabe'!$G$7:$G$126,'FC Eingabe'!$F$7:$F$126,C138,'FC Eingabe'!$K$7:$K$126,"Wirksam")</f>
        <v/>
      </c>
      <c r="M138" s="23">
        <f>G138+J138-SUMIFS('FC Eingabe'!$I$7:$I$126,'FC Eingabe'!$F$7:$F$126,C138,'FC Eingabe'!$K$7:$K$126,"Wirksam")</f>
        <v/>
      </c>
      <c r="N138" s="23">
        <f>H138+K138+SUMIFS('FC Eingabe'!$H$7:$H$126,'FC Eingabe'!$F$7:$F$126,C138,'FC Eingabe'!$K$7:$K$126,"Wirksam")</f>
        <v/>
      </c>
      <c r="O138" s="23">
        <f>SUM(L138:N138)</f>
        <v/>
      </c>
    </row>
    <row r="139" ht="21" customHeight="1">
      <c r="C139" s="10" t="inlineStr">
        <is>
          <t>P4102658229</t>
        </is>
      </c>
      <c r="D139" s="10" t="inlineStr">
        <is>
          <t>Markgrafenbrücke Berlin</t>
        </is>
      </c>
      <c r="E139" s="10" t="inlineStr">
        <is>
          <t>Berlin</t>
        </is>
      </c>
      <c r="F139" s="23" t="n">
        <v>9697.700000000001</v>
      </c>
      <c r="G139" s="23" t="n">
        <v>-392074.26</v>
      </c>
      <c r="H139" s="23" t="n">
        <v>406981.1</v>
      </c>
      <c r="I139" s="23" t="n">
        <v>0</v>
      </c>
      <c r="J139" s="23" t="n">
        <v>0</v>
      </c>
      <c r="K139" s="23" t="n">
        <v>0</v>
      </c>
      <c r="L139" s="23">
        <f>F139+I139+SUMIFS('FC Eingabe'!$G$7:$G$126,'FC Eingabe'!$F$7:$F$126,C139,'FC Eingabe'!$K$7:$K$126,"Wirksam")</f>
        <v/>
      </c>
      <c r="M139" s="23">
        <f>G139+J139-SUMIFS('FC Eingabe'!$I$7:$I$126,'FC Eingabe'!$F$7:$F$126,C139,'FC Eingabe'!$K$7:$K$126,"Wirksam")</f>
        <v/>
      </c>
      <c r="N139" s="23">
        <f>H139+K139+SUMIFS('FC Eingabe'!$H$7:$H$126,'FC Eingabe'!$F$7:$F$126,C139,'FC Eingabe'!$K$7:$K$126,"Wirksam")</f>
        <v/>
      </c>
      <c r="O139" s="23">
        <f>SUM(L139:N139)</f>
        <v/>
      </c>
    </row>
    <row r="140" ht="21" customHeight="1">
      <c r="C140" s="10" t="inlineStr">
        <is>
          <t>P4102658235</t>
        </is>
      </c>
      <c r="D140" s="10" t="inlineStr">
        <is>
          <t>ENB Neue Fahlenbergbrücke</t>
        </is>
      </c>
      <c r="E140" s="10" t="inlineStr">
        <is>
          <t>Berlin</t>
        </is>
      </c>
      <c r="F140" s="23" t="n">
        <v>0</v>
      </c>
      <c r="G140" s="23" t="n">
        <v>0</v>
      </c>
      <c r="H140" s="23" t="n">
        <v>0</v>
      </c>
      <c r="I140" s="23" t="n">
        <v>0</v>
      </c>
      <c r="J140" s="23" t="n">
        <v>0</v>
      </c>
      <c r="K140" s="23" t="n">
        <v>0</v>
      </c>
      <c r="L140" s="23">
        <f>F140+I140+SUMIFS('FC Eingabe'!$G$7:$G$126,'FC Eingabe'!$F$7:$F$126,C140,'FC Eingabe'!$K$7:$K$126,"Wirksam")</f>
        <v/>
      </c>
      <c r="M140" s="23">
        <f>G140+J140-SUMIFS('FC Eingabe'!$I$7:$I$126,'FC Eingabe'!$F$7:$F$126,C140,'FC Eingabe'!$K$7:$K$126,"Wirksam")</f>
        <v/>
      </c>
      <c r="N140" s="23">
        <f>H140+K140+SUMIFS('FC Eingabe'!$H$7:$H$126,'FC Eingabe'!$F$7:$F$126,C140,'FC Eingabe'!$K$7:$K$126,"Wirksam")</f>
        <v/>
      </c>
      <c r="O140" s="23">
        <f>SUM(L140:N140)</f>
        <v/>
      </c>
    </row>
    <row r="141" ht="21" customHeight="1">
      <c r="C141" s="10" t="inlineStr">
        <is>
          <t>P4102658250</t>
        </is>
      </c>
      <c r="D141" s="10" t="inlineStr">
        <is>
          <t>Parkallee Velten, Brücke Stichkanal</t>
        </is>
      </c>
      <c r="E141" s="10" t="inlineStr">
        <is>
          <t>Berlin</t>
        </is>
      </c>
      <c r="F141" s="23" t="n">
        <v>-39809.7</v>
      </c>
      <c r="G141" s="23" t="n">
        <v>8.970000000000001</v>
      </c>
      <c r="H141" s="23" t="n">
        <v>0</v>
      </c>
      <c r="I141" s="23" t="n">
        <v>0</v>
      </c>
      <c r="J141" s="23" t="n">
        <v>0</v>
      </c>
      <c r="K141" s="23" t="n">
        <v>0</v>
      </c>
      <c r="L141" s="23">
        <f>F141+I141+SUMIFS('FC Eingabe'!$G$7:$G$126,'FC Eingabe'!$F$7:$F$126,C141,'FC Eingabe'!$K$7:$K$126,"Wirksam")</f>
        <v/>
      </c>
      <c r="M141" s="23">
        <f>G141+J141-SUMIFS('FC Eingabe'!$I$7:$I$126,'FC Eingabe'!$F$7:$F$126,C141,'FC Eingabe'!$K$7:$K$126,"Wirksam")</f>
        <v/>
      </c>
      <c r="N141" s="23">
        <f>H141+K141+SUMIFS('FC Eingabe'!$H$7:$H$126,'FC Eingabe'!$F$7:$F$126,C141,'FC Eingabe'!$K$7:$K$126,"Wirksam")</f>
        <v/>
      </c>
      <c r="O141" s="23">
        <f>SUM(L141:N141)</f>
        <v/>
      </c>
    </row>
    <row r="142" ht="21" customHeight="1">
      <c r="C142" s="10" t="inlineStr">
        <is>
          <t>P4102658254</t>
        </is>
      </c>
      <c r="D142" s="10" t="inlineStr">
        <is>
          <t>EÜ Langendreerstraße Bochum</t>
        </is>
      </c>
      <c r="E142" s="10" t="inlineStr">
        <is>
          <t>Berlin</t>
        </is>
      </c>
      <c r="F142" s="23" t="n">
        <v>0</v>
      </c>
      <c r="G142" s="23" t="n">
        <v>0.15</v>
      </c>
      <c r="H142" s="23" t="n">
        <v>0</v>
      </c>
      <c r="I142" s="23" t="n">
        <v>0</v>
      </c>
      <c r="J142" s="23" t="n">
        <v>0</v>
      </c>
      <c r="K142" s="23" t="n">
        <v>0</v>
      </c>
      <c r="L142" s="23">
        <f>F142+I142+SUMIFS('FC Eingabe'!$G$7:$G$126,'FC Eingabe'!$F$7:$F$126,C142,'FC Eingabe'!$K$7:$K$126,"Wirksam")</f>
        <v/>
      </c>
      <c r="M142" s="23">
        <f>G142+J142-SUMIFS('FC Eingabe'!$I$7:$I$126,'FC Eingabe'!$F$7:$F$126,C142,'FC Eingabe'!$K$7:$K$126,"Wirksam")</f>
        <v/>
      </c>
      <c r="N142" s="23">
        <f>H142+K142+SUMIFS('FC Eingabe'!$H$7:$H$126,'FC Eingabe'!$F$7:$F$126,C142,'FC Eingabe'!$K$7:$K$126,"Wirksam")</f>
        <v/>
      </c>
      <c r="O142" s="23">
        <f>SUM(L142:N142)</f>
        <v/>
      </c>
    </row>
    <row r="143" ht="21" customHeight="1">
      <c r="C143" s="10" t="inlineStr">
        <is>
          <t>P4102658256</t>
        </is>
      </c>
      <c r="D143" s="10" t="inlineStr">
        <is>
          <t>Schleuse Wolfswinkel</t>
        </is>
      </c>
      <c r="E143" s="10" t="inlineStr">
        <is>
          <t>Berlin</t>
        </is>
      </c>
      <c r="F143" s="23" t="n">
        <v>302672.02</v>
      </c>
      <c r="G143" s="23" t="n">
        <v>-59955.88</v>
      </c>
      <c r="H143" s="23" t="n">
        <v>-70767.05</v>
      </c>
      <c r="I143" s="23" t="n">
        <v>0</v>
      </c>
      <c r="J143" s="23" t="n">
        <v>0</v>
      </c>
      <c r="K143" s="23" t="n">
        <v>0</v>
      </c>
      <c r="L143" s="23">
        <f>F143+I143+SUMIFS('FC Eingabe'!$G$7:$G$126,'FC Eingabe'!$F$7:$F$126,C143,'FC Eingabe'!$K$7:$K$126,"Wirksam")</f>
        <v/>
      </c>
      <c r="M143" s="23">
        <f>G143+J143-SUMIFS('FC Eingabe'!$I$7:$I$126,'FC Eingabe'!$F$7:$F$126,C143,'FC Eingabe'!$K$7:$K$126,"Wirksam")</f>
        <v/>
      </c>
      <c r="N143" s="23">
        <f>H143+K143+SUMIFS('FC Eingabe'!$H$7:$H$126,'FC Eingabe'!$F$7:$F$126,C143,'FC Eingabe'!$K$7:$K$126,"Wirksam")</f>
        <v/>
      </c>
      <c r="O143" s="23">
        <f>SUM(L143:N143)</f>
        <v/>
      </c>
    </row>
    <row r="144" ht="21" customHeight="1">
      <c r="C144" s="10" t="inlineStr">
        <is>
          <t>P4102658257</t>
        </is>
      </c>
      <c r="D144" s="10" t="inlineStr">
        <is>
          <t>Brücke An der Wuhlheide - Notunterstützu</t>
        </is>
      </c>
      <c r="E144" s="10" t="inlineStr">
        <is>
          <t>Berlin</t>
        </is>
      </c>
      <c r="F144" s="23" t="n">
        <v>0</v>
      </c>
      <c r="G144" s="23" t="n">
        <v>0</v>
      </c>
      <c r="H144" s="23" t="n">
        <v>0</v>
      </c>
      <c r="I144" s="23" t="n">
        <v>0</v>
      </c>
      <c r="J144" s="23" t="n">
        <v>0</v>
      </c>
      <c r="K144" s="23" t="n">
        <v>0</v>
      </c>
      <c r="L144" s="23">
        <f>F144+I144+SUMIFS('FC Eingabe'!$G$7:$G$126,'FC Eingabe'!$F$7:$F$126,C144,'FC Eingabe'!$K$7:$K$126,"Wirksam")</f>
        <v/>
      </c>
      <c r="M144" s="23">
        <f>G144+J144-SUMIFS('FC Eingabe'!$I$7:$I$126,'FC Eingabe'!$F$7:$F$126,C144,'FC Eingabe'!$K$7:$K$126,"Wirksam")</f>
        <v/>
      </c>
      <c r="N144" s="23">
        <f>H144+K144+SUMIFS('FC Eingabe'!$H$7:$H$126,'FC Eingabe'!$F$7:$F$126,C144,'FC Eingabe'!$K$7:$K$126,"Wirksam")</f>
        <v/>
      </c>
      <c r="O144" s="23">
        <f>SUM(L144:N144)</f>
        <v/>
      </c>
    </row>
    <row r="145" ht="21" customHeight="1">
      <c r="C145" s="10" t="inlineStr">
        <is>
          <t>P4102658259</t>
        </is>
      </c>
      <c r="D145" s="10" t="inlineStr">
        <is>
          <t>ENB Eisenbahnbrücke Güsen</t>
        </is>
      </c>
      <c r="E145" s="10" t="inlineStr">
        <is>
          <t>Berlin</t>
        </is>
      </c>
      <c r="F145" s="23" t="n">
        <v>42491.68</v>
      </c>
      <c r="G145" s="23" t="n">
        <v>-67801.53999999999</v>
      </c>
      <c r="H145" s="23" t="n">
        <v>117116.98</v>
      </c>
      <c r="I145" s="23" t="n">
        <v>17000</v>
      </c>
      <c r="J145" s="23" t="n">
        <v>0</v>
      </c>
      <c r="K145" s="23" t="n">
        <v>0</v>
      </c>
      <c r="L145" s="23">
        <f>F145+I145+SUMIFS('FC Eingabe'!$G$7:$G$126,'FC Eingabe'!$F$7:$F$126,C145,'FC Eingabe'!$K$7:$K$126,"Wirksam")</f>
        <v/>
      </c>
      <c r="M145" s="23">
        <f>G145+J145-SUMIFS('FC Eingabe'!$I$7:$I$126,'FC Eingabe'!$F$7:$F$126,C145,'FC Eingabe'!$K$7:$K$126,"Wirksam")</f>
        <v/>
      </c>
      <c r="N145" s="23">
        <f>H145+K145+SUMIFS('FC Eingabe'!$H$7:$H$126,'FC Eingabe'!$F$7:$F$126,C145,'FC Eingabe'!$K$7:$K$126,"Wirksam")</f>
        <v/>
      </c>
      <c r="O145" s="23">
        <f>SUM(L145:N145)</f>
        <v/>
      </c>
    </row>
    <row r="146" ht="21" customHeight="1">
      <c r="C146" s="10" t="inlineStr">
        <is>
          <t>P4102658269</t>
        </is>
      </c>
      <c r="D146" s="10" t="inlineStr">
        <is>
          <t>B102 OD Jüterbog Alte Nuthe</t>
        </is>
      </c>
      <c r="E146" s="10" t="inlineStr">
        <is>
          <t>Berlin</t>
        </is>
      </c>
      <c r="F146" s="23" t="n">
        <v>16030.23</v>
      </c>
      <c r="G146" s="23" t="n">
        <v>-2708.05</v>
      </c>
      <c r="H146" s="23" t="n">
        <v>0</v>
      </c>
      <c r="I146" s="23" t="n">
        <v>0</v>
      </c>
      <c r="J146" s="23" t="n">
        <v>0</v>
      </c>
      <c r="K146" s="23" t="n">
        <v>0</v>
      </c>
      <c r="L146" s="23">
        <f>F146+I146+SUMIFS('FC Eingabe'!$G$7:$G$126,'FC Eingabe'!$F$7:$F$126,C146,'FC Eingabe'!$K$7:$K$126,"Wirksam")</f>
        <v/>
      </c>
      <c r="M146" s="23">
        <f>G146+J146-SUMIFS('FC Eingabe'!$I$7:$I$126,'FC Eingabe'!$F$7:$F$126,C146,'FC Eingabe'!$K$7:$K$126,"Wirksam")</f>
        <v/>
      </c>
      <c r="N146" s="23">
        <f>H146+K146+SUMIFS('FC Eingabe'!$H$7:$H$126,'FC Eingabe'!$F$7:$F$126,C146,'FC Eingabe'!$K$7:$K$126,"Wirksam")</f>
        <v/>
      </c>
      <c r="O146" s="23">
        <f>SUM(L146:N146)</f>
        <v/>
      </c>
    </row>
    <row r="147" ht="21" customHeight="1">
      <c r="C147" s="10" t="inlineStr">
        <is>
          <t>P4102658272</t>
        </is>
      </c>
      <c r="D147" s="10" t="inlineStr">
        <is>
          <t>Beräumung Herzberger Straße</t>
        </is>
      </c>
      <c r="E147" s="10" t="inlineStr">
        <is>
          <t>Berlin</t>
        </is>
      </c>
      <c r="F147" s="23" t="n">
        <v>36922.66</v>
      </c>
      <c r="G147" s="23" t="n">
        <v>-15708.54</v>
      </c>
      <c r="H147" s="23" t="n">
        <v>0</v>
      </c>
      <c r="I147" s="23" t="n">
        <v>0</v>
      </c>
      <c r="J147" s="23" t="n">
        <v>0</v>
      </c>
      <c r="K147" s="23" t="n">
        <v>0</v>
      </c>
      <c r="L147" s="23">
        <f>F147+I147+SUMIFS('FC Eingabe'!$G$7:$G$126,'FC Eingabe'!$F$7:$F$126,C147,'FC Eingabe'!$K$7:$K$126,"Wirksam")</f>
        <v/>
      </c>
      <c r="M147" s="23">
        <f>G147+J147-SUMIFS('FC Eingabe'!$I$7:$I$126,'FC Eingabe'!$F$7:$F$126,C147,'FC Eingabe'!$K$7:$K$126,"Wirksam")</f>
        <v/>
      </c>
      <c r="N147" s="23">
        <f>H147+K147+SUMIFS('FC Eingabe'!$H$7:$H$126,'FC Eingabe'!$F$7:$F$126,C147,'FC Eingabe'!$K$7:$K$126,"Wirksam")</f>
        <v/>
      </c>
      <c r="O147" s="23">
        <f>SUM(L147:N147)</f>
        <v/>
      </c>
    </row>
    <row r="148" ht="21" customHeight="1">
      <c r="C148" s="10" t="inlineStr">
        <is>
          <t>P4102658276</t>
        </is>
      </c>
      <c r="D148" s="10" t="inlineStr">
        <is>
          <t>EÜ Braunsbedra</t>
        </is>
      </c>
      <c r="E148" s="10" t="inlineStr">
        <is>
          <t>Berlin</t>
        </is>
      </c>
      <c r="F148" s="23" t="n">
        <v>27313.05</v>
      </c>
      <c r="G148" s="23" t="n">
        <v>-39057.45</v>
      </c>
      <c r="H148" s="23" t="n">
        <v>83713.49000000001</v>
      </c>
      <c r="I148" s="23" t="n">
        <v>27300</v>
      </c>
      <c r="J148" s="23" t="n">
        <v>-10000</v>
      </c>
      <c r="K148" s="23" t="n">
        <v>0</v>
      </c>
      <c r="L148" s="23">
        <f>F148+I148+SUMIFS('FC Eingabe'!$G$7:$G$126,'FC Eingabe'!$F$7:$F$126,C148,'FC Eingabe'!$K$7:$K$126,"Wirksam")</f>
        <v/>
      </c>
      <c r="M148" s="23">
        <f>G148+J148-SUMIFS('FC Eingabe'!$I$7:$I$126,'FC Eingabe'!$F$7:$F$126,C148,'FC Eingabe'!$K$7:$K$126,"Wirksam")</f>
        <v/>
      </c>
      <c r="N148" s="23">
        <f>H148+K148+SUMIFS('FC Eingabe'!$H$7:$H$126,'FC Eingabe'!$F$7:$F$126,C148,'FC Eingabe'!$K$7:$K$126,"Wirksam")</f>
        <v/>
      </c>
      <c r="O148" s="23">
        <f>SUM(L148:N148)</f>
        <v/>
      </c>
    </row>
    <row r="149" ht="21" customHeight="1">
      <c r="C149" s="10" t="inlineStr">
        <is>
          <t>W4102154411</t>
        </is>
      </c>
      <c r="D149" s="10" t="inlineStr">
        <is>
          <t>Vetrieb Region West</t>
        </is>
      </c>
      <c r="E149" s="10" t="inlineStr">
        <is>
          <t>West</t>
        </is>
      </c>
      <c r="F149" s="23" t="n">
        <v>0</v>
      </c>
      <c r="G149" s="23" t="n">
        <v>-101754.9</v>
      </c>
      <c r="H149" s="23" t="n">
        <v>0</v>
      </c>
      <c r="I149" s="23" t="n">
        <v>0</v>
      </c>
      <c r="J149" s="23" t="n">
        <v>0</v>
      </c>
      <c r="K149" s="23" t="n">
        <v>0</v>
      </c>
      <c r="L149" s="23">
        <f>F149+I149+SUMIFS('FC Eingabe'!$G$7:$G$126,'FC Eingabe'!$F$7:$F$126,C149,'FC Eingabe'!$K$7:$K$126,"Wirksam")</f>
        <v/>
      </c>
      <c r="M149" s="23">
        <f>G149+J149-SUMIFS('FC Eingabe'!$I$7:$I$126,'FC Eingabe'!$F$7:$F$126,C149,'FC Eingabe'!$K$7:$K$126,"Wirksam")</f>
        <v/>
      </c>
      <c r="N149" s="23">
        <f>H149+K149+SUMIFS('FC Eingabe'!$H$7:$H$126,'FC Eingabe'!$F$7:$F$126,C149,'FC Eingabe'!$K$7:$K$126,"Wirksam")</f>
        <v/>
      </c>
      <c r="O149" s="23">
        <f>SUM(L149:N149)</f>
        <v/>
      </c>
    </row>
    <row r="150" ht="21" customHeight="1">
      <c r="C150" s="10" t="inlineStr">
        <is>
          <t>W4102154501</t>
        </is>
      </c>
      <c r="D150" s="10" t="inlineStr">
        <is>
          <t>Gehalt BL Region West</t>
        </is>
      </c>
      <c r="E150" s="10" t="inlineStr">
        <is>
          <t>West</t>
        </is>
      </c>
      <c r="F150" s="23" t="n">
        <v>0</v>
      </c>
      <c r="G150" s="23" t="n">
        <v>-8664</v>
      </c>
      <c r="H150" s="23" t="n">
        <v>0</v>
      </c>
      <c r="I150" s="23" t="n">
        <v>0</v>
      </c>
      <c r="J150" s="23" t="n">
        <v>0</v>
      </c>
      <c r="K150" s="23" t="n">
        <v>0</v>
      </c>
      <c r="L150" s="23">
        <f>F150+I150+SUMIFS('FC Eingabe'!$G$7:$G$126,'FC Eingabe'!$F$7:$F$126,C150,'FC Eingabe'!$K$7:$K$126,"Wirksam")</f>
        <v/>
      </c>
      <c r="M150" s="23">
        <f>G150+J150-SUMIFS('FC Eingabe'!$I$7:$I$126,'FC Eingabe'!$F$7:$F$126,C150,'FC Eingabe'!$K$7:$K$126,"Wirksam")</f>
        <v/>
      </c>
      <c r="N150" s="23">
        <f>H150+K150+SUMIFS('FC Eingabe'!$H$7:$H$126,'FC Eingabe'!$F$7:$F$126,C150,'FC Eingabe'!$K$7:$K$126,"Wirksam")</f>
        <v/>
      </c>
      <c r="O150" s="23">
        <f>SUM(L150:N150)</f>
        <v/>
      </c>
    </row>
    <row r="151" ht="21" customHeight="1">
      <c r="C151" s="10" t="inlineStr">
        <is>
          <t>W4102154611</t>
        </is>
      </c>
      <c r="D151" s="10" t="inlineStr">
        <is>
          <t>Werkstatt Region West</t>
        </is>
      </c>
      <c r="E151" s="10" t="inlineStr">
        <is>
          <t>West</t>
        </is>
      </c>
      <c r="F151" s="23" t="n">
        <v>0</v>
      </c>
      <c r="G151" s="23" t="n">
        <v>-16506.24</v>
      </c>
      <c r="H151" s="23" t="n">
        <v>0</v>
      </c>
      <c r="I151" s="23" t="n">
        <v>0</v>
      </c>
      <c r="J151" s="23" t="n">
        <v>0</v>
      </c>
      <c r="K151" s="23" t="n">
        <v>0</v>
      </c>
      <c r="L151" s="23">
        <f>F151+I151+SUMIFS('FC Eingabe'!$G$7:$G$126,'FC Eingabe'!$F$7:$F$126,C151,'FC Eingabe'!$K$7:$K$126,"Wirksam")</f>
        <v/>
      </c>
      <c r="M151" s="23">
        <f>G151+J151-SUMIFS('FC Eingabe'!$I$7:$I$126,'FC Eingabe'!$F$7:$F$126,C151,'FC Eingabe'!$K$7:$K$126,"Wirksam")</f>
        <v/>
      </c>
      <c r="N151" s="23">
        <f>H151+K151+SUMIFS('FC Eingabe'!$H$7:$H$126,'FC Eingabe'!$F$7:$F$126,C151,'FC Eingabe'!$K$7:$K$126,"Wirksam")</f>
        <v/>
      </c>
      <c r="O151" s="23">
        <f>SUM(L151:N151)</f>
        <v/>
      </c>
    </row>
    <row r="152" ht="21" customHeight="1">
      <c r="C152" s="10" t="inlineStr">
        <is>
          <t>W4102154953</t>
        </is>
      </c>
      <c r="D152" s="10" t="inlineStr">
        <is>
          <t>CB-AA 140 Hr. Kraft</t>
        </is>
      </c>
      <c r="E152" s="10" t="inlineStr">
        <is>
          <t>West</t>
        </is>
      </c>
      <c r="F152" s="23" t="n">
        <v>0</v>
      </c>
      <c r="G152" s="23" t="n">
        <v>-1342.17</v>
      </c>
      <c r="H152" s="23" t="n">
        <v>0</v>
      </c>
      <c r="I152" s="23" t="n">
        <v>0</v>
      </c>
      <c r="J152" s="23" t="n">
        <v>0</v>
      </c>
      <c r="K152" s="23" t="n">
        <v>0</v>
      </c>
      <c r="L152" s="23">
        <f>F152+I152+SUMIFS('FC Eingabe'!$G$7:$G$126,'FC Eingabe'!$F$7:$F$126,C152,'FC Eingabe'!$K$7:$K$126,"Wirksam")</f>
        <v/>
      </c>
      <c r="M152" s="23">
        <f>G152+J152-SUMIFS('FC Eingabe'!$I$7:$I$126,'FC Eingabe'!$F$7:$F$126,C152,'FC Eingabe'!$K$7:$K$126,"Wirksam")</f>
        <v/>
      </c>
      <c r="N152" s="23">
        <f>H152+K152+SUMIFS('FC Eingabe'!$H$7:$H$126,'FC Eingabe'!$F$7:$F$126,C152,'FC Eingabe'!$K$7:$K$126,"Wirksam")</f>
        <v/>
      </c>
      <c r="O152" s="23">
        <f>SUM(L152:N152)</f>
        <v/>
      </c>
    </row>
    <row r="153" ht="21" customHeight="1">
      <c r="C153" s="10" t="inlineStr">
        <is>
          <t>W4102154961</t>
        </is>
      </c>
      <c r="D153" s="10" t="inlineStr">
        <is>
          <t>DO-AW 251 Ludwigs</t>
        </is>
      </c>
      <c r="E153" s="10" t="inlineStr">
        <is>
          <t>West</t>
        </is>
      </c>
      <c r="F153" s="23" t="n">
        <v>0</v>
      </c>
      <c r="G153" s="23" t="n">
        <v>-7075.24</v>
      </c>
      <c r="H153" s="23" t="n">
        <v>0</v>
      </c>
      <c r="I153" s="23" t="n">
        <v>0</v>
      </c>
      <c r="J153" s="23" t="n">
        <v>0</v>
      </c>
      <c r="K153" s="23" t="n">
        <v>0</v>
      </c>
      <c r="L153" s="23">
        <f>F153+I153+SUMIFS('FC Eingabe'!$G$7:$G$126,'FC Eingabe'!$F$7:$F$126,C153,'FC Eingabe'!$K$7:$K$126,"Wirksam")</f>
        <v/>
      </c>
      <c r="M153" s="23">
        <f>G153+J153-SUMIFS('FC Eingabe'!$I$7:$I$126,'FC Eingabe'!$F$7:$F$126,C153,'FC Eingabe'!$K$7:$K$126,"Wirksam")</f>
        <v/>
      </c>
      <c r="N153" s="23">
        <f>H153+K153+SUMIFS('FC Eingabe'!$H$7:$H$126,'FC Eingabe'!$F$7:$F$126,C153,'FC Eingabe'!$K$7:$K$126,"Wirksam")</f>
        <v/>
      </c>
      <c r="O153" s="23">
        <f>SUM(L153:N153)</f>
        <v/>
      </c>
    </row>
    <row r="154" ht="21" customHeight="1">
      <c r="C154" s="10" t="inlineStr">
        <is>
          <t>W4102154964</t>
        </is>
      </c>
      <c r="D154" s="10" t="inlineStr">
        <is>
          <t>PKW Schalk CB - TV 93</t>
        </is>
      </c>
      <c r="E154" s="10" t="inlineStr">
        <is>
          <t>West</t>
        </is>
      </c>
      <c r="F154" s="23" t="n">
        <v>0</v>
      </c>
      <c r="G154" s="23" t="n">
        <v>-10291.6</v>
      </c>
      <c r="H154" s="23" t="n">
        <v>0</v>
      </c>
      <c r="I154" s="23" t="n">
        <v>0</v>
      </c>
      <c r="J154" s="23" t="n">
        <v>0</v>
      </c>
      <c r="K154" s="23" t="n">
        <v>0</v>
      </c>
      <c r="L154" s="23">
        <f>F154+I154+SUMIFS('FC Eingabe'!$G$7:$G$126,'FC Eingabe'!$F$7:$F$126,C154,'FC Eingabe'!$K$7:$K$126,"Wirksam")</f>
        <v/>
      </c>
      <c r="M154" s="23">
        <f>G154+J154-SUMIFS('FC Eingabe'!$I$7:$I$126,'FC Eingabe'!$F$7:$F$126,C154,'FC Eingabe'!$K$7:$K$126,"Wirksam")</f>
        <v/>
      </c>
      <c r="N154" s="23">
        <f>H154+K154+SUMIFS('FC Eingabe'!$H$7:$H$126,'FC Eingabe'!$F$7:$F$126,C154,'FC Eingabe'!$K$7:$K$126,"Wirksam")</f>
        <v/>
      </c>
      <c r="O154" s="23">
        <f>SUM(L154:N154)</f>
        <v/>
      </c>
    </row>
    <row r="155" ht="21" customHeight="1">
      <c r="C155" s="10" t="inlineStr">
        <is>
          <t>W4102154966</t>
        </is>
      </c>
      <c r="D155" s="10" t="inlineStr">
        <is>
          <t>PKW Kilinc</t>
        </is>
      </c>
      <c r="E155" s="10" t="inlineStr">
        <is>
          <t>West</t>
        </is>
      </c>
      <c r="F155" s="23" t="n">
        <v>0</v>
      </c>
      <c r="G155" s="23" t="n">
        <v>-10045.97</v>
      </c>
      <c r="H155" s="23" t="n">
        <v>0</v>
      </c>
      <c r="I155" s="23" t="n">
        <v>0</v>
      </c>
      <c r="J155" s="23" t="n">
        <v>0</v>
      </c>
      <c r="K155" s="23" t="n">
        <v>0</v>
      </c>
      <c r="L155" s="23">
        <f>F155+I155+SUMIFS('FC Eingabe'!$G$7:$G$126,'FC Eingabe'!$F$7:$F$126,C155,'FC Eingabe'!$K$7:$K$126,"Wirksam")</f>
        <v/>
      </c>
      <c r="M155" s="23">
        <f>G155+J155-SUMIFS('FC Eingabe'!$I$7:$I$126,'FC Eingabe'!$F$7:$F$126,C155,'FC Eingabe'!$K$7:$K$126,"Wirksam")</f>
        <v/>
      </c>
      <c r="N155" s="23">
        <f>H155+K155+SUMIFS('FC Eingabe'!$H$7:$H$126,'FC Eingabe'!$F$7:$F$126,C155,'FC Eingabe'!$K$7:$K$126,"Wirksam")</f>
        <v/>
      </c>
      <c r="O155" s="23">
        <f>SUM(L155:N155)</f>
        <v/>
      </c>
    </row>
    <row r="156" ht="21" customHeight="1">
      <c r="C156" s="10" t="inlineStr">
        <is>
          <t>W4102154967</t>
        </is>
      </c>
      <c r="D156" s="10" t="inlineStr">
        <is>
          <t>CB - VT 585  Hr. Büskens</t>
        </is>
      </c>
      <c r="E156" s="10" t="inlineStr">
        <is>
          <t>West</t>
        </is>
      </c>
      <c r="F156" s="23" t="n">
        <v>0</v>
      </c>
      <c r="G156" s="23" t="n">
        <v>-13211</v>
      </c>
      <c r="H156" s="23" t="n">
        <v>0</v>
      </c>
      <c r="I156" s="23" t="n">
        <v>0</v>
      </c>
      <c r="J156" s="23" t="n">
        <v>0</v>
      </c>
      <c r="K156" s="23" t="n">
        <v>0</v>
      </c>
      <c r="L156" s="23">
        <f>F156+I156+SUMIFS('FC Eingabe'!$G$7:$G$126,'FC Eingabe'!$F$7:$F$126,C156,'FC Eingabe'!$K$7:$K$126,"Wirksam")</f>
        <v/>
      </c>
      <c r="M156" s="23">
        <f>G156+J156-SUMIFS('FC Eingabe'!$I$7:$I$126,'FC Eingabe'!$F$7:$F$126,C156,'FC Eingabe'!$K$7:$K$126,"Wirksam")</f>
        <v/>
      </c>
      <c r="N156" s="23">
        <f>H156+K156+SUMIFS('FC Eingabe'!$H$7:$H$126,'FC Eingabe'!$F$7:$F$126,C156,'FC Eingabe'!$K$7:$K$126,"Wirksam")</f>
        <v/>
      </c>
      <c r="O156" s="23">
        <f>SUM(L156:N156)</f>
        <v/>
      </c>
    </row>
    <row r="157" ht="21" customHeight="1">
      <c r="C157" s="10" t="inlineStr">
        <is>
          <t>W4102154968</t>
        </is>
      </c>
      <c r="D157" s="10" t="inlineStr">
        <is>
          <t>06-07/26 Mietwagen Hr. Lanzar</t>
        </is>
      </c>
      <c r="E157" s="10" t="inlineStr">
        <is>
          <t>West</t>
        </is>
      </c>
      <c r="F157" s="23" t="n">
        <v>0</v>
      </c>
      <c r="G157" s="23" t="n">
        <v>-1698.87</v>
      </c>
      <c r="H157" s="23" t="n">
        <v>0</v>
      </c>
      <c r="I157" s="23" t="n">
        <v>0</v>
      </c>
      <c r="J157" s="23" t="n">
        <v>0</v>
      </c>
      <c r="K157" s="23" t="n">
        <v>0</v>
      </c>
      <c r="L157" s="23">
        <f>F157+I157+SUMIFS('FC Eingabe'!$G$7:$G$126,'FC Eingabe'!$F$7:$F$126,C157,'FC Eingabe'!$K$7:$K$126,"Wirksam")</f>
        <v/>
      </c>
      <c r="M157" s="23">
        <f>G157+J157-SUMIFS('FC Eingabe'!$I$7:$I$126,'FC Eingabe'!$F$7:$F$126,C157,'FC Eingabe'!$K$7:$K$126,"Wirksam")</f>
        <v/>
      </c>
      <c r="N157" s="23">
        <f>H157+K157+SUMIFS('FC Eingabe'!$H$7:$H$126,'FC Eingabe'!$F$7:$F$126,C157,'FC Eingabe'!$K$7:$K$126,"Wirksam")</f>
        <v/>
      </c>
      <c r="O157" s="23">
        <f>SUM(L157:N157)</f>
        <v/>
      </c>
    </row>
    <row r="158" ht="21" customHeight="1">
      <c r="C158" s="10" t="inlineStr">
        <is>
          <t>W4102157414</t>
        </is>
      </c>
      <c r="D158" s="10" t="inlineStr">
        <is>
          <t>Krandemontage</t>
        </is>
      </c>
      <c r="E158" s="10" t="inlineStr">
        <is>
          <t>West</t>
        </is>
      </c>
      <c r="F158" s="23" t="n">
        <v>0</v>
      </c>
      <c r="G158" s="23" t="n">
        <v>0</v>
      </c>
      <c r="H158" s="23" t="n">
        <v>0</v>
      </c>
      <c r="I158" s="23" t="n">
        <v>0</v>
      </c>
      <c r="J158" s="23" t="n">
        <v>0</v>
      </c>
      <c r="K158" s="23" t="n">
        <v>0</v>
      </c>
      <c r="L158" s="23">
        <f>F158+I158+SUMIFS('FC Eingabe'!$G$7:$G$126,'FC Eingabe'!$F$7:$F$126,C158,'FC Eingabe'!$K$7:$K$126,"Wirksam")</f>
        <v/>
      </c>
      <c r="M158" s="23">
        <f>G158+J158-SUMIFS('FC Eingabe'!$I$7:$I$126,'FC Eingabe'!$F$7:$F$126,C158,'FC Eingabe'!$K$7:$K$126,"Wirksam")</f>
        <v/>
      </c>
      <c r="N158" s="23">
        <f>H158+K158+SUMIFS('FC Eingabe'!$H$7:$H$126,'FC Eingabe'!$F$7:$F$126,C158,'FC Eingabe'!$K$7:$K$126,"Wirksam")</f>
        <v/>
      </c>
      <c r="O158" s="23">
        <f>SUM(L158:N158)</f>
        <v/>
      </c>
    </row>
    <row r="159" ht="21" customHeight="1">
      <c r="C159" s="10" t="inlineStr">
        <is>
          <t>W4102304411</t>
        </is>
      </c>
      <c r="D159" s="10" t="inlineStr">
        <is>
          <t>Vetrieb Region Sued-West</t>
        </is>
      </c>
      <c r="E159" s="10" t="inlineStr">
        <is>
          <t>Süd-West</t>
        </is>
      </c>
      <c r="F159" s="23" t="n">
        <v>0</v>
      </c>
      <c r="G159" s="23" t="n">
        <v>-94648.47</v>
      </c>
      <c r="H159" s="23" t="n">
        <v>0</v>
      </c>
      <c r="I159" s="23" t="n">
        <v>0</v>
      </c>
      <c r="J159" s="23" t="n">
        <v>0</v>
      </c>
      <c r="K159" s="23" t="n">
        <v>0</v>
      </c>
      <c r="L159" s="23">
        <f>F159+I159+SUMIFS('FC Eingabe'!$G$7:$G$126,'FC Eingabe'!$F$7:$F$126,C159,'FC Eingabe'!$K$7:$K$126,"Wirksam")</f>
        <v/>
      </c>
      <c r="M159" s="23">
        <f>G159+J159-SUMIFS('FC Eingabe'!$I$7:$I$126,'FC Eingabe'!$F$7:$F$126,C159,'FC Eingabe'!$K$7:$K$126,"Wirksam")</f>
        <v/>
      </c>
      <c r="N159" s="23">
        <f>H159+K159+SUMIFS('FC Eingabe'!$H$7:$H$126,'FC Eingabe'!$F$7:$F$126,C159,'FC Eingabe'!$K$7:$K$126,"Wirksam")</f>
        <v/>
      </c>
      <c r="O159" s="23">
        <f>SUM(L159:N159)</f>
        <v/>
      </c>
    </row>
    <row r="160" ht="21" customHeight="1">
      <c r="C160" s="10" t="inlineStr">
        <is>
          <t>W4102304412</t>
        </is>
      </c>
      <c r="D160" s="10" t="inlineStr">
        <is>
          <t>Fremdfirmenstuetzupunkt</t>
        </is>
      </c>
      <c r="E160" s="10" t="inlineStr">
        <is>
          <t>Süd-West</t>
        </is>
      </c>
      <c r="F160" s="23" t="n">
        <v>0</v>
      </c>
      <c r="G160" s="23" t="n">
        <v>-2488</v>
      </c>
      <c r="H160" s="23" t="n">
        <v>0</v>
      </c>
      <c r="I160" s="23" t="n">
        <v>0</v>
      </c>
      <c r="J160" s="23" t="n">
        <v>0</v>
      </c>
      <c r="K160" s="23" t="n">
        <v>0</v>
      </c>
      <c r="L160" s="23">
        <f>F160+I160+SUMIFS('FC Eingabe'!$G$7:$G$126,'FC Eingabe'!$F$7:$F$126,C160,'FC Eingabe'!$K$7:$K$126,"Wirksam")</f>
        <v/>
      </c>
      <c r="M160" s="23">
        <f>G160+J160-SUMIFS('FC Eingabe'!$I$7:$I$126,'FC Eingabe'!$F$7:$F$126,C160,'FC Eingabe'!$K$7:$K$126,"Wirksam")</f>
        <v/>
      </c>
      <c r="N160" s="23">
        <f>H160+K160+SUMIFS('FC Eingabe'!$H$7:$H$126,'FC Eingabe'!$F$7:$F$126,C160,'FC Eingabe'!$K$7:$K$126,"Wirksam")</f>
        <v/>
      </c>
      <c r="O160" s="23">
        <f>SUM(L160:N160)</f>
        <v/>
      </c>
    </row>
    <row r="161" ht="21" customHeight="1">
      <c r="C161" s="10" t="inlineStr">
        <is>
          <t>W4102304611</t>
        </is>
      </c>
      <c r="D161" s="10" t="inlineStr">
        <is>
          <t>Lager Region Sued-West</t>
        </is>
      </c>
      <c r="E161" s="10" t="inlineStr">
        <is>
          <t>Süd-West</t>
        </is>
      </c>
      <c r="F161" s="23" t="n">
        <v>0</v>
      </c>
      <c r="G161" s="23" t="n">
        <v>-88828.60000000001</v>
      </c>
      <c r="H161" s="23" t="n">
        <v>0</v>
      </c>
      <c r="I161" s="23" t="n">
        <v>0</v>
      </c>
      <c r="J161" s="23" t="n">
        <v>0</v>
      </c>
      <c r="K161" s="23" t="n">
        <v>0</v>
      </c>
      <c r="L161" s="23">
        <f>F161+I161+SUMIFS('FC Eingabe'!$G$7:$G$126,'FC Eingabe'!$F$7:$F$126,C161,'FC Eingabe'!$K$7:$K$126,"Wirksam")</f>
        <v/>
      </c>
      <c r="M161" s="23">
        <f>G161+J161-SUMIFS('FC Eingabe'!$I$7:$I$126,'FC Eingabe'!$F$7:$F$126,C161,'FC Eingabe'!$K$7:$K$126,"Wirksam")</f>
        <v/>
      </c>
      <c r="N161" s="23">
        <f>H161+K161+SUMIFS('FC Eingabe'!$H$7:$H$126,'FC Eingabe'!$F$7:$F$126,C161,'FC Eingabe'!$K$7:$K$126,"Wirksam")</f>
        <v/>
      </c>
      <c r="O161" s="23">
        <f>SUM(L161:N161)</f>
        <v/>
      </c>
    </row>
    <row r="162" ht="21" customHeight="1">
      <c r="C162" s="10" t="inlineStr">
        <is>
          <t>W4102304943</t>
        </is>
      </c>
      <c r="D162" s="10" t="inlineStr">
        <is>
          <t>CB - TV 90 Hr. Flamme</t>
        </is>
      </c>
      <c r="E162" s="10" t="inlineStr">
        <is>
          <t>Süd-West</t>
        </is>
      </c>
      <c r="F162" s="23" t="n">
        <v>0</v>
      </c>
      <c r="G162" s="23" t="n">
        <v>-11735.18</v>
      </c>
      <c r="H162" s="23" t="n">
        <v>0</v>
      </c>
      <c r="I162" s="23" t="n">
        <v>0</v>
      </c>
      <c r="J162" s="23" t="n">
        <v>0</v>
      </c>
      <c r="K162" s="23" t="n">
        <v>0</v>
      </c>
      <c r="L162" s="23">
        <f>F162+I162+SUMIFS('FC Eingabe'!$G$7:$G$126,'FC Eingabe'!$F$7:$F$126,C162,'FC Eingabe'!$K$7:$K$126,"Wirksam")</f>
        <v/>
      </c>
      <c r="M162" s="23">
        <f>G162+J162-SUMIFS('FC Eingabe'!$I$7:$I$126,'FC Eingabe'!$F$7:$F$126,C162,'FC Eingabe'!$K$7:$K$126,"Wirksam")</f>
        <v/>
      </c>
      <c r="N162" s="23">
        <f>H162+K162+SUMIFS('FC Eingabe'!$H$7:$H$126,'FC Eingabe'!$F$7:$F$126,C162,'FC Eingabe'!$K$7:$K$126,"Wirksam")</f>
        <v/>
      </c>
      <c r="O162" s="23">
        <f>SUM(L162:N162)</f>
        <v/>
      </c>
    </row>
    <row r="163" ht="21" customHeight="1">
      <c r="C163" s="10" t="inlineStr">
        <is>
          <t>W4102304946</t>
        </is>
      </c>
      <c r="D163" s="10" t="inlineStr">
        <is>
          <t>CB-AA 552 Sesjunin</t>
        </is>
      </c>
      <c r="E163" s="10" t="inlineStr">
        <is>
          <t>Süd-West</t>
        </is>
      </c>
      <c r="F163" s="23" t="n">
        <v>0</v>
      </c>
      <c r="G163" s="23" t="n">
        <v>-5317.15</v>
      </c>
      <c r="H163" s="23" t="n">
        <v>0</v>
      </c>
      <c r="I163" s="23" t="n">
        <v>0</v>
      </c>
      <c r="J163" s="23" t="n">
        <v>0</v>
      </c>
      <c r="K163" s="23" t="n">
        <v>0</v>
      </c>
      <c r="L163" s="23">
        <f>F163+I163+SUMIFS('FC Eingabe'!$G$7:$G$126,'FC Eingabe'!$F$7:$F$126,C163,'FC Eingabe'!$K$7:$K$126,"Wirksam")</f>
        <v/>
      </c>
      <c r="M163" s="23">
        <f>G163+J163-SUMIFS('FC Eingabe'!$I$7:$I$126,'FC Eingabe'!$F$7:$F$126,C163,'FC Eingabe'!$K$7:$K$126,"Wirksam")</f>
        <v/>
      </c>
      <c r="N163" s="23">
        <f>H163+K163+SUMIFS('FC Eingabe'!$H$7:$H$126,'FC Eingabe'!$F$7:$F$126,C163,'FC Eingabe'!$K$7:$K$126,"Wirksam")</f>
        <v/>
      </c>
      <c r="O163" s="23">
        <f>SUM(L163:N163)</f>
        <v/>
      </c>
    </row>
    <row r="164" ht="21" customHeight="1">
      <c r="C164" s="10" t="inlineStr">
        <is>
          <t>W4102304947</t>
        </is>
      </c>
      <c r="D164" s="10" t="inlineStr">
        <is>
          <t>CB-AB 644 Passat Herr Yavuz</t>
        </is>
      </c>
      <c r="E164" s="10" t="inlineStr">
        <is>
          <t>Süd-West</t>
        </is>
      </c>
      <c r="F164" s="23" t="n">
        <v>0</v>
      </c>
      <c r="G164" s="23" t="n">
        <v>-30</v>
      </c>
      <c r="H164" s="23" t="n">
        <v>0</v>
      </c>
      <c r="I164" s="23" t="n">
        <v>0</v>
      </c>
      <c r="J164" s="23" t="n">
        <v>0</v>
      </c>
      <c r="K164" s="23" t="n">
        <v>0</v>
      </c>
      <c r="L164" s="23">
        <f>F164+I164+SUMIFS('FC Eingabe'!$G$7:$G$126,'FC Eingabe'!$F$7:$F$126,C164,'FC Eingabe'!$K$7:$K$126,"Wirksam")</f>
        <v/>
      </c>
      <c r="M164" s="23">
        <f>G164+J164-SUMIFS('FC Eingabe'!$I$7:$I$126,'FC Eingabe'!$F$7:$F$126,C164,'FC Eingabe'!$K$7:$K$126,"Wirksam")</f>
        <v/>
      </c>
      <c r="N164" s="23">
        <f>H164+K164+SUMIFS('FC Eingabe'!$H$7:$H$126,'FC Eingabe'!$F$7:$F$126,C164,'FC Eingabe'!$K$7:$K$126,"Wirksam")</f>
        <v/>
      </c>
      <c r="O164" s="23">
        <f>SUM(L164:N164)</f>
        <v/>
      </c>
    </row>
    <row r="165" ht="21" customHeight="1">
      <c r="C165" s="10" t="inlineStr">
        <is>
          <t>W4102307411</t>
        </is>
      </c>
      <c r="D165" s="10" t="inlineStr">
        <is>
          <t>BASF - G 521</t>
        </is>
      </c>
      <c r="E165" s="10" t="inlineStr">
        <is>
          <t>Süd-West</t>
        </is>
      </c>
      <c r="F165" s="23" t="n">
        <v>0</v>
      </c>
      <c r="G165" s="23" t="n">
        <v>-580</v>
      </c>
      <c r="H165" s="23" t="n">
        <v>0</v>
      </c>
      <c r="I165" s="23" t="n">
        <v>0</v>
      </c>
      <c r="J165" s="23" t="n">
        <v>0</v>
      </c>
      <c r="K165" s="23" t="n">
        <v>0</v>
      </c>
      <c r="L165" s="23">
        <f>F165+I165+SUMIFS('FC Eingabe'!$G$7:$G$126,'FC Eingabe'!$F$7:$F$126,C165,'FC Eingabe'!$K$7:$K$126,"Wirksam")</f>
        <v/>
      </c>
      <c r="M165" s="23">
        <f>G165+J165-SUMIFS('FC Eingabe'!$I$7:$I$126,'FC Eingabe'!$F$7:$F$126,C165,'FC Eingabe'!$K$7:$K$126,"Wirksam")</f>
        <v/>
      </c>
      <c r="N165" s="23">
        <f>H165+K165+SUMIFS('FC Eingabe'!$H$7:$H$126,'FC Eingabe'!$F$7:$F$126,C165,'FC Eingabe'!$K$7:$K$126,"Wirksam")</f>
        <v/>
      </c>
      <c r="O165" s="23">
        <f>SUM(L165:N165)</f>
        <v/>
      </c>
    </row>
    <row r="166" ht="21" customHeight="1">
      <c r="C166" s="10" t="inlineStr">
        <is>
          <t>W4102504101</t>
        </is>
      </c>
      <c r="D166" s="10" t="inlineStr">
        <is>
          <t>Kaufm. Geschäftsfüh.</t>
        </is>
      </c>
      <c r="E166" s="10" t="inlineStr">
        <is>
          <t>Verwaltung</t>
        </is>
      </c>
      <c r="F166" s="23" t="n">
        <v>0</v>
      </c>
      <c r="G166" s="23" t="n">
        <v>-7</v>
      </c>
      <c r="H166" s="23" t="n">
        <v>0</v>
      </c>
      <c r="I166" s="23" t="n">
        <v>0</v>
      </c>
      <c r="J166" s="23" t="n">
        <v>0</v>
      </c>
      <c r="K166" s="23" t="n">
        <v>0</v>
      </c>
      <c r="L166" s="23">
        <f>F166+I166+SUMIFS('FC Eingabe'!$G$7:$G$126,'FC Eingabe'!$F$7:$F$126,C166,'FC Eingabe'!$K$7:$K$126,"Wirksam")</f>
        <v/>
      </c>
      <c r="M166" s="23">
        <f>G166+J166-SUMIFS('FC Eingabe'!$I$7:$I$126,'FC Eingabe'!$F$7:$F$126,C166,'FC Eingabe'!$K$7:$K$126,"Wirksam")</f>
        <v/>
      </c>
      <c r="N166" s="23">
        <f>H166+K166+SUMIFS('FC Eingabe'!$H$7:$H$126,'FC Eingabe'!$F$7:$F$126,C166,'FC Eingabe'!$K$7:$K$126,"Wirksam")</f>
        <v/>
      </c>
      <c r="O166" s="23">
        <f>SUM(L166:N166)</f>
        <v/>
      </c>
    </row>
    <row r="167" ht="21" customHeight="1">
      <c r="C167" s="10" t="inlineStr">
        <is>
          <t>W4102504102</t>
        </is>
      </c>
      <c r="D167" s="10" t="inlineStr">
        <is>
          <t>Techn. Geschäftsfüh.</t>
        </is>
      </c>
      <c r="E167" s="10" t="inlineStr">
        <is>
          <t>Verwaltung</t>
        </is>
      </c>
      <c r="F167" s="23" t="n">
        <v>0</v>
      </c>
      <c r="G167" s="23" t="n">
        <v>0</v>
      </c>
      <c r="H167" s="23" t="n">
        <v>0</v>
      </c>
      <c r="I167" s="23" t="n">
        <v>0</v>
      </c>
      <c r="J167" s="23" t="n">
        <v>0</v>
      </c>
      <c r="K167" s="23" t="n">
        <v>0</v>
      </c>
      <c r="L167" s="23">
        <f>F167+I167+SUMIFS('FC Eingabe'!$G$7:$G$126,'FC Eingabe'!$F$7:$F$126,C167,'FC Eingabe'!$K$7:$K$126,"Wirksam")</f>
        <v/>
      </c>
      <c r="M167" s="23">
        <f>G167+J167-SUMIFS('FC Eingabe'!$I$7:$I$126,'FC Eingabe'!$F$7:$F$126,C167,'FC Eingabe'!$K$7:$K$126,"Wirksam")</f>
        <v/>
      </c>
      <c r="N167" s="23">
        <f>H167+K167+SUMIFS('FC Eingabe'!$H$7:$H$126,'FC Eingabe'!$F$7:$F$126,C167,'FC Eingabe'!$K$7:$K$126,"Wirksam")</f>
        <v/>
      </c>
      <c r="O167" s="23">
        <f>SUM(L167:N167)</f>
        <v/>
      </c>
    </row>
    <row r="168" ht="21" customHeight="1">
      <c r="C168" s="10" t="inlineStr">
        <is>
          <t>W4102504104</t>
        </is>
      </c>
      <c r="D168" s="10" t="inlineStr">
        <is>
          <t>Dienstleistungsverrechn.</t>
        </is>
      </c>
      <c r="E168" s="10" t="inlineStr">
        <is>
          <t>Verwaltung</t>
        </is>
      </c>
      <c r="F168" s="23" t="n">
        <v>0</v>
      </c>
      <c r="G168" s="23" t="n">
        <v>-48751</v>
      </c>
      <c r="H168" s="23" t="n">
        <v>0</v>
      </c>
      <c r="I168" s="23" t="n">
        <v>0</v>
      </c>
      <c r="J168" s="23" t="n">
        <v>-16100</v>
      </c>
      <c r="K168" s="23" t="n">
        <v>0</v>
      </c>
      <c r="L168" s="23">
        <f>F168+I168+SUMIFS('FC Eingabe'!$G$7:$G$126,'FC Eingabe'!$F$7:$F$126,C168,'FC Eingabe'!$K$7:$K$126,"Wirksam")</f>
        <v/>
      </c>
      <c r="M168" s="23">
        <f>G168+J168-SUMIFS('FC Eingabe'!$I$7:$I$126,'FC Eingabe'!$F$7:$F$126,C168,'FC Eingabe'!$K$7:$K$126,"Wirksam")</f>
        <v/>
      </c>
      <c r="N168" s="23">
        <f>H168+K168+SUMIFS('FC Eingabe'!$H$7:$H$126,'FC Eingabe'!$F$7:$F$126,C168,'FC Eingabe'!$K$7:$K$126,"Wirksam")</f>
        <v/>
      </c>
      <c r="O168" s="23">
        <f>SUM(L168:N168)</f>
        <v/>
      </c>
    </row>
    <row r="169" ht="21" customHeight="1">
      <c r="C169" s="10" t="inlineStr">
        <is>
          <t>W4102504106</t>
        </is>
      </c>
      <c r="D169" s="10" t="inlineStr">
        <is>
          <t>Geschäftsfüh.</t>
        </is>
      </c>
      <c r="E169" s="10" t="inlineStr">
        <is>
          <t>Verwaltung</t>
        </is>
      </c>
      <c r="F169" s="23" t="n">
        <v>0</v>
      </c>
      <c r="G169" s="23" t="n">
        <v>-6447.58</v>
      </c>
      <c r="H169" s="23" t="n">
        <v>0</v>
      </c>
      <c r="I169" s="23" t="n">
        <v>0</v>
      </c>
      <c r="J169" s="23" t="n">
        <v>-2000</v>
      </c>
      <c r="K169" s="23" t="n">
        <v>0</v>
      </c>
      <c r="L169" s="23">
        <f>F169+I169+SUMIFS('FC Eingabe'!$G$7:$G$126,'FC Eingabe'!$F$7:$F$126,C169,'FC Eingabe'!$K$7:$K$126,"Wirksam")</f>
        <v/>
      </c>
      <c r="M169" s="23">
        <f>G169+J169-SUMIFS('FC Eingabe'!$I$7:$I$126,'FC Eingabe'!$F$7:$F$126,C169,'FC Eingabe'!$K$7:$K$126,"Wirksam")</f>
        <v/>
      </c>
      <c r="N169" s="23">
        <f>H169+K169+SUMIFS('FC Eingabe'!$H$7:$H$126,'FC Eingabe'!$F$7:$F$126,C169,'FC Eingabe'!$K$7:$K$126,"Wirksam")</f>
        <v/>
      </c>
      <c r="O169" s="23">
        <f>SUM(L169:N169)</f>
        <v/>
      </c>
    </row>
    <row r="170" ht="21" customHeight="1">
      <c r="C170" s="10" t="inlineStr">
        <is>
          <t>W4102504107</t>
        </is>
      </c>
      <c r="D170" s="10" t="inlineStr">
        <is>
          <t>Geschäftsfüh. Hr Kay</t>
        </is>
      </c>
      <c r="E170" s="10" t="inlineStr">
        <is>
          <t>Verwaltung</t>
        </is>
      </c>
      <c r="F170" s="23" t="n">
        <v>0</v>
      </c>
      <c r="G170" s="23" t="n">
        <v>-685.6799999999999</v>
      </c>
      <c r="H170" s="23" t="n">
        <v>0</v>
      </c>
      <c r="I170" s="23" t="n">
        <v>0</v>
      </c>
      <c r="J170" s="23" t="n">
        <v>0</v>
      </c>
      <c r="K170" s="23" t="n">
        <v>0</v>
      </c>
      <c r="L170" s="23">
        <f>F170+I170+SUMIFS('FC Eingabe'!$G$7:$G$126,'FC Eingabe'!$F$7:$F$126,C170,'FC Eingabe'!$K$7:$K$126,"Wirksam")</f>
        <v/>
      </c>
      <c r="M170" s="23">
        <f>G170+J170-SUMIFS('FC Eingabe'!$I$7:$I$126,'FC Eingabe'!$F$7:$F$126,C170,'FC Eingabe'!$K$7:$K$126,"Wirksam")</f>
        <v/>
      </c>
      <c r="N170" s="23">
        <f>H170+K170+SUMIFS('FC Eingabe'!$H$7:$H$126,'FC Eingabe'!$F$7:$F$126,C170,'FC Eingabe'!$K$7:$K$126,"Wirksam")</f>
        <v/>
      </c>
      <c r="O170" s="23">
        <f>SUM(L170:N170)</f>
        <v/>
      </c>
    </row>
    <row r="171" ht="21" customHeight="1">
      <c r="C171" s="10" t="inlineStr">
        <is>
          <t>W4102504108</t>
        </is>
      </c>
      <c r="D171" s="10" t="inlineStr">
        <is>
          <t>Geschäftsführer Hr. Kenski</t>
        </is>
      </c>
      <c r="E171" s="10" t="inlineStr">
        <is>
          <t>Verwaltung</t>
        </is>
      </c>
      <c r="F171" s="23" t="n">
        <v>0</v>
      </c>
      <c r="G171" s="23" t="n">
        <v>-4155.7</v>
      </c>
      <c r="H171" s="23" t="n">
        <v>0</v>
      </c>
      <c r="I171" s="23" t="n">
        <v>0</v>
      </c>
      <c r="J171" s="23" t="n">
        <v>-2000</v>
      </c>
      <c r="K171" s="23" t="n">
        <v>0</v>
      </c>
      <c r="L171" s="23">
        <f>F171+I171+SUMIFS('FC Eingabe'!$G$7:$G$126,'FC Eingabe'!$F$7:$F$126,C171,'FC Eingabe'!$K$7:$K$126,"Wirksam")</f>
        <v/>
      </c>
      <c r="M171" s="23">
        <f>G171+J171-SUMIFS('FC Eingabe'!$I$7:$I$126,'FC Eingabe'!$F$7:$F$126,C171,'FC Eingabe'!$K$7:$K$126,"Wirksam")</f>
        <v/>
      </c>
      <c r="N171" s="23">
        <f>H171+K171+SUMIFS('FC Eingabe'!$H$7:$H$126,'FC Eingabe'!$F$7:$F$126,C171,'FC Eingabe'!$K$7:$K$126,"Wirksam")</f>
        <v/>
      </c>
      <c r="O171" s="23">
        <f>SUM(L171:N171)</f>
        <v/>
      </c>
    </row>
    <row r="172" ht="21" customHeight="1">
      <c r="C172" s="10" t="inlineStr">
        <is>
          <t>W4102504109</t>
        </is>
      </c>
      <c r="D172" s="10" t="inlineStr">
        <is>
          <t>Geschäftsführerin Frau Langosch</t>
        </is>
      </c>
      <c r="E172" s="10" t="inlineStr">
        <is>
          <t>Verwaltung</t>
        </is>
      </c>
      <c r="F172" s="23" t="n">
        <v>0</v>
      </c>
      <c r="G172" s="23" t="n">
        <v>-4555.48</v>
      </c>
      <c r="H172" s="23" t="n">
        <v>0</v>
      </c>
      <c r="I172" s="23" t="n">
        <v>0</v>
      </c>
      <c r="J172" s="23" t="n">
        <v>0</v>
      </c>
      <c r="K172" s="23" t="n">
        <v>0</v>
      </c>
      <c r="L172" s="23">
        <f>F172+I172+SUMIFS('FC Eingabe'!$G$7:$G$126,'FC Eingabe'!$F$7:$F$126,C172,'FC Eingabe'!$K$7:$K$126,"Wirksam")</f>
        <v/>
      </c>
      <c r="M172" s="23">
        <f>G172+J172-SUMIFS('FC Eingabe'!$I$7:$I$126,'FC Eingabe'!$F$7:$F$126,C172,'FC Eingabe'!$K$7:$K$126,"Wirksam")</f>
        <v/>
      </c>
      <c r="N172" s="23">
        <f>H172+K172+SUMIFS('FC Eingabe'!$H$7:$H$126,'FC Eingabe'!$F$7:$F$126,C172,'FC Eingabe'!$K$7:$K$126,"Wirksam")</f>
        <v/>
      </c>
      <c r="O172" s="23">
        <f>SUM(L172:N172)</f>
        <v/>
      </c>
    </row>
    <row r="173" ht="21" customHeight="1">
      <c r="C173" s="10" t="inlineStr">
        <is>
          <t>W4102504211</t>
        </is>
      </c>
      <c r="D173" s="10" t="inlineStr">
        <is>
          <t>Rechnungsw./Finanzen</t>
        </is>
      </c>
      <c r="E173" s="10" t="inlineStr">
        <is>
          <t>Verwaltung</t>
        </is>
      </c>
      <c r="F173" s="23" t="n">
        <v>0</v>
      </c>
      <c r="G173" s="23" t="n">
        <v>-252.87</v>
      </c>
      <c r="H173" s="23" t="n">
        <v>0</v>
      </c>
      <c r="I173" s="23" t="n">
        <v>0</v>
      </c>
      <c r="J173" s="23" t="n">
        <v>-400</v>
      </c>
      <c r="K173" s="23" t="n">
        <v>0</v>
      </c>
      <c r="L173" s="23">
        <f>F173+I173+SUMIFS('FC Eingabe'!$G$7:$G$126,'FC Eingabe'!$F$7:$F$126,C173,'FC Eingabe'!$K$7:$K$126,"Wirksam")</f>
        <v/>
      </c>
      <c r="M173" s="23">
        <f>G173+J173-SUMIFS('FC Eingabe'!$I$7:$I$126,'FC Eingabe'!$F$7:$F$126,C173,'FC Eingabe'!$K$7:$K$126,"Wirksam")</f>
        <v/>
      </c>
      <c r="N173" s="23">
        <f>H173+K173+SUMIFS('FC Eingabe'!$H$7:$H$126,'FC Eingabe'!$F$7:$F$126,C173,'FC Eingabe'!$K$7:$K$126,"Wirksam")</f>
        <v/>
      </c>
      <c r="O173" s="23">
        <f>SUM(L173:N173)</f>
        <v/>
      </c>
    </row>
    <row r="174" ht="21" customHeight="1">
      <c r="C174" s="10" t="inlineStr">
        <is>
          <t>W4102504221</t>
        </is>
      </c>
      <c r="D174" s="10" t="inlineStr">
        <is>
          <t>Übriges Personal</t>
        </is>
      </c>
      <c r="E174" s="10" t="inlineStr">
        <is>
          <t>Verwaltung</t>
        </is>
      </c>
      <c r="F174" s="23" t="n">
        <v>0</v>
      </c>
      <c r="G174" s="23" t="n">
        <v>-2695.76</v>
      </c>
      <c r="H174" s="23" t="n">
        <v>0</v>
      </c>
      <c r="I174" s="23" t="n">
        <v>0</v>
      </c>
      <c r="J174" s="23" t="n">
        <v>-500</v>
      </c>
      <c r="K174" s="23" t="n">
        <v>0</v>
      </c>
      <c r="L174" s="23">
        <f>F174+I174+SUMIFS('FC Eingabe'!$G$7:$G$126,'FC Eingabe'!$F$7:$F$126,C174,'FC Eingabe'!$K$7:$K$126,"Wirksam")</f>
        <v/>
      </c>
      <c r="M174" s="23">
        <f>G174+J174-SUMIFS('FC Eingabe'!$I$7:$I$126,'FC Eingabe'!$F$7:$F$126,C174,'FC Eingabe'!$K$7:$K$126,"Wirksam")</f>
        <v/>
      </c>
      <c r="N174" s="23">
        <f>H174+K174+SUMIFS('FC Eingabe'!$H$7:$H$126,'FC Eingabe'!$F$7:$F$126,C174,'FC Eingabe'!$K$7:$K$126,"Wirksam")</f>
        <v/>
      </c>
      <c r="O174" s="23">
        <f>SUM(L174:N174)</f>
        <v/>
      </c>
    </row>
    <row r="175" ht="21" customHeight="1">
      <c r="C175" s="10" t="inlineStr">
        <is>
          <t>W4102504222</t>
        </is>
      </c>
      <c r="D175" s="10" t="inlineStr">
        <is>
          <t>Sonstige Sachkosten</t>
        </is>
      </c>
      <c r="E175" s="10" t="inlineStr">
        <is>
          <t>Verwaltung</t>
        </is>
      </c>
      <c r="F175" s="23" t="n">
        <v>0</v>
      </c>
      <c r="G175" s="23" t="n">
        <v>-385636.12</v>
      </c>
      <c r="H175" s="23" t="n">
        <v>0</v>
      </c>
      <c r="I175" s="23" t="n">
        <v>0</v>
      </c>
      <c r="J175" s="23" t="n">
        <v>-170000</v>
      </c>
      <c r="K175" s="23" t="n">
        <v>0</v>
      </c>
      <c r="L175" s="23">
        <f>F175+I175+SUMIFS('FC Eingabe'!$G$7:$G$126,'FC Eingabe'!$F$7:$F$126,C175,'FC Eingabe'!$K$7:$K$126,"Wirksam")</f>
        <v/>
      </c>
      <c r="M175" s="23">
        <f>G175+J175-SUMIFS('FC Eingabe'!$I$7:$I$126,'FC Eingabe'!$F$7:$F$126,C175,'FC Eingabe'!$K$7:$K$126,"Wirksam")</f>
        <v/>
      </c>
      <c r="N175" s="23">
        <f>H175+K175+SUMIFS('FC Eingabe'!$H$7:$H$126,'FC Eingabe'!$F$7:$F$126,C175,'FC Eingabe'!$K$7:$K$126,"Wirksam")</f>
        <v/>
      </c>
      <c r="O175" s="23">
        <f>SUM(L175:N175)</f>
        <v/>
      </c>
    </row>
    <row r="176" ht="21" customHeight="1">
      <c r="C176" s="10" t="inlineStr">
        <is>
          <t>W4102504262</t>
        </is>
      </c>
      <c r="D176" s="10" t="inlineStr">
        <is>
          <t>Zentrale EDV</t>
        </is>
      </c>
      <c r="E176" s="10" t="inlineStr">
        <is>
          <t>Verwaltung</t>
        </is>
      </c>
      <c r="F176" s="23" t="n">
        <v>0</v>
      </c>
      <c r="G176" s="23" t="n">
        <v>-65966.71000000001</v>
      </c>
      <c r="H176" s="23" t="n">
        <v>0</v>
      </c>
      <c r="I176" s="23" t="n">
        <v>0</v>
      </c>
      <c r="J176" s="23" t="n">
        <v>-22000</v>
      </c>
      <c r="K176" s="23" t="n">
        <v>0</v>
      </c>
      <c r="L176" s="23">
        <f>F176+I176+SUMIFS('FC Eingabe'!$G$7:$G$126,'FC Eingabe'!$F$7:$F$126,C176,'FC Eingabe'!$K$7:$K$126,"Wirksam")</f>
        <v/>
      </c>
      <c r="M176" s="23">
        <f>G176+J176-SUMIFS('FC Eingabe'!$I$7:$I$126,'FC Eingabe'!$F$7:$F$126,C176,'FC Eingabe'!$K$7:$K$126,"Wirksam")</f>
        <v/>
      </c>
      <c r="N176" s="23">
        <f>H176+K176+SUMIFS('FC Eingabe'!$H$7:$H$126,'FC Eingabe'!$F$7:$F$126,C176,'FC Eingabe'!$K$7:$K$126,"Wirksam")</f>
        <v/>
      </c>
      <c r="O176" s="23">
        <f>SUM(L176:N176)</f>
        <v/>
      </c>
    </row>
    <row r="177" ht="21" customHeight="1">
      <c r="C177" s="10" t="inlineStr">
        <is>
          <t>W4102504941</t>
        </is>
      </c>
      <c r="D177" s="10" t="inlineStr">
        <is>
          <t>Betriebsrat</t>
        </is>
      </c>
      <c r="E177" s="10" t="inlineStr">
        <is>
          <t>Verwaltung</t>
        </is>
      </c>
      <c r="F177" s="23" t="n">
        <v>0</v>
      </c>
      <c r="G177" s="23" t="n">
        <v>-590.37</v>
      </c>
      <c r="H177" s="23" t="n">
        <v>0</v>
      </c>
      <c r="I177" s="23" t="n">
        <v>0</v>
      </c>
      <c r="J177" s="23" t="n">
        <v>-400</v>
      </c>
      <c r="K177" s="23" t="n">
        <v>0</v>
      </c>
      <c r="L177" s="23">
        <f>F177+I177+SUMIFS('FC Eingabe'!$G$7:$G$126,'FC Eingabe'!$F$7:$F$126,C177,'FC Eingabe'!$K$7:$K$126,"Wirksam")</f>
        <v/>
      </c>
      <c r="M177" s="23">
        <f>G177+J177-SUMIFS('FC Eingabe'!$I$7:$I$126,'FC Eingabe'!$F$7:$F$126,C177,'FC Eingabe'!$K$7:$K$126,"Wirksam")</f>
        <v/>
      </c>
      <c r="N177" s="23">
        <f>H177+K177+SUMIFS('FC Eingabe'!$H$7:$H$126,'FC Eingabe'!$F$7:$F$126,C177,'FC Eingabe'!$K$7:$K$126,"Wirksam")</f>
        <v/>
      </c>
      <c r="O177" s="23">
        <f>SUM(L177:N177)</f>
        <v/>
      </c>
    </row>
    <row r="178" ht="21" customHeight="1">
      <c r="C178" s="10" t="inlineStr">
        <is>
          <t>W4102504951</t>
        </is>
      </c>
      <c r="D178" s="10" t="inlineStr">
        <is>
          <t>Steuern</t>
        </is>
      </c>
      <c r="E178" s="10" t="inlineStr">
        <is>
          <t>Verwaltung</t>
        </is>
      </c>
      <c r="F178" s="23" t="n">
        <v>0</v>
      </c>
      <c r="G178" s="23" t="n">
        <v>-10.5</v>
      </c>
      <c r="H178" s="23" t="n">
        <v>0</v>
      </c>
      <c r="I178" s="23" t="n">
        <v>0</v>
      </c>
      <c r="J178" s="23" t="n">
        <v>0</v>
      </c>
      <c r="K178" s="23" t="n">
        <v>0</v>
      </c>
      <c r="L178" s="23">
        <f>F178+I178+SUMIFS('FC Eingabe'!$G$7:$G$126,'FC Eingabe'!$F$7:$F$126,C178,'FC Eingabe'!$K$7:$K$126,"Wirksam")</f>
        <v/>
      </c>
      <c r="M178" s="23">
        <f>G178+J178-SUMIFS('FC Eingabe'!$I$7:$I$126,'FC Eingabe'!$F$7:$F$126,C178,'FC Eingabe'!$K$7:$K$126,"Wirksam")</f>
        <v/>
      </c>
      <c r="N178" s="23">
        <f>H178+K178+SUMIFS('FC Eingabe'!$H$7:$H$126,'FC Eingabe'!$F$7:$F$126,C178,'FC Eingabe'!$K$7:$K$126,"Wirksam")</f>
        <v/>
      </c>
      <c r="O178" s="23">
        <f>SUM(L178:N178)</f>
        <v/>
      </c>
    </row>
    <row r="179" ht="21" customHeight="1">
      <c r="C179" s="10" t="inlineStr">
        <is>
          <t>W4102504967</t>
        </is>
      </c>
      <c r="D179" s="10" t="inlineStr">
        <is>
          <t>CB-VT 476 Krull</t>
        </is>
      </c>
      <c r="E179" s="10" t="inlineStr">
        <is>
          <t>Verwaltung</t>
        </is>
      </c>
      <c r="F179" s="23" t="n">
        <v>0</v>
      </c>
      <c r="G179" s="23" t="n">
        <v>112.3</v>
      </c>
      <c r="H179" s="23" t="n">
        <v>0</v>
      </c>
      <c r="I179" s="23" t="n">
        <v>0</v>
      </c>
      <c r="J179" s="23" t="n">
        <v>0</v>
      </c>
      <c r="K179" s="23" t="n">
        <v>0</v>
      </c>
      <c r="L179" s="23">
        <f>F179+I179+SUMIFS('FC Eingabe'!$G$7:$G$126,'FC Eingabe'!$F$7:$F$126,C179,'FC Eingabe'!$K$7:$K$126,"Wirksam")</f>
        <v/>
      </c>
      <c r="M179" s="23">
        <f>G179+J179-SUMIFS('FC Eingabe'!$I$7:$I$126,'FC Eingabe'!$F$7:$F$126,C179,'FC Eingabe'!$K$7:$K$126,"Wirksam")</f>
        <v/>
      </c>
      <c r="N179" s="23">
        <f>H179+K179+SUMIFS('FC Eingabe'!$H$7:$H$126,'FC Eingabe'!$F$7:$F$126,C179,'FC Eingabe'!$K$7:$K$126,"Wirksam")</f>
        <v/>
      </c>
      <c r="O179" s="23">
        <f>SUM(L179:N179)</f>
        <v/>
      </c>
    </row>
    <row r="180" ht="21" customHeight="1">
      <c r="C180" s="10" t="inlineStr">
        <is>
          <t>W4102504971</t>
        </is>
      </c>
      <c r="D180" s="10" t="inlineStr">
        <is>
          <t>CB-CR 107 Werban</t>
        </is>
      </c>
      <c r="E180" s="10" t="inlineStr">
        <is>
          <t>Verwaltung</t>
        </is>
      </c>
      <c r="F180" s="23" t="n">
        <v>0</v>
      </c>
      <c r="G180" s="23" t="n">
        <v>-3939.21</v>
      </c>
      <c r="H180" s="23" t="n">
        <v>0</v>
      </c>
      <c r="I180" s="23" t="n">
        <v>0</v>
      </c>
      <c r="J180" s="23" t="n">
        <v>-1600</v>
      </c>
      <c r="K180" s="23" t="n">
        <v>0</v>
      </c>
      <c r="L180" s="23">
        <f>F180+I180+SUMIFS('FC Eingabe'!$G$7:$G$126,'FC Eingabe'!$F$7:$F$126,C180,'FC Eingabe'!$K$7:$K$126,"Wirksam")</f>
        <v/>
      </c>
      <c r="M180" s="23">
        <f>G180+J180-SUMIFS('FC Eingabe'!$I$7:$I$126,'FC Eingabe'!$F$7:$F$126,C180,'FC Eingabe'!$K$7:$K$126,"Wirksam")</f>
        <v/>
      </c>
      <c r="N180" s="23">
        <f>H180+K180+SUMIFS('FC Eingabe'!$H$7:$H$126,'FC Eingabe'!$F$7:$F$126,C180,'FC Eingabe'!$K$7:$K$126,"Wirksam")</f>
        <v/>
      </c>
      <c r="O180" s="23">
        <f>SUM(L180:N180)</f>
        <v/>
      </c>
    </row>
    <row r="181" ht="21" customHeight="1">
      <c r="C181" s="10" t="inlineStr">
        <is>
          <t>W4102504973</t>
        </is>
      </c>
      <c r="D181" s="10" t="inlineStr">
        <is>
          <t>CB- TV 300E Hr. Kemper Mercedes</t>
        </is>
      </c>
      <c r="E181" s="10" t="inlineStr">
        <is>
          <t>Verwaltung</t>
        </is>
      </c>
      <c r="F181" s="23" t="n">
        <v>0</v>
      </c>
      <c r="G181" s="23" t="n">
        <v>-14513.68</v>
      </c>
      <c r="H181" s="23" t="n">
        <v>0</v>
      </c>
      <c r="I181" s="23" t="n">
        <v>0</v>
      </c>
      <c r="J181" s="23" t="n">
        <v>-5400</v>
      </c>
      <c r="K181" s="23" t="n">
        <v>0</v>
      </c>
      <c r="L181" s="23">
        <f>F181+I181+SUMIFS('FC Eingabe'!$G$7:$G$126,'FC Eingabe'!$F$7:$F$126,C181,'FC Eingabe'!$K$7:$K$126,"Wirksam")</f>
        <v/>
      </c>
      <c r="M181" s="23">
        <f>G181+J181-SUMIFS('FC Eingabe'!$I$7:$I$126,'FC Eingabe'!$F$7:$F$126,C181,'FC Eingabe'!$K$7:$K$126,"Wirksam")</f>
        <v/>
      </c>
      <c r="N181" s="23">
        <f>H181+K181+SUMIFS('FC Eingabe'!$H$7:$H$126,'FC Eingabe'!$F$7:$F$126,C181,'FC Eingabe'!$K$7:$K$126,"Wirksam")</f>
        <v/>
      </c>
      <c r="O181" s="23">
        <f>SUM(L181:N181)</f>
        <v/>
      </c>
    </row>
    <row r="182" ht="21" customHeight="1">
      <c r="C182" s="10" t="inlineStr">
        <is>
          <t>W4102504974</t>
        </is>
      </c>
      <c r="D182" s="10" t="inlineStr">
        <is>
          <t>CB-TV 55E Volvo Herr Kay</t>
        </is>
      </c>
      <c r="E182" s="10" t="inlineStr">
        <is>
          <t>Verwaltung</t>
        </is>
      </c>
      <c r="F182" s="23" t="n">
        <v>0</v>
      </c>
      <c r="G182" s="23" t="n">
        <v>-11348.78</v>
      </c>
      <c r="H182" s="23" t="n">
        <v>0</v>
      </c>
      <c r="I182" s="23" t="n">
        <v>0</v>
      </c>
      <c r="J182" s="23" t="n">
        <v>0</v>
      </c>
      <c r="K182" s="23" t="n">
        <v>0</v>
      </c>
      <c r="L182" s="23">
        <f>F182+I182+SUMIFS('FC Eingabe'!$G$7:$G$126,'FC Eingabe'!$F$7:$F$126,C182,'FC Eingabe'!$K$7:$K$126,"Wirksam")</f>
        <v/>
      </c>
      <c r="M182" s="23">
        <f>G182+J182-SUMIFS('FC Eingabe'!$I$7:$I$126,'FC Eingabe'!$F$7:$F$126,C182,'FC Eingabe'!$K$7:$K$126,"Wirksam")</f>
        <v/>
      </c>
      <c r="N182" s="23">
        <f>H182+K182+SUMIFS('FC Eingabe'!$H$7:$H$126,'FC Eingabe'!$F$7:$F$126,C182,'FC Eingabe'!$K$7:$K$126,"Wirksam")</f>
        <v/>
      </c>
      <c r="O182" s="23">
        <f>SUM(L182:N182)</f>
        <v/>
      </c>
    </row>
    <row r="183" ht="21" customHeight="1">
      <c r="C183" s="10" t="inlineStr">
        <is>
          <t>W4102504975</t>
        </is>
      </c>
      <c r="D183" s="10" t="inlineStr">
        <is>
          <t>PKW Frau Noack</t>
        </is>
      </c>
      <c r="E183" s="10" t="inlineStr">
        <is>
          <t>Verwaltung</t>
        </is>
      </c>
      <c r="F183" s="23" t="n">
        <v>0</v>
      </c>
      <c r="G183" s="23" t="n">
        <v>-7633.76</v>
      </c>
      <c r="H183" s="23" t="n">
        <v>0</v>
      </c>
      <c r="I183" s="23" t="n">
        <v>0</v>
      </c>
      <c r="J183" s="23" t="n">
        <v>-5400</v>
      </c>
      <c r="K183" s="23" t="n">
        <v>0</v>
      </c>
      <c r="L183" s="23">
        <f>F183+I183+SUMIFS('FC Eingabe'!$G$7:$G$126,'FC Eingabe'!$F$7:$F$126,C183,'FC Eingabe'!$K$7:$K$126,"Wirksam")</f>
        <v/>
      </c>
      <c r="M183" s="23">
        <f>G183+J183-SUMIFS('FC Eingabe'!$I$7:$I$126,'FC Eingabe'!$F$7:$F$126,C183,'FC Eingabe'!$K$7:$K$126,"Wirksam")</f>
        <v/>
      </c>
      <c r="N183" s="23">
        <f>H183+K183+SUMIFS('FC Eingabe'!$H$7:$H$126,'FC Eingabe'!$F$7:$F$126,C183,'FC Eingabe'!$K$7:$K$126,"Wirksam")</f>
        <v/>
      </c>
      <c r="O183" s="23">
        <f>SUM(L183:N183)</f>
        <v/>
      </c>
    </row>
    <row r="184" ht="21" customHeight="1">
      <c r="C184" s="10" t="inlineStr">
        <is>
          <t>W4102504976</t>
        </is>
      </c>
      <c r="D184" s="10" t="inlineStr">
        <is>
          <t>CB-TV 104 Skoda Superb - Herr Kenski</t>
        </is>
      </c>
      <c r="E184" s="10" t="inlineStr">
        <is>
          <t>Verwaltung</t>
        </is>
      </c>
      <c r="F184" s="23" t="n">
        <v>0</v>
      </c>
      <c r="G184" s="23" t="n">
        <v>-5379.28</v>
      </c>
      <c r="H184" s="23" t="n">
        <v>0</v>
      </c>
      <c r="I184" s="23" t="n">
        <v>0</v>
      </c>
      <c r="J184" s="23" t="n">
        <v>-5400</v>
      </c>
      <c r="K184" s="23" t="n">
        <v>0</v>
      </c>
      <c r="L184" s="23">
        <f>F184+I184+SUMIFS('FC Eingabe'!$G$7:$G$126,'FC Eingabe'!$F$7:$F$126,C184,'FC Eingabe'!$K$7:$K$126,"Wirksam")</f>
        <v/>
      </c>
      <c r="M184" s="23">
        <f>G184+J184-SUMIFS('FC Eingabe'!$I$7:$I$126,'FC Eingabe'!$F$7:$F$126,C184,'FC Eingabe'!$K$7:$K$126,"Wirksam")</f>
        <v/>
      </c>
      <c r="N184" s="23">
        <f>H184+K184+SUMIFS('FC Eingabe'!$H$7:$H$126,'FC Eingabe'!$F$7:$F$126,C184,'FC Eingabe'!$K$7:$K$126,"Wirksam")</f>
        <v/>
      </c>
      <c r="O184" s="23">
        <f>SUM(L184:N184)</f>
        <v/>
      </c>
    </row>
    <row r="185" ht="21" customHeight="1">
      <c r="C185" s="10" t="inlineStr">
        <is>
          <t>W4102602023</t>
        </is>
      </c>
      <c r="D185" s="10" t="inlineStr">
        <is>
          <t>nachlaufende Kosten</t>
        </is>
      </c>
      <c r="E185" s="10" t="inlineStr">
        <is>
          <t>Ost</t>
        </is>
      </c>
      <c r="F185" s="23" t="n">
        <v>0</v>
      </c>
      <c r="G185" s="23" t="n">
        <v>-761.1</v>
      </c>
      <c r="H185" s="23" t="n">
        <v>0</v>
      </c>
      <c r="I185" s="23" t="n">
        <v>0</v>
      </c>
      <c r="J185" s="23" t="n">
        <v>0</v>
      </c>
      <c r="K185" s="23" t="n">
        <v>0</v>
      </c>
      <c r="L185" s="23">
        <f>F185+I185+SUMIFS('FC Eingabe'!$G$7:$G$126,'FC Eingabe'!$F$7:$F$126,C185,'FC Eingabe'!$K$7:$K$126,"Wirksam")</f>
        <v/>
      </c>
      <c r="M185" s="23">
        <f>G185+J185-SUMIFS('FC Eingabe'!$I$7:$I$126,'FC Eingabe'!$F$7:$F$126,C185,'FC Eingabe'!$K$7:$K$126,"Wirksam")</f>
        <v/>
      </c>
      <c r="N185" s="23">
        <f>H185+K185+SUMIFS('FC Eingabe'!$H$7:$H$126,'FC Eingabe'!$F$7:$F$126,C185,'FC Eingabe'!$K$7:$K$126,"Wirksam")</f>
        <v/>
      </c>
      <c r="O185" s="23">
        <f>SUM(L185:N185)</f>
        <v/>
      </c>
    </row>
    <row r="186" ht="21" customHeight="1">
      <c r="C186" s="10" t="inlineStr">
        <is>
          <t>W4102604411</t>
        </is>
      </c>
      <c r="D186" s="10" t="inlineStr">
        <is>
          <t>Vertrieb Region Ost</t>
        </is>
      </c>
      <c r="E186" s="10" t="inlineStr">
        <is>
          <t>Ost</t>
        </is>
      </c>
      <c r="F186" s="23" t="n">
        <v>0</v>
      </c>
      <c r="G186" s="23" t="n">
        <v>-92999.39999999999</v>
      </c>
      <c r="H186" s="23" t="n">
        <v>0</v>
      </c>
      <c r="I186" s="23" t="n">
        <v>0</v>
      </c>
      <c r="J186" s="23" t="n">
        <v>0</v>
      </c>
      <c r="K186" s="23" t="n">
        <v>0</v>
      </c>
      <c r="L186" s="23">
        <f>F186+I186+SUMIFS('FC Eingabe'!$G$7:$G$126,'FC Eingabe'!$F$7:$F$126,C186,'FC Eingabe'!$K$7:$K$126,"Wirksam")</f>
        <v/>
      </c>
      <c r="M186" s="23">
        <f>G186+J186-SUMIFS('FC Eingabe'!$I$7:$I$126,'FC Eingabe'!$F$7:$F$126,C186,'FC Eingabe'!$K$7:$K$126,"Wirksam")</f>
        <v/>
      </c>
      <c r="N186" s="23">
        <f>H186+K186+SUMIFS('FC Eingabe'!$H$7:$H$126,'FC Eingabe'!$F$7:$F$126,C186,'FC Eingabe'!$K$7:$K$126,"Wirksam")</f>
        <v/>
      </c>
      <c r="O186" s="23">
        <f>SUM(L186:N186)</f>
        <v/>
      </c>
    </row>
    <row r="187" ht="21" customHeight="1">
      <c r="C187" s="10" t="inlineStr">
        <is>
          <t>W4102604414</t>
        </is>
      </c>
      <c r="D187" s="10" t="inlineStr">
        <is>
          <t>Halle Boxberg</t>
        </is>
      </c>
      <c r="E187" s="10" t="inlineStr">
        <is>
          <t>Ost</t>
        </is>
      </c>
      <c r="F187" s="23" t="n">
        <v>11272.5</v>
      </c>
      <c r="G187" s="23" t="n">
        <v>-9792.09</v>
      </c>
      <c r="H187" s="23" t="n">
        <v>0</v>
      </c>
      <c r="I187" s="23" t="n">
        <v>0</v>
      </c>
      <c r="J187" s="23" t="n">
        <v>0</v>
      </c>
      <c r="K187" s="23" t="n">
        <v>0</v>
      </c>
      <c r="L187" s="23">
        <f>F187+I187+SUMIFS('FC Eingabe'!$G$7:$G$126,'FC Eingabe'!$F$7:$F$126,C187,'FC Eingabe'!$K$7:$K$126,"Wirksam")</f>
        <v/>
      </c>
      <c r="M187" s="23">
        <f>G187+J187-SUMIFS('FC Eingabe'!$I$7:$I$126,'FC Eingabe'!$F$7:$F$126,C187,'FC Eingabe'!$K$7:$K$126,"Wirksam")</f>
        <v/>
      </c>
      <c r="N187" s="23">
        <f>H187+K187+SUMIFS('FC Eingabe'!$H$7:$H$126,'FC Eingabe'!$F$7:$F$126,C187,'FC Eingabe'!$K$7:$K$126,"Wirksam")</f>
        <v/>
      </c>
      <c r="O187" s="23">
        <f>SUM(L187:N187)</f>
        <v/>
      </c>
    </row>
    <row r="188" ht="21" customHeight="1">
      <c r="C188" s="10" t="inlineStr">
        <is>
          <t>W4102604611</t>
        </is>
      </c>
      <c r="D188" s="10" t="inlineStr">
        <is>
          <t>Lager Regon Sued</t>
        </is>
      </c>
      <c r="E188" s="10" t="inlineStr">
        <is>
          <t>Ost</t>
        </is>
      </c>
      <c r="F188" s="23" t="n">
        <v>0</v>
      </c>
      <c r="G188" s="23" t="n">
        <v>-15481.18</v>
      </c>
      <c r="H188" s="23" t="n">
        <v>0</v>
      </c>
      <c r="I188" s="23" t="n">
        <v>0</v>
      </c>
      <c r="J188" s="23" t="n">
        <v>0</v>
      </c>
      <c r="K188" s="23" t="n">
        <v>0</v>
      </c>
      <c r="L188" s="23">
        <f>F188+I188+SUMIFS('FC Eingabe'!$G$7:$G$126,'FC Eingabe'!$F$7:$F$126,C188,'FC Eingabe'!$K$7:$K$126,"Wirksam")</f>
        <v/>
      </c>
      <c r="M188" s="23">
        <f>G188+J188-SUMIFS('FC Eingabe'!$I$7:$I$126,'FC Eingabe'!$F$7:$F$126,C188,'FC Eingabe'!$K$7:$K$126,"Wirksam")</f>
        <v/>
      </c>
      <c r="N188" s="23">
        <f>H188+K188+SUMIFS('FC Eingabe'!$H$7:$H$126,'FC Eingabe'!$F$7:$F$126,C188,'FC Eingabe'!$K$7:$K$126,"Wirksam")</f>
        <v/>
      </c>
      <c r="O188" s="23">
        <f>SUM(L188:N188)</f>
        <v/>
      </c>
    </row>
    <row r="189" ht="21" customHeight="1">
      <c r="C189" s="10" t="inlineStr">
        <is>
          <t>W4102604612</t>
        </is>
      </c>
      <c r="D189" s="10" t="inlineStr">
        <is>
          <t>Recyclingplatz Boxberg</t>
        </is>
      </c>
      <c r="E189" s="10" t="inlineStr">
        <is>
          <t>Ost</t>
        </is>
      </c>
      <c r="F189" s="23" t="n">
        <v>11153.42</v>
      </c>
      <c r="G189" s="23" t="n">
        <v>-365.72</v>
      </c>
      <c r="H189" s="23" t="n">
        <v>0</v>
      </c>
      <c r="I189" s="23" t="n">
        <v>0</v>
      </c>
      <c r="J189" s="23" t="n">
        <v>0</v>
      </c>
      <c r="K189" s="23" t="n">
        <v>0</v>
      </c>
      <c r="L189" s="23">
        <f>F189+I189+SUMIFS('FC Eingabe'!$G$7:$G$126,'FC Eingabe'!$F$7:$F$126,C189,'FC Eingabe'!$K$7:$K$126,"Wirksam")</f>
        <v/>
      </c>
      <c r="M189" s="23">
        <f>G189+J189-SUMIFS('FC Eingabe'!$I$7:$I$126,'FC Eingabe'!$F$7:$F$126,C189,'FC Eingabe'!$K$7:$K$126,"Wirksam")</f>
        <v/>
      </c>
      <c r="N189" s="23">
        <f>H189+K189+SUMIFS('FC Eingabe'!$H$7:$H$126,'FC Eingabe'!$F$7:$F$126,C189,'FC Eingabe'!$K$7:$K$126,"Wirksam")</f>
        <v/>
      </c>
      <c r="O189" s="23">
        <f>SUM(L189:N189)</f>
        <v/>
      </c>
    </row>
    <row r="190" ht="21" customHeight="1">
      <c r="C190" s="10" t="inlineStr">
        <is>
          <t>W4102604938</t>
        </is>
      </c>
      <c r="D190" s="10" t="inlineStr">
        <is>
          <t>CB-AA 501 Spindler</t>
        </is>
      </c>
      <c r="E190" s="10" t="inlineStr">
        <is>
          <t>Ost</t>
        </is>
      </c>
      <c r="F190" s="23" t="n">
        <v>0</v>
      </c>
      <c r="G190" s="23" t="n">
        <v>-9673.93</v>
      </c>
      <c r="H190" s="23" t="n">
        <v>0</v>
      </c>
      <c r="I190" s="23" t="n">
        <v>0</v>
      </c>
      <c r="J190" s="23" t="n">
        <v>0</v>
      </c>
      <c r="K190" s="23" t="n">
        <v>0</v>
      </c>
      <c r="L190" s="23">
        <f>F190+I190+SUMIFS('FC Eingabe'!$G$7:$G$126,'FC Eingabe'!$F$7:$F$126,C190,'FC Eingabe'!$K$7:$K$126,"Wirksam")</f>
        <v/>
      </c>
      <c r="M190" s="23">
        <f>G190+J190-SUMIFS('FC Eingabe'!$I$7:$I$126,'FC Eingabe'!$F$7:$F$126,C190,'FC Eingabe'!$K$7:$K$126,"Wirksam")</f>
        <v/>
      </c>
      <c r="N190" s="23">
        <f>H190+K190+SUMIFS('FC Eingabe'!$H$7:$H$126,'FC Eingabe'!$F$7:$F$126,C190,'FC Eingabe'!$K$7:$K$126,"Wirksam")</f>
        <v/>
      </c>
      <c r="O190" s="23">
        <f>SUM(L190:N190)</f>
        <v/>
      </c>
    </row>
    <row r="191" ht="21" customHeight="1">
      <c r="C191" s="10" t="inlineStr">
        <is>
          <t>W4102604940</t>
        </is>
      </c>
      <c r="D191" s="10" t="inlineStr">
        <is>
          <t>CB-VT 475 Heilmann</t>
        </is>
      </c>
      <c r="E191" s="10" t="inlineStr">
        <is>
          <t>Ost</t>
        </is>
      </c>
      <c r="F191" s="23" t="n">
        <v>0</v>
      </c>
      <c r="G191" s="23" t="n">
        <v>-4628.19</v>
      </c>
      <c r="H191" s="23" t="n">
        <v>0</v>
      </c>
      <c r="I191" s="23" t="n">
        <v>0</v>
      </c>
      <c r="J191" s="23" t="n">
        <v>0</v>
      </c>
      <c r="K191" s="23" t="n">
        <v>0</v>
      </c>
      <c r="L191" s="23">
        <f>F191+I191+SUMIFS('FC Eingabe'!$G$7:$G$126,'FC Eingabe'!$F$7:$F$126,C191,'FC Eingabe'!$K$7:$K$126,"Wirksam")</f>
        <v/>
      </c>
      <c r="M191" s="23">
        <f>G191+J191-SUMIFS('FC Eingabe'!$I$7:$I$126,'FC Eingabe'!$F$7:$F$126,C191,'FC Eingabe'!$K$7:$K$126,"Wirksam")</f>
        <v/>
      </c>
      <c r="N191" s="23">
        <f>H191+K191+SUMIFS('FC Eingabe'!$H$7:$H$126,'FC Eingabe'!$F$7:$F$126,C191,'FC Eingabe'!$K$7:$K$126,"Wirksam")</f>
        <v/>
      </c>
      <c r="O191" s="23">
        <f>SUM(L191:N191)</f>
        <v/>
      </c>
    </row>
    <row r="192" ht="21" customHeight="1">
      <c r="C192" s="10" t="inlineStr">
        <is>
          <t>W4102604941</t>
        </is>
      </c>
      <c r="D192" s="10" t="inlineStr">
        <is>
          <t>CB-TV 22E Tayron Hr Lorenz</t>
        </is>
      </c>
      <c r="E192" s="10" t="inlineStr">
        <is>
          <t>Ost</t>
        </is>
      </c>
      <c r="F192" s="23" t="n">
        <v>0</v>
      </c>
      <c r="G192" s="23" t="n">
        <v>-15276.38</v>
      </c>
      <c r="H192" s="23" t="n">
        <v>0</v>
      </c>
      <c r="I192" s="23" t="n">
        <v>0</v>
      </c>
      <c r="J192" s="23" t="n">
        <v>0</v>
      </c>
      <c r="K192" s="23" t="n">
        <v>0</v>
      </c>
      <c r="L192" s="23">
        <f>F192+I192+SUMIFS('FC Eingabe'!$G$7:$G$126,'FC Eingabe'!$F$7:$F$126,C192,'FC Eingabe'!$K$7:$K$126,"Wirksam")</f>
        <v/>
      </c>
      <c r="M192" s="23">
        <f>G192+J192-SUMIFS('FC Eingabe'!$I$7:$I$126,'FC Eingabe'!$F$7:$F$126,C192,'FC Eingabe'!$K$7:$K$126,"Wirksam")</f>
        <v/>
      </c>
      <c r="N192" s="23">
        <f>H192+K192+SUMIFS('FC Eingabe'!$H$7:$H$126,'FC Eingabe'!$F$7:$F$126,C192,'FC Eingabe'!$K$7:$K$126,"Wirksam")</f>
        <v/>
      </c>
      <c r="O192" s="23">
        <f>SUM(L192:N192)</f>
        <v/>
      </c>
    </row>
    <row r="193" ht="21" customHeight="1">
      <c r="C193" s="10" t="inlineStr">
        <is>
          <t>W4102604949</t>
        </is>
      </c>
      <c r="D193" s="10" t="inlineStr">
        <is>
          <t>CB - VT 686 Passat Fr. Kolber</t>
        </is>
      </c>
      <c r="E193" s="10" t="inlineStr">
        <is>
          <t>Ost</t>
        </is>
      </c>
      <c r="F193" s="23" t="n">
        <v>0</v>
      </c>
      <c r="G193" s="23" t="n">
        <v>-6913.67</v>
      </c>
      <c r="H193" s="23" t="n">
        <v>0</v>
      </c>
      <c r="I193" s="23" t="n">
        <v>0</v>
      </c>
      <c r="J193" s="23" t="n">
        <v>0</v>
      </c>
      <c r="K193" s="23" t="n">
        <v>0</v>
      </c>
      <c r="L193" s="23">
        <f>F193+I193+SUMIFS('FC Eingabe'!$G$7:$G$126,'FC Eingabe'!$F$7:$F$126,C193,'FC Eingabe'!$K$7:$K$126,"Wirksam")</f>
        <v/>
      </c>
      <c r="M193" s="23">
        <f>G193+J193-SUMIFS('FC Eingabe'!$I$7:$I$126,'FC Eingabe'!$F$7:$F$126,C193,'FC Eingabe'!$K$7:$K$126,"Wirksam")</f>
        <v/>
      </c>
      <c r="N193" s="23">
        <f>H193+K193+SUMIFS('FC Eingabe'!$H$7:$H$126,'FC Eingabe'!$F$7:$F$126,C193,'FC Eingabe'!$K$7:$K$126,"Wirksam")</f>
        <v/>
      </c>
      <c r="O193" s="23">
        <f>SUM(L193:N193)</f>
        <v/>
      </c>
    </row>
    <row r="194" ht="21" customHeight="1">
      <c r="C194" s="10" t="inlineStr">
        <is>
          <t>W4102604950</t>
        </is>
      </c>
      <c r="D194" s="10" t="inlineStr">
        <is>
          <t>CB-TV 97 Hr. Mühlberg</t>
        </is>
      </c>
      <c r="E194" s="10" t="inlineStr">
        <is>
          <t>Ost</t>
        </is>
      </c>
      <c r="F194" s="23" t="n">
        <v>0</v>
      </c>
      <c r="G194" s="23" t="n">
        <v>-8323.5</v>
      </c>
      <c r="H194" s="23" t="n">
        <v>0</v>
      </c>
      <c r="I194" s="23" t="n">
        <v>0</v>
      </c>
      <c r="J194" s="23" t="n">
        <v>0</v>
      </c>
      <c r="K194" s="23" t="n">
        <v>0</v>
      </c>
      <c r="L194" s="23">
        <f>F194+I194+SUMIFS('FC Eingabe'!$G$7:$G$126,'FC Eingabe'!$F$7:$F$126,C194,'FC Eingabe'!$K$7:$K$126,"Wirksam")</f>
        <v/>
      </c>
      <c r="M194" s="23">
        <f>G194+J194-SUMIFS('FC Eingabe'!$I$7:$I$126,'FC Eingabe'!$F$7:$F$126,C194,'FC Eingabe'!$K$7:$K$126,"Wirksam")</f>
        <v/>
      </c>
      <c r="N194" s="23">
        <f>H194+K194+SUMIFS('FC Eingabe'!$H$7:$H$126,'FC Eingabe'!$F$7:$F$126,C194,'FC Eingabe'!$K$7:$K$126,"Wirksam")</f>
        <v/>
      </c>
      <c r="O194" s="23">
        <f>SUM(L194:N194)</f>
        <v/>
      </c>
    </row>
    <row r="195" ht="21" customHeight="1">
      <c r="C195" s="10" t="inlineStr">
        <is>
          <t>W4102604951</t>
        </is>
      </c>
      <c r="D195" s="10" t="inlineStr">
        <is>
          <t>PKW Herr Tymczy</t>
        </is>
      </c>
      <c r="E195" s="10" t="inlineStr">
        <is>
          <t>Ost</t>
        </is>
      </c>
      <c r="F195" s="23" t="n">
        <v>0</v>
      </c>
      <c r="G195" s="23" t="n">
        <v>-2396.61</v>
      </c>
      <c r="H195" s="23" t="n">
        <v>0</v>
      </c>
      <c r="I195" s="23" t="n">
        <v>0</v>
      </c>
      <c r="J195" s="23" t="n">
        <v>0</v>
      </c>
      <c r="K195" s="23" t="n">
        <v>0</v>
      </c>
      <c r="L195" s="23">
        <f>F195+I195+SUMIFS('FC Eingabe'!$G$7:$G$126,'FC Eingabe'!$F$7:$F$126,C195,'FC Eingabe'!$K$7:$K$126,"Wirksam")</f>
        <v/>
      </c>
      <c r="M195" s="23">
        <f>G195+J195-SUMIFS('FC Eingabe'!$I$7:$I$126,'FC Eingabe'!$F$7:$F$126,C195,'FC Eingabe'!$K$7:$K$126,"Wirksam")</f>
        <v/>
      </c>
      <c r="N195" s="23">
        <f>H195+K195+SUMIFS('FC Eingabe'!$H$7:$H$126,'FC Eingabe'!$F$7:$F$126,C195,'FC Eingabe'!$K$7:$K$126,"Wirksam")</f>
        <v/>
      </c>
      <c r="O195" s="23">
        <f>SUM(L195:N195)</f>
        <v/>
      </c>
    </row>
    <row r="196" ht="21" customHeight="1">
      <c r="C196" s="10" t="inlineStr">
        <is>
          <t>W4102608246</t>
        </is>
      </c>
      <c r="D196" s="10" t="inlineStr">
        <is>
          <t>RB Kohlebunker/Brücke Lübbenau</t>
        </is>
      </c>
      <c r="E196" s="10" t="inlineStr">
        <is>
          <t>Ost</t>
        </is>
      </c>
      <c r="F196" s="23" t="n">
        <v>0</v>
      </c>
      <c r="G196" s="23" t="n">
        <v>-7875</v>
      </c>
      <c r="H196" s="23" t="n">
        <v>0</v>
      </c>
      <c r="I196" s="23" t="n">
        <v>0</v>
      </c>
      <c r="J196" s="23" t="n">
        <v>0</v>
      </c>
      <c r="K196" s="23" t="n">
        <v>0</v>
      </c>
      <c r="L196" s="23">
        <f>F196+I196+SUMIFS('FC Eingabe'!$G$7:$G$126,'FC Eingabe'!$F$7:$F$126,C196,'FC Eingabe'!$K$7:$K$126,"Wirksam")</f>
        <v/>
      </c>
      <c r="M196" s="23">
        <f>G196+J196-SUMIFS('FC Eingabe'!$I$7:$I$126,'FC Eingabe'!$F$7:$F$126,C196,'FC Eingabe'!$K$7:$K$126,"Wirksam")</f>
        <v/>
      </c>
      <c r="N196" s="23">
        <f>H196+K196+SUMIFS('FC Eingabe'!$H$7:$H$126,'FC Eingabe'!$F$7:$F$126,C196,'FC Eingabe'!$K$7:$K$126,"Wirksam")</f>
        <v/>
      </c>
      <c r="O196" s="23">
        <f>SUM(L196:N196)</f>
        <v/>
      </c>
    </row>
    <row r="197" ht="21" customHeight="1">
      <c r="C197" s="10" t="inlineStr">
        <is>
          <t>W4102651216</t>
        </is>
      </c>
      <c r="D197" s="10" t="inlineStr">
        <is>
          <t>Bagger CAT 326 07 FLN</t>
        </is>
      </c>
      <c r="E197" s="10" t="inlineStr">
        <is>
          <t>Berlin</t>
        </is>
      </c>
      <c r="F197" s="23" t="n">
        <v>0</v>
      </c>
      <c r="G197" s="23" t="n">
        <v>-2570</v>
      </c>
      <c r="H197" s="23" t="n">
        <v>0</v>
      </c>
      <c r="I197" s="23" t="n">
        <v>0</v>
      </c>
      <c r="J197" s="23" t="n">
        <v>0</v>
      </c>
      <c r="K197" s="23" t="n">
        <v>0</v>
      </c>
      <c r="L197" s="23">
        <f>F197+I197+SUMIFS('FC Eingabe'!$G$7:$G$126,'FC Eingabe'!$F$7:$F$126,C197,'FC Eingabe'!$K$7:$K$126,"Wirksam")</f>
        <v/>
      </c>
      <c r="M197" s="23">
        <f>G197+J197-SUMIFS('FC Eingabe'!$I$7:$I$126,'FC Eingabe'!$F$7:$F$126,C197,'FC Eingabe'!$K$7:$K$126,"Wirksam")</f>
        <v/>
      </c>
      <c r="N197" s="23">
        <f>H197+K197+SUMIFS('FC Eingabe'!$H$7:$H$126,'FC Eingabe'!$F$7:$F$126,C197,'FC Eingabe'!$K$7:$K$126,"Wirksam")</f>
        <v/>
      </c>
      <c r="O197" s="23">
        <f>SUM(L197:N197)</f>
        <v/>
      </c>
    </row>
    <row r="198" ht="21" customHeight="1">
      <c r="C198" s="10" t="inlineStr">
        <is>
          <t>W4102652709</t>
        </is>
      </c>
      <c r="D198" s="10" t="inlineStr">
        <is>
          <t>CB-TV 96 Remault Kangoo</t>
        </is>
      </c>
      <c r="E198" s="10" t="inlineStr">
        <is>
          <t>Berlin</t>
        </is>
      </c>
      <c r="F198" s="23" t="n">
        <v>0</v>
      </c>
      <c r="G198" s="23" t="n">
        <v>-778.71</v>
      </c>
      <c r="H198" s="23" t="n">
        <v>0</v>
      </c>
      <c r="I198" s="23" t="n">
        <v>0</v>
      </c>
      <c r="J198" s="23" t="n">
        <v>0</v>
      </c>
      <c r="K198" s="23" t="n">
        <v>0</v>
      </c>
      <c r="L198" s="23">
        <f>F198+I198+SUMIFS('FC Eingabe'!$G$7:$G$126,'FC Eingabe'!$F$7:$F$126,C198,'FC Eingabe'!$K$7:$K$126,"Wirksam")</f>
        <v/>
      </c>
      <c r="M198" s="23">
        <f>G198+J198-SUMIFS('FC Eingabe'!$I$7:$I$126,'FC Eingabe'!$F$7:$F$126,C198,'FC Eingabe'!$K$7:$K$126,"Wirksam")</f>
        <v/>
      </c>
      <c r="N198" s="23">
        <f>H198+K198+SUMIFS('FC Eingabe'!$H$7:$H$126,'FC Eingabe'!$F$7:$F$126,C198,'FC Eingabe'!$K$7:$K$126,"Wirksam")</f>
        <v/>
      </c>
      <c r="O198" s="23">
        <f>SUM(L198:N198)</f>
        <v/>
      </c>
    </row>
    <row r="199" ht="21" customHeight="1">
      <c r="C199" s="10" t="inlineStr">
        <is>
          <t>W4102654411</t>
        </is>
      </c>
      <c r="D199" s="10" t="inlineStr">
        <is>
          <t>VVK Berlin</t>
        </is>
      </c>
      <c r="E199" s="10" t="inlineStr">
        <is>
          <t>Berlin</t>
        </is>
      </c>
      <c r="F199" s="23" t="n">
        <v>0</v>
      </c>
      <c r="G199" s="23" t="n">
        <v>-34906.06</v>
      </c>
      <c r="H199" s="23" t="n">
        <v>0</v>
      </c>
      <c r="I199" s="23" t="n">
        <v>0</v>
      </c>
      <c r="J199" s="23" t="n">
        <v>0</v>
      </c>
      <c r="K199" s="23" t="n">
        <v>0</v>
      </c>
      <c r="L199" s="23">
        <f>F199+I199+SUMIFS('FC Eingabe'!$G$7:$G$126,'FC Eingabe'!$F$7:$F$126,C199,'FC Eingabe'!$K$7:$K$126,"Wirksam")</f>
        <v/>
      </c>
      <c r="M199" s="23">
        <f>G199+J199-SUMIFS('FC Eingabe'!$I$7:$I$126,'FC Eingabe'!$F$7:$F$126,C199,'FC Eingabe'!$K$7:$K$126,"Wirksam")</f>
        <v/>
      </c>
      <c r="N199" s="23">
        <f>H199+K199+SUMIFS('FC Eingabe'!$H$7:$H$126,'FC Eingabe'!$F$7:$F$126,C199,'FC Eingabe'!$K$7:$K$126,"Wirksam")</f>
        <v/>
      </c>
      <c r="O199" s="23">
        <f>SUM(L199:N199)</f>
        <v/>
      </c>
    </row>
    <row r="200" ht="21" customHeight="1">
      <c r="C200" s="10" t="inlineStr">
        <is>
          <t>W4102654611</t>
        </is>
      </c>
      <c r="D200" s="10" t="inlineStr">
        <is>
          <t>Lager Region Berlin</t>
        </is>
      </c>
      <c r="E200" s="10" t="inlineStr">
        <is>
          <t>Berlin</t>
        </is>
      </c>
      <c r="F200" s="23" t="n">
        <v>0</v>
      </c>
      <c r="G200" s="23" t="n">
        <v>-54513.8</v>
      </c>
      <c r="H200" s="23" t="n">
        <v>0</v>
      </c>
      <c r="I200" s="23" t="n">
        <v>0</v>
      </c>
      <c r="J200" s="23" t="n">
        <v>0</v>
      </c>
      <c r="K200" s="23" t="n">
        <v>0</v>
      </c>
      <c r="L200" s="23">
        <f>F200+I200+SUMIFS('FC Eingabe'!$G$7:$G$126,'FC Eingabe'!$F$7:$F$126,C200,'FC Eingabe'!$K$7:$K$126,"Wirksam")</f>
        <v/>
      </c>
      <c r="M200" s="23">
        <f>G200+J200-SUMIFS('FC Eingabe'!$I$7:$I$126,'FC Eingabe'!$F$7:$F$126,C200,'FC Eingabe'!$K$7:$K$126,"Wirksam")</f>
        <v/>
      </c>
      <c r="N200" s="23">
        <f>H200+K200+SUMIFS('FC Eingabe'!$H$7:$H$126,'FC Eingabe'!$F$7:$F$126,C200,'FC Eingabe'!$K$7:$K$126,"Wirksam")</f>
        <v/>
      </c>
      <c r="O200" s="23">
        <f>SUM(L200:N200)</f>
        <v/>
      </c>
    </row>
    <row r="201" ht="21" customHeight="1">
      <c r="C201" s="10" t="inlineStr">
        <is>
          <t>W4102654945</t>
        </is>
      </c>
      <c r="D201" s="10" t="inlineStr">
        <is>
          <t>CB- TV 300E Hr. Kemper Mercedes</t>
        </is>
      </c>
      <c r="E201" s="10" t="inlineStr">
        <is>
          <t>Berlin</t>
        </is>
      </c>
      <c r="F201" s="23" t="n">
        <v>0</v>
      </c>
      <c r="G201" s="23" t="n">
        <v>-15640.24</v>
      </c>
      <c r="H201" s="23" t="n">
        <v>0</v>
      </c>
      <c r="I201" s="23" t="n">
        <v>0</v>
      </c>
      <c r="J201" s="23" t="n">
        <v>0</v>
      </c>
      <c r="K201" s="23" t="n">
        <v>0</v>
      </c>
      <c r="L201" s="23">
        <f>F201+I201+SUMIFS('FC Eingabe'!$G$7:$G$126,'FC Eingabe'!$F$7:$F$126,C201,'FC Eingabe'!$K$7:$K$126,"Wirksam")</f>
        <v/>
      </c>
      <c r="M201" s="23">
        <f>G201+J201-SUMIFS('FC Eingabe'!$I$7:$I$126,'FC Eingabe'!$F$7:$F$126,C201,'FC Eingabe'!$K$7:$K$126,"Wirksam")</f>
        <v/>
      </c>
      <c r="N201" s="23">
        <f>H201+K201+SUMIFS('FC Eingabe'!$H$7:$H$126,'FC Eingabe'!$F$7:$F$126,C201,'FC Eingabe'!$K$7:$K$126,"Wirksam")</f>
        <v/>
      </c>
      <c r="O201" s="23">
        <f>SUM(L201:N201)</f>
        <v/>
      </c>
    </row>
    <row r="202" ht="21" customHeight="1">
      <c r="C202" s="10" t="inlineStr">
        <is>
          <t>W4102654946</t>
        </is>
      </c>
      <c r="D202" s="10" t="inlineStr">
        <is>
          <t>CB-TV 65 Hr Braun</t>
        </is>
      </c>
      <c r="E202" s="10" t="inlineStr">
        <is>
          <t>Berlin</t>
        </is>
      </c>
      <c r="F202" s="23" t="n">
        <v>0</v>
      </c>
      <c r="G202" s="23" t="n">
        <v>-6616.91</v>
      </c>
      <c r="H202" s="23" t="n">
        <v>0</v>
      </c>
      <c r="I202" s="23" t="n">
        <v>0</v>
      </c>
      <c r="J202" s="23" t="n">
        <v>0</v>
      </c>
      <c r="K202" s="23" t="n">
        <v>0</v>
      </c>
      <c r="L202" s="23">
        <f>F202+I202+SUMIFS('FC Eingabe'!$G$7:$G$126,'FC Eingabe'!$F$7:$F$126,C202,'FC Eingabe'!$K$7:$K$126,"Wirksam")</f>
        <v/>
      </c>
      <c r="M202" s="23">
        <f>G202+J202-SUMIFS('FC Eingabe'!$I$7:$I$126,'FC Eingabe'!$F$7:$F$126,C202,'FC Eingabe'!$K$7:$K$126,"Wirksam")</f>
        <v/>
      </c>
      <c r="N202" s="23">
        <f>H202+K202+SUMIFS('FC Eingabe'!$H$7:$H$126,'FC Eingabe'!$F$7:$F$126,C202,'FC Eingabe'!$K$7:$K$126,"Wirksam")</f>
        <v/>
      </c>
      <c r="O202" s="23">
        <f>SUM(L202:N202)</f>
        <v/>
      </c>
    </row>
    <row r="203" ht="21" customHeight="1">
      <c r="C203" s="10" t="inlineStr">
        <is>
          <t>W4102654947</t>
        </is>
      </c>
      <c r="D203" s="10" t="inlineStr">
        <is>
          <t>CB-TV 200 Hr. Adil</t>
        </is>
      </c>
      <c r="E203" s="10" t="inlineStr">
        <is>
          <t>Berlin</t>
        </is>
      </c>
      <c r="F203" s="23" t="n">
        <v>0</v>
      </c>
      <c r="G203" s="23" t="n">
        <v>-3949</v>
      </c>
      <c r="H203" s="23" t="n">
        <v>0</v>
      </c>
      <c r="I203" s="23" t="n">
        <v>0</v>
      </c>
      <c r="J203" s="23" t="n">
        <v>0</v>
      </c>
      <c r="K203" s="23" t="n">
        <v>0</v>
      </c>
      <c r="L203" s="23">
        <f>F203+I203+SUMIFS('FC Eingabe'!$G$7:$G$126,'FC Eingabe'!$F$7:$F$126,C203,'FC Eingabe'!$K$7:$K$126,"Wirksam")</f>
        <v/>
      </c>
      <c r="M203" s="23">
        <f>G203+J203-SUMIFS('FC Eingabe'!$I$7:$I$126,'FC Eingabe'!$F$7:$F$126,C203,'FC Eingabe'!$K$7:$K$126,"Wirksam")</f>
        <v/>
      </c>
      <c r="N203" s="23">
        <f>H203+K203+SUMIFS('FC Eingabe'!$H$7:$H$126,'FC Eingabe'!$F$7:$F$126,C203,'FC Eingabe'!$K$7:$K$126,"Wirksam")</f>
        <v/>
      </c>
      <c r="O203" s="23">
        <f>SUM(L203:N203)</f>
        <v/>
      </c>
    </row>
    <row r="204" ht="21" customHeight="1">
      <c r="C204" s="10" t="n"/>
      <c r="D204" s="10" t="n"/>
      <c r="E204" s="10" t="n"/>
      <c r="F204" s="23" t="n">
        <v>-128.47</v>
      </c>
      <c r="G204" s="23" t="n">
        <v>-3256845.05</v>
      </c>
      <c r="H204" s="23" t="n">
        <v>0</v>
      </c>
      <c r="I204" s="23" t="n">
        <v>0</v>
      </c>
      <c r="J204" s="23" t="n">
        <v>0</v>
      </c>
      <c r="K204" s="23" t="n">
        <v>0</v>
      </c>
      <c r="L204" s="23">
        <f>F204+I204+SUMIFS('FC Eingabe'!$G$7:$G$126,'FC Eingabe'!$F$7:$F$126,C204,'FC Eingabe'!$K$7:$K$126,"Wirksam")</f>
        <v/>
      </c>
      <c r="M204" s="23">
        <f>G204+J204-SUMIFS('FC Eingabe'!$I$7:$I$126,'FC Eingabe'!$F$7:$F$126,C204,'FC Eingabe'!$K$7:$K$126,"Wirksam")</f>
        <v/>
      </c>
      <c r="N204" s="23">
        <f>H204+K204+SUMIFS('FC Eingabe'!$H$7:$H$126,'FC Eingabe'!$F$7:$F$126,C204,'FC Eingabe'!$K$7:$K$126,"Wirksam")</f>
        <v/>
      </c>
      <c r="O204" s="23">
        <f>SUM(L204:N204)</f>
        <v/>
      </c>
    </row>
    <row r="205" ht="21" customHeight="1">
      <c r="C205" s="10" t="inlineStr">
        <is>
          <t>W4102304949</t>
        </is>
      </c>
      <c r="D205" s="10" t="n"/>
      <c r="E205" s="10" t="n"/>
      <c r="F205" s="23" t="n">
        <v>0</v>
      </c>
      <c r="G205" s="23" t="n">
        <v>-1187.54</v>
      </c>
      <c r="H205" s="23" t="n">
        <v>0</v>
      </c>
      <c r="I205" s="23" t="n">
        <v>0</v>
      </c>
      <c r="J205" s="23" t="n">
        <v>0</v>
      </c>
      <c r="K205" s="23" t="n">
        <v>0</v>
      </c>
      <c r="L205" s="23">
        <f>F205+I205+SUMIFS('FC Eingabe'!$G$7:$G$126,'FC Eingabe'!$F$7:$F$126,C205,'FC Eingabe'!$K$7:$K$126,"Wirksam")</f>
        <v/>
      </c>
      <c r="M205" s="23">
        <f>G205+J205-SUMIFS('FC Eingabe'!$I$7:$I$126,'FC Eingabe'!$F$7:$F$126,C205,'FC Eingabe'!$K$7:$K$126,"Wirksam")</f>
        <v/>
      </c>
      <c r="N205" s="23">
        <f>H205+K205+SUMIFS('FC Eingabe'!$H$7:$H$126,'FC Eingabe'!$F$7:$F$126,C205,'FC Eingabe'!$K$7:$K$126,"Wirksam")</f>
        <v/>
      </c>
      <c r="O205" s="23">
        <f>SUM(L205:N205)</f>
        <v/>
      </c>
    </row>
    <row r="206" ht="21" customHeight="1">
      <c r="C206" s="10" t="inlineStr">
        <is>
          <t>W4102604613</t>
        </is>
      </c>
      <c r="D206" s="10" t="n"/>
      <c r="E206" s="10" t="n"/>
      <c r="F206" s="23" t="n">
        <v>0</v>
      </c>
      <c r="G206" s="23" t="n">
        <v>-2192.04</v>
      </c>
      <c r="H206" s="23" t="n">
        <v>0</v>
      </c>
      <c r="I206" s="23" t="n">
        <v>0</v>
      </c>
      <c r="J206" s="23" t="n">
        <v>0</v>
      </c>
      <c r="K206" s="23" t="n">
        <v>0</v>
      </c>
      <c r="L206" s="23">
        <f>F206+I206+SUMIFS('FC Eingabe'!$G$7:$G$126,'FC Eingabe'!$F$7:$F$126,C206,'FC Eingabe'!$K$7:$K$126,"Wirksam")</f>
        <v/>
      </c>
      <c r="M206" s="23">
        <f>G206+J206-SUMIFS('FC Eingabe'!$I$7:$I$126,'FC Eingabe'!$F$7:$F$126,C206,'FC Eingabe'!$K$7:$K$126,"Wirksam")</f>
        <v/>
      </c>
      <c r="N206" s="23">
        <f>H206+K206+SUMIFS('FC Eingabe'!$H$7:$H$126,'FC Eingabe'!$F$7:$F$126,C206,'FC Eingabe'!$K$7:$K$126,"Wirksam")</f>
        <v/>
      </c>
      <c r="O206" s="23">
        <f>SUM(L206:N206)</f>
        <v/>
      </c>
    </row>
    <row r="207" ht="21" customHeight="1">
      <c r="C207" s="10" t="inlineStr">
        <is>
          <t>W4102607081</t>
        </is>
      </c>
      <c r="D207" s="10" t="n"/>
      <c r="E207" s="10" t="n"/>
      <c r="F207" s="23" t="n">
        <v>0</v>
      </c>
      <c r="G207" s="23" t="n">
        <v>0</v>
      </c>
      <c r="H207" s="23" t="n">
        <v>0</v>
      </c>
      <c r="I207" s="23" t="n">
        <v>0</v>
      </c>
      <c r="J207" s="23" t="n">
        <v>0</v>
      </c>
      <c r="K207" s="23" t="n">
        <v>0</v>
      </c>
      <c r="L207" s="23">
        <f>F207+I207+SUMIFS('FC Eingabe'!$G$7:$G$126,'FC Eingabe'!$F$7:$F$126,C207,'FC Eingabe'!$K$7:$K$126,"Wirksam")</f>
        <v/>
      </c>
      <c r="M207" s="23">
        <f>G207+J207-SUMIFS('FC Eingabe'!$I$7:$I$126,'FC Eingabe'!$F$7:$F$126,C207,'FC Eingabe'!$K$7:$K$126,"Wirksam")</f>
        <v/>
      </c>
      <c r="N207" s="23">
        <f>H207+K207+SUMIFS('FC Eingabe'!$H$7:$H$126,'FC Eingabe'!$F$7:$F$126,C207,'FC Eingabe'!$K$7:$K$126,"Wirksam")</f>
        <v/>
      </c>
      <c r="O207" s="23">
        <f>SUM(L207:N207)</f>
        <v/>
      </c>
    </row>
    <row r="208" ht="21" customHeight="1">
      <c r="C208" s="10" t="inlineStr">
        <is>
          <t>W4102504978</t>
        </is>
      </c>
      <c r="D208" s="10" t="n"/>
      <c r="E208" s="10" t="n"/>
      <c r="F208" s="23" t="n">
        <v>0</v>
      </c>
      <c r="G208" s="23" t="n">
        <v>-1002.99</v>
      </c>
      <c r="H208" s="23" t="n">
        <v>0</v>
      </c>
      <c r="I208" s="23" t="n">
        <v>0</v>
      </c>
      <c r="J208" s="23" t="n">
        <v>0</v>
      </c>
      <c r="K208" s="23" t="n">
        <v>0</v>
      </c>
      <c r="L208" s="23">
        <f>F208+I208+SUMIFS('FC Eingabe'!$G$7:$G$126,'FC Eingabe'!$F$7:$F$126,C208,'FC Eingabe'!$K$7:$K$126,"Wirksam")</f>
        <v/>
      </c>
      <c r="M208" s="23">
        <f>G208+J208-SUMIFS('FC Eingabe'!$I$7:$I$126,'FC Eingabe'!$F$7:$F$126,C208,'FC Eingabe'!$K$7:$K$126,"Wirksam")</f>
        <v/>
      </c>
      <c r="N208" s="23">
        <f>H208+K208+SUMIFS('FC Eingabe'!$H$7:$H$126,'FC Eingabe'!$F$7:$F$126,C208,'FC Eingabe'!$K$7:$K$126,"Wirksam")</f>
        <v/>
      </c>
      <c r="O208" s="23">
        <f>SUM(L208:N208)</f>
        <v/>
      </c>
    </row>
    <row r="209" ht="21" customHeight="1">
      <c r="C209" s="10" t="inlineStr">
        <is>
          <t>P4102307452</t>
        </is>
      </c>
      <c r="D209" s="10" t="n"/>
      <c r="E209" s="10" t="n"/>
      <c r="F209" s="23" t="n">
        <v>0</v>
      </c>
      <c r="G209" s="23" t="n">
        <v>-349.4</v>
      </c>
      <c r="H209" s="23" t="n">
        <v>0</v>
      </c>
      <c r="I209" s="23" t="n">
        <v>0</v>
      </c>
      <c r="J209" s="23" t="n">
        <v>0</v>
      </c>
      <c r="K209" s="23" t="n">
        <v>0</v>
      </c>
      <c r="L209" s="23">
        <f>F209+I209+SUMIFS('FC Eingabe'!$G$7:$G$126,'FC Eingabe'!$F$7:$F$126,C209,'FC Eingabe'!$K$7:$K$126,"Wirksam")</f>
        <v/>
      </c>
      <c r="M209" s="23">
        <f>G209+J209-SUMIFS('FC Eingabe'!$I$7:$I$126,'FC Eingabe'!$F$7:$F$126,C209,'FC Eingabe'!$K$7:$K$126,"Wirksam")</f>
        <v/>
      </c>
      <c r="N209" s="23">
        <f>H209+K209+SUMIFS('FC Eingabe'!$H$7:$H$126,'FC Eingabe'!$F$7:$F$126,C209,'FC Eingabe'!$K$7:$K$126,"Wirksam")</f>
        <v/>
      </c>
      <c r="O209" s="23">
        <f>SUM(L209:N209)</f>
        <v/>
      </c>
    </row>
    <row r="210" ht="21" customHeight="1">
      <c r="C210" s="10" t="inlineStr">
        <is>
          <t>W4102309045</t>
        </is>
      </c>
      <c r="D210" s="10" t="n"/>
      <c r="E210" s="10" t="n"/>
      <c r="F210" s="23" t="n">
        <v>0</v>
      </c>
      <c r="G210" s="23" t="n">
        <v>-77.84999999999999</v>
      </c>
      <c r="H210" s="23" t="n">
        <v>0</v>
      </c>
      <c r="I210" s="23" t="n">
        <v>0</v>
      </c>
      <c r="J210" s="23" t="n">
        <v>0</v>
      </c>
      <c r="K210" s="23" t="n">
        <v>0</v>
      </c>
      <c r="L210" s="23">
        <f>F210+I210+SUMIFS('FC Eingabe'!$G$7:$G$126,'FC Eingabe'!$F$7:$F$126,C210,'FC Eingabe'!$K$7:$K$126,"Wirksam")</f>
        <v/>
      </c>
      <c r="M210" s="23">
        <f>G210+J210-SUMIFS('FC Eingabe'!$I$7:$I$126,'FC Eingabe'!$F$7:$F$126,C210,'FC Eingabe'!$K$7:$K$126,"Wirksam")</f>
        <v/>
      </c>
      <c r="N210" s="23">
        <f>H210+K210+SUMIFS('FC Eingabe'!$H$7:$H$126,'FC Eingabe'!$F$7:$F$126,C210,'FC Eingabe'!$K$7:$K$126,"Wirksam")</f>
        <v/>
      </c>
      <c r="O210" s="23">
        <f>SUM(L210:N210)</f>
        <v/>
      </c>
    </row>
    <row r="211" ht="21" customHeight="1">
      <c r="C211" s="10" t="inlineStr">
        <is>
          <t>W4102604501</t>
        </is>
      </c>
      <c r="D211" s="10" t="n"/>
      <c r="E211" s="10" t="n"/>
      <c r="F211" s="23" t="n">
        <v>0</v>
      </c>
      <c r="G211" s="23" t="n">
        <v>-33.46</v>
      </c>
      <c r="H211" s="23" t="n">
        <v>0</v>
      </c>
      <c r="I211" s="23" t="n">
        <v>0</v>
      </c>
      <c r="J211" s="23" t="n">
        <v>0</v>
      </c>
      <c r="K211" s="23" t="n">
        <v>0</v>
      </c>
      <c r="L211" s="23">
        <f>F211+I211+SUMIFS('FC Eingabe'!$G$7:$G$126,'FC Eingabe'!$F$7:$F$126,C211,'FC Eingabe'!$K$7:$K$126,"Wirksam")</f>
        <v/>
      </c>
      <c r="M211" s="23">
        <f>G211+J211-SUMIFS('FC Eingabe'!$I$7:$I$126,'FC Eingabe'!$F$7:$F$126,C211,'FC Eingabe'!$K$7:$K$126,"Wirksam")</f>
        <v/>
      </c>
      <c r="N211" s="23">
        <f>H211+K211+SUMIFS('FC Eingabe'!$H$7:$H$126,'FC Eingabe'!$F$7:$F$126,C211,'FC Eingabe'!$K$7:$K$126,"Wirksam")</f>
        <v/>
      </c>
      <c r="O211" s="23">
        <f>SUM(L211:N211)</f>
        <v/>
      </c>
    </row>
    <row r="212" ht="21" customHeight="1">
      <c r="C212" s="10" t="inlineStr">
        <is>
          <t>W4102304948</t>
        </is>
      </c>
      <c r="D212" s="10" t="n"/>
      <c r="E212" s="10" t="n"/>
      <c r="F212" s="23" t="n">
        <v>0</v>
      </c>
      <c r="G212" s="23" t="n">
        <v>-180.18</v>
      </c>
      <c r="H212" s="23" t="n">
        <v>0</v>
      </c>
      <c r="I212" s="23" t="n">
        <v>0</v>
      </c>
      <c r="J212" s="23" t="n">
        <v>0</v>
      </c>
      <c r="K212" s="23" t="n">
        <v>0</v>
      </c>
      <c r="L212" s="23">
        <f>F212+I212+SUMIFS('FC Eingabe'!$G$7:$G$126,'FC Eingabe'!$F$7:$F$126,C212,'FC Eingabe'!$K$7:$K$126,"Wirksam")</f>
        <v/>
      </c>
      <c r="M212" s="23">
        <f>G212+J212-SUMIFS('FC Eingabe'!$I$7:$I$126,'FC Eingabe'!$F$7:$F$126,C212,'FC Eingabe'!$K$7:$K$126,"Wirksam")</f>
        <v/>
      </c>
      <c r="N212" s="23">
        <f>H212+K212+SUMIFS('FC Eingabe'!$H$7:$H$126,'FC Eingabe'!$F$7:$F$126,C212,'FC Eingabe'!$K$7:$K$126,"Wirksam")</f>
        <v/>
      </c>
      <c r="O212" s="23">
        <f>SUM(L212:N212)</f>
        <v/>
      </c>
    </row>
    <row r="213" ht="21" customHeight="1">
      <c r="C213" s="10" t="inlineStr">
        <is>
          <t>P4102608277</t>
        </is>
      </c>
      <c r="D213" s="10" t="n"/>
      <c r="E213" s="10" t="n"/>
      <c r="F213" s="23" t="n">
        <v>9367.07</v>
      </c>
      <c r="G213" s="23" t="n">
        <v>-5289.44</v>
      </c>
      <c r="H213" s="23" t="n">
        <v>0</v>
      </c>
      <c r="I213" s="23" t="n">
        <v>0</v>
      </c>
      <c r="J213" s="23" t="n">
        <v>0</v>
      </c>
      <c r="K213" s="23" t="n">
        <v>0</v>
      </c>
      <c r="L213" s="23">
        <f>F213+I213+SUMIFS('FC Eingabe'!$G$7:$G$126,'FC Eingabe'!$F$7:$F$126,C213,'FC Eingabe'!$K$7:$K$126,"Wirksam")</f>
        <v/>
      </c>
      <c r="M213" s="23">
        <f>G213+J213-SUMIFS('FC Eingabe'!$I$7:$I$126,'FC Eingabe'!$F$7:$F$126,C213,'FC Eingabe'!$K$7:$K$126,"Wirksam")</f>
        <v/>
      </c>
      <c r="N213" s="23">
        <f>H213+K213+SUMIFS('FC Eingabe'!$H$7:$H$126,'FC Eingabe'!$F$7:$F$126,C213,'FC Eingabe'!$K$7:$K$126,"Wirksam")</f>
        <v/>
      </c>
      <c r="O213" s="23">
        <f>SUM(L213:N213)</f>
        <v/>
      </c>
    </row>
    <row r="214" ht="21" customHeight="1">
      <c r="C214" s="10" t="inlineStr">
        <is>
          <t>W4102307366</t>
        </is>
      </c>
      <c r="D214" s="10" t="n"/>
      <c r="E214" s="10" t="n"/>
      <c r="F214" s="23" t="n">
        <v>0</v>
      </c>
      <c r="G214" s="23" t="n">
        <v>0</v>
      </c>
      <c r="H214" s="23" t="n">
        <v>0</v>
      </c>
      <c r="I214" s="23" t="n">
        <v>0</v>
      </c>
      <c r="J214" s="23" t="n">
        <v>0</v>
      </c>
      <c r="K214" s="23" t="n">
        <v>0</v>
      </c>
      <c r="L214" s="23">
        <f>F214+I214+SUMIFS('FC Eingabe'!$G$7:$G$126,'FC Eingabe'!$F$7:$F$126,C214,'FC Eingabe'!$K$7:$K$126,"Wirksam")</f>
        <v/>
      </c>
      <c r="M214" s="23">
        <f>G214+J214-SUMIFS('FC Eingabe'!$I$7:$I$126,'FC Eingabe'!$F$7:$F$126,C214,'FC Eingabe'!$K$7:$K$126,"Wirksam")</f>
        <v/>
      </c>
      <c r="N214" s="23">
        <f>H214+K214+SUMIFS('FC Eingabe'!$H$7:$H$126,'FC Eingabe'!$F$7:$F$126,C214,'FC Eingabe'!$K$7:$K$126,"Wirksam")</f>
        <v/>
      </c>
      <c r="O214" s="23">
        <f>SUM(L214:N214)</f>
        <v/>
      </c>
    </row>
    <row r="215" ht="21" customHeight="1">
      <c r="C215" s="10" t="inlineStr">
        <is>
          <t>P4102607081</t>
        </is>
      </c>
      <c r="D215" s="10" t="n"/>
      <c r="E215" s="10" t="n"/>
      <c r="F215" s="23" t="n">
        <v>0</v>
      </c>
      <c r="G215" s="23" t="n">
        <v>-177.57</v>
      </c>
      <c r="H215" s="23" t="n">
        <v>0</v>
      </c>
      <c r="I215" s="23" t="n">
        <v>0</v>
      </c>
      <c r="J215" s="23" t="n">
        <v>0</v>
      </c>
      <c r="K215" s="23" t="n">
        <v>0</v>
      </c>
      <c r="L215" s="23">
        <f>F215+I215+SUMIFS('FC Eingabe'!$G$7:$G$126,'FC Eingabe'!$F$7:$F$126,C215,'FC Eingabe'!$K$7:$K$126,"Wirksam")</f>
        <v/>
      </c>
      <c r="M215" s="23">
        <f>G215+J215-SUMIFS('FC Eingabe'!$I$7:$I$126,'FC Eingabe'!$F$7:$F$126,C215,'FC Eingabe'!$K$7:$K$126,"Wirksam")</f>
        <v/>
      </c>
      <c r="N215" s="23">
        <f>H215+K215+SUMIFS('FC Eingabe'!$H$7:$H$126,'FC Eingabe'!$F$7:$F$126,C215,'FC Eingabe'!$K$7:$K$126,"Wirksam")</f>
        <v/>
      </c>
      <c r="O215" s="23">
        <f>SUM(L215:N215)</f>
        <v/>
      </c>
    </row>
    <row r="216" ht="21" customHeight="1">
      <c r="C216" s="10" t="inlineStr">
        <is>
          <t>P4102307451</t>
        </is>
      </c>
      <c r="D216" s="10" t="n"/>
      <c r="E216" s="10" t="n"/>
      <c r="F216" s="23" t="n">
        <v>0</v>
      </c>
      <c r="G216" s="23" t="n">
        <v>-2162</v>
      </c>
      <c r="H216" s="23" t="n">
        <v>0</v>
      </c>
      <c r="I216" s="23" t="n">
        <v>0</v>
      </c>
      <c r="J216" s="23" t="n">
        <v>0</v>
      </c>
      <c r="K216" s="23" t="n">
        <v>0</v>
      </c>
      <c r="L216" s="23">
        <f>F216+I216+SUMIFS('FC Eingabe'!$G$7:$G$126,'FC Eingabe'!$F$7:$F$126,C216,'FC Eingabe'!$K$7:$K$126,"Wirksam")</f>
        <v/>
      </c>
      <c r="M216" s="23">
        <f>G216+J216-SUMIFS('FC Eingabe'!$I$7:$I$126,'FC Eingabe'!$F$7:$F$126,C216,'FC Eingabe'!$K$7:$K$126,"Wirksam")</f>
        <v/>
      </c>
      <c r="N216" s="23">
        <f>H216+K216+SUMIFS('FC Eingabe'!$H$7:$H$126,'FC Eingabe'!$F$7:$F$126,C216,'FC Eingabe'!$K$7:$K$126,"Wirksam")</f>
        <v/>
      </c>
      <c r="O216" s="23">
        <f>SUM(L216:N216)</f>
        <v/>
      </c>
    </row>
    <row r="217" ht="21" customHeight="1">
      <c r="C217" s="10" t="inlineStr">
        <is>
          <t>P4102157472</t>
        </is>
      </c>
      <c r="D217" s="10" t="n"/>
      <c r="E217" s="10" t="n"/>
      <c r="F217" s="23" t="n">
        <v>13000</v>
      </c>
      <c r="G217" s="23" t="n">
        <v>-6383.76</v>
      </c>
      <c r="H217" s="23" t="n">
        <v>0</v>
      </c>
      <c r="I217" s="23" t="n">
        <v>0</v>
      </c>
      <c r="J217" s="23" t="n">
        <v>0</v>
      </c>
      <c r="K217" s="23" t="n">
        <v>0</v>
      </c>
      <c r="L217" s="23">
        <f>F217+I217+SUMIFS('FC Eingabe'!$G$7:$G$126,'FC Eingabe'!$F$7:$F$126,C217,'FC Eingabe'!$K$7:$K$126,"Wirksam")</f>
        <v/>
      </c>
      <c r="M217" s="23">
        <f>G217+J217-SUMIFS('FC Eingabe'!$I$7:$I$126,'FC Eingabe'!$F$7:$F$126,C217,'FC Eingabe'!$K$7:$K$126,"Wirksam")</f>
        <v/>
      </c>
      <c r="N217" s="23">
        <f>H217+K217+SUMIFS('FC Eingabe'!$H$7:$H$126,'FC Eingabe'!$F$7:$F$126,C217,'FC Eingabe'!$K$7:$K$126,"Wirksam")</f>
        <v/>
      </c>
      <c r="O217" s="23">
        <f>SUM(L217:N217)</f>
        <v/>
      </c>
    </row>
    <row r="218" ht="21" customHeight="1">
      <c r="C218" s="10" t="inlineStr">
        <is>
          <t>P4102608278</t>
        </is>
      </c>
      <c r="D218" s="10" t="n"/>
      <c r="E218" s="10" t="n"/>
      <c r="F218" s="23" t="n">
        <v>0</v>
      </c>
      <c r="G218" s="23" t="n">
        <v>-1010</v>
      </c>
      <c r="H218" s="23" t="n">
        <v>0</v>
      </c>
      <c r="I218" s="23" t="n">
        <v>0</v>
      </c>
      <c r="J218" s="23" t="n">
        <v>0</v>
      </c>
      <c r="K218" s="23" t="n">
        <v>0</v>
      </c>
      <c r="L218" s="23">
        <f>F218+I218+SUMIFS('FC Eingabe'!$G$7:$G$126,'FC Eingabe'!$F$7:$F$126,C218,'FC Eingabe'!$K$7:$K$126,"Wirksam")</f>
        <v/>
      </c>
      <c r="M218" s="23">
        <f>G218+J218-SUMIFS('FC Eingabe'!$I$7:$I$126,'FC Eingabe'!$F$7:$F$126,C218,'FC Eingabe'!$K$7:$K$126,"Wirksam")</f>
        <v/>
      </c>
      <c r="N218" s="23">
        <f>H218+K218+SUMIFS('FC Eingabe'!$H$7:$H$126,'FC Eingabe'!$F$7:$F$126,C218,'FC Eingabe'!$K$7:$K$126,"Wirksam")</f>
        <v/>
      </c>
      <c r="O218" s="23">
        <f>SUM(L218:N218)</f>
        <v/>
      </c>
    </row>
    <row r="219" ht="21" customHeight="1">
      <c r="C219" s="10" t="inlineStr">
        <is>
          <t>W4102307414</t>
        </is>
      </c>
      <c r="D219" s="10" t="n"/>
      <c r="E219" s="10" t="n"/>
      <c r="F219" s="23" t="n">
        <v>0</v>
      </c>
      <c r="G219" s="23" t="n">
        <v>-65.02</v>
      </c>
      <c r="H219" s="23" t="n">
        <v>0</v>
      </c>
      <c r="I219" s="23" t="n">
        <v>0</v>
      </c>
      <c r="J219" s="23" t="n">
        <v>0</v>
      </c>
      <c r="K219" s="23" t="n">
        <v>0</v>
      </c>
      <c r="L219" s="23">
        <f>F219+I219+SUMIFS('FC Eingabe'!$G$7:$G$126,'FC Eingabe'!$F$7:$F$126,C219,'FC Eingabe'!$K$7:$K$126,"Wirksam")</f>
        <v/>
      </c>
      <c r="M219" s="23">
        <f>G219+J219-SUMIFS('FC Eingabe'!$I$7:$I$126,'FC Eingabe'!$F$7:$F$126,C219,'FC Eingabe'!$K$7:$K$126,"Wirksam")</f>
        <v/>
      </c>
      <c r="N219" s="23">
        <f>H219+K219+SUMIFS('FC Eingabe'!$H$7:$H$126,'FC Eingabe'!$F$7:$F$126,C219,'FC Eingabe'!$K$7:$K$126,"Wirksam")</f>
        <v/>
      </c>
      <c r="O219" s="23">
        <f>SUM(L219:N219)</f>
        <v/>
      </c>
    </row>
    <row r="220" ht="21" customHeight="1">
      <c r="C220" s="10" t="inlineStr">
        <is>
          <t>P4102157470</t>
        </is>
      </c>
      <c r="D220" s="10" t="n"/>
      <c r="E220" s="10" t="n"/>
      <c r="F220" s="23" t="n">
        <v>40500</v>
      </c>
      <c r="G220" s="23" t="n">
        <v>-21238.51</v>
      </c>
      <c r="H220" s="23" t="n">
        <v>0</v>
      </c>
      <c r="I220" s="23" t="n">
        <v>0</v>
      </c>
      <c r="J220" s="23" t="n">
        <v>0</v>
      </c>
      <c r="K220" s="23" t="n">
        <v>0</v>
      </c>
      <c r="L220" s="23">
        <f>F220+I220+SUMIFS('FC Eingabe'!$G$7:$G$126,'FC Eingabe'!$F$7:$F$126,C220,'FC Eingabe'!$K$7:$K$126,"Wirksam")</f>
        <v/>
      </c>
      <c r="M220" s="23">
        <f>G220+J220-SUMIFS('FC Eingabe'!$I$7:$I$126,'FC Eingabe'!$F$7:$F$126,C220,'FC Eingabe'!$K$7:$K$126,"Wirksam")</f>
        <v/>
      </c>
      <c r="N220" s="23">
        <f>H220+K220+SUMIFS('FC Eingabe'!$H$7:$H$126,'FC Eingabe'!$F$7:$F$126,C220,'FC Eingabe'!$K$7:$K$126,"Wirksam")</f>
        <v/>
      </c>
      <c r="O220" s="23">
        <f>SUM(L220:N220)</f>
        <v/>
      </c>
    </row>
    <row r="221" ht="21" customHeight="1">
      <c r="C221" s="10" t="inlineStr">
        <is>
          <t>W4102504110</t>
        </is>
      </c>
      <c r="D221" s="10" t="n"/>
      <c r="E221" s="10" t="n"/>
      <c r="F221" s="23" t="n">
        <v>0</v>
      </c>
      <c r="G221" s="23" t="n">
        <v>-79.34</v>
      </c>
      <c r="H221" s="23" t="n">
        <v>0</v>
      </c>
      <c r="I221" s="23" t="n">
        <v>0</v>
      </c>
      <c r="J221" s="23" t="n">
        <v>0</v>
      </c>
      <c r="K221" s="23" t="n">
        <v>0</v>
      </c>
      <c r="L221" s="23">
        <f>F221+I221+SUMIFS('FC Eingabe'!$G$7:$G$126,'FC Eingabe'!$F$7:$F$126,C221,'FC Eingabe'!$K$7:$K$126,"Wirksam")</f>
        <v/>
      </c>
      <c r="M221" s="23">
        <f>G221+J221-SUMIFS('FC Eingabe'!$I$7:$I$126,'FC Eingabe'!$F$7:$F$126,C221,'FC Eingabe'!$K$7:$K$126,"Wirksam")</f>
        <v/>
      </c>
      <c r="N221" s="23">
        <f>H221+K221+SUMIFS('FC Eingabe'!$H$7:$H$126,'FC Eingabe'!$F$7:$F$126,C221,'FC Eingabe'!$K$7:$K$126,"Wirksam")</f>
        <v/>
      </c>
      <c r="O221" s="23">
        <f>SUM(L221:N221)</f>
        <v/>
      </c>
    </row>
    <row r="222" ht="21" customHeight="1">
      <c r="C222" s="10" t="inlineStr">
        <is>
          <t>W4102504977</t>
        </is>
      </c>
      <c r="D222" s="10" t="n"/>
      <c r="E222" s="10" t="n"/>
      <c r="F222" s="23" t="n">
        <v>0</v>
      </c>
      <c r="G222" s="23" t="n">
        <v>-3282.09</v>
      </c>
      <c r="H222" s="23" t="n">
        <v>0</v>
      </c>
      <c r="I222" s="23" t="n">
        <v>0</v>
      </c>
      <c r="J222" s="23" t="n">
        <v>0</v>
      </c>
      <c r="K222" s="23" t="n">
        <v>0</v>
      </c>
      <c r="L222" s="23">
        <f>F222+I222+SUMIFS('FC Eingabe'!$G$7:$G$126,'FC Eingabe'!$F$7:$F$126,C222,'FC Eingabe'!$K$7:$K$126,"Wirksam")</f>
        <v/>
      </c>
      <c r="M222" s="23">
        <f>G222+J222-SUMIFS('FC Eingabe'!$I$7:$I$126,'FC Eingabe'!$F$7:$F$126,C222,'FC Eingabe'!$K$7:$K$126,"Wirksam")</f>
        <v/>
      </c>
      <c r="N222" s="23">
        <f>H222+K222+SUMIFS('FC Eingabe'!$H$7:$H$126,'FC Eingabe'!$F$7:$F$126,C222,'FC Eingabe'!$K$7:$K$126,"Wirksam")</f>
        <v/>
      </c>
      <c r="O222" s="23">
        <f>SUM(L222:N222)</f>
        <v/>
      </c>
    </row>
  </sheetData>
  <mergeCells count="3">
    <mergeCell ref="C2:Q2"/>
    <mergeCell ref="C3:Q3"/>
    <mergeCell ref="C46:Q46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A1:T60"/>
  <sheetViews>
    <sheetView showGridLines="0" workbookViewId="0">
      <selection activeCell="A1" sqref="A1"/>
    </sheetView>
  </sheetViews>
  <sheetFormatPr baseColWidth="10" defaultColWidth="8.83203125" defaultRowHeight="14"/>
  <cols>
    <col width="2.5" customWidth="1" min="1" max="2"/>
    <col width="38" customWidth="1" min="3" max="3"/>
    <col width="15" customWidth="1" min="4" max="20"/>
  </cols>
  <sheetData>
    <row r="1">
      <c r="A1" s="48" t="n"/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  <c r="O1" s="48" t="n"/>
      <c r="P1" s="48" t="n"/>
      <c r="Q1" s="48" t="n"/>
      <c r="R1" s="48" t="n"/>
      <c r="S1" s="48" t="n"/>
      <c r="T1" s="48" t="n"/>
    </row>
    <row r="2" ht="30" customHeight="1">
      <c r="A2" s="48" t="n"/>
      <c r="B2" s="48" t="n"/>
      <c r="C2" s="53" t="inlineStr">
        <is>
          <t>Monatsroll und Cash-Pool-Plan</t>
        </is>
      </c>
      <c r="D2" s="60" t="n"/>
      <c r="E2" s="60" t="n"/>
      <c r="F2" s="60" t="n"/>
      <c r="G2" s="60" t="n"/>
      <c r="H2" s="60" t="n"/>
      <c r="I2" s="60" t="n"/>
      <c r="J2" s="60" t="n"/>
      <c r="K2" s="60" t="n"/>
      <c r="L2" s="60" t="n"/>
      <c r="M2" s="60" t="n"/>
      <c r="N2" s="60" t="n"/>
      <c r="O2" s="60" t="n"/>
      <c r="P2" s="60" t="n"/>
      <c r="Q2" s="60" t="n"/>
      <c r="R2" s="60" t="n"/>
      <c r="S2" s="60" t="n"/>
      <c r="T2" s="60" t="n"/>
    </row>
    <row r="3" ht="32" customHeight="1">
      <c r="A3" s="48" t="n"/>
      <c r="B3" s="48" t="n"/>
      <c r="C3" s="54" t="inlineStr">
        <is>
          <t>Modell aus der Anwendung mit gerundeten DSO-/DPO-Monatsversätzen. Startbestand und Zahlungsparameter auf Steuerung.</t>
        </is>
      </c>
    </row>
    <row r="4">
      <c r="A4" s="48" t="n"/>
      <c r="B4" s="48" t="n"/>
      <c r="C4" s="48" t="n"/>
      <c r="D4" s="48" t="n"/>
      <c r="E4" s="48" t="n"/>
      <c r="F4" s="48" t="n"/>
      <c r="G4" s="48" t="n"/>
      <c r="H4" s="48" t="n"/>
      <c r="I4" s="48" t="n"/>
      <c r="J4" s="48" t="n"/>
      <c r="K4" s="48" t="n"/>
      <c r="L4" s="48" t="n"/>
      <c r="M4" s="48" t="n"/>
      <c r="N4" s="48" t="n"/>
      <c r="O4" s="48" t="n"/>
      <c r="P4" s="48" t="n"/>
      <c r="Q4" s="48" t="n"/>
      <c r="R4" s="48" t="n"/>
      <c r="S4" s="48" t="n"/>
      <c r="T4" s="48" t="n"/>
    </row>
    <row r="5">
      <c r="A5" s="48" t="n"/>
      <c r="B5" s="48" t="n"/>
      <c r="C5" s="48" t="n"/>
      <c r="D5" s="48" t="n"/>
      <c r="E5" s="48" t="n"/>
      <c r="F5" s="48" t="n"/>
      <c r="G5" s="48" t="n"/>
      <c r="H5" s="48" t="n"/>
      <c r="I5" s="48" t="n"/>
      <c r="J5" s="48" t="n"/>
      <c r="K5" s="48" t="n"/>
      <c r="L5" s="48" t="n"/>
      <c r="M5" s="48" t="n"/>
      <c r="N5" s="48" t="n"/>
      <c r="O5" s="48" t="n"/>
      <c r="P5" s="48" t="n"/>
      <c r="Q5" s="48" t="n"/>
      <c r="R5" s="48" t="n"/>
      <c r="S5" s="48" t="n"/>
      <c r="T5" s="48" t="n"/>
    </row>
    <row r="6" ht="34" customHeight="1">
      <c r="A6" s="48" t="n"/>
      <c r="B6" s="48" t="n"/>
      <c r="C6" s="3" t="inlineStr">
        <is>
          <t>Monat</t>
        </is>
      </c>
      <c r="D6" s="3" t="inlineStr">
        <is>
          <t>Art</t>
        </is>
      </c>
      <c r="E6" s="3" t="inlineStr">
        <is>
          <t>Umsatz</t>
        </is>
      </c>
      <c r="F6" s="3" t="inlineStr">
        <is>
          <t>Bestand Δ</t>
        </is>
      </c>
      <c r="G6" s="3" t="inlineStr">
        <is>
          <t>EBITDA</t>
        </is>
      </c>
      <c r="H6" s="3" t="inlineStr">
        <is>
          <t>Kosten</t>
        </is>
      </c>
      <c r="I6" s="3" t="inlineStr">
        <is>
          <t>Cash-Anfang</t>
        </is>
      </c>
      <c r="J6" s="3" t="inlineStr">
        <is>
          <t>Umsatz-Zufluss</t>
        </is>
      </c>
      <c r="K6" s="3" t="inlineStr">
        <is>
          <t>Regelzufluss</t>
        </is>
      </c>
      <c r="L6" s="3" t="inlineStr">
        <is>
          <t>Finanzierung</t>
        </is>
      </c>
      <c r="M6" s="3" t="inlineStr">
        <is>
          <t>Gepl. Eingang</t>
        </is>
      </c>
      <c r="N6" s="3" t="inlineStr">
        <is>
          <t>Sachkosten</t>
        </is>
      </c>
      <c r="O6" s="3" t="inlineStr">
        <is>
          <t>Personal/Zins/Invest</t>
        </is>
      </c>
      <c r="P6" s="3" t="inlineStr">
        <is>
          <t>Gepl. Ausgang</t>
        </is>
      </c>
      <c r="Q6" s="3" t="inlineStr">
        <is>
          <t>Cash-Ende</t>
        </is>
      </c>
      <c r="R6" s="3" t="inlineStr">
        <is>
          <t>Ist-Cash</t>
        </is>
      </c>
      <c r="S6" s="48" t="n"/>
      <c r="T6" s="48" t="n"/>
    </row>
    <row r="7">
      <c r="A7" s="48" t="n"/>
      <c r="B7" s="48" t="n"/>
      <c r="C7" s="48" t="n">
        <v>1</v>
      </c>
      <c r="D7" s="42">
        <f>IF(C7&lt;Steuerung!$F$50,"IST","PLAN")</f>
        <v/>
      </c>
      <c r="E7" s="43">
        <f>SUMIFS('D Liquidität'!$C$632:$C$655,'D Liquidität'!$A$632:$A$655,Steuerung!$F$6,'D Liquidität'!$B$632:$B$655,C7)+SUMIFS('FC Eingabe'!$G$7:$G$506,'FC Eingabe'!$C$7:$C$506,Steuerung!$F$6,'FC Eingabe'!$D$7:$D$506,C7,'FC Eingabe'!$K$7:$K$506,"Wirksam")</f>
        <v/>
      </c>
      <c r="F7" s="43">
        <f>SUMIFS('D Liquidität'!$D$632:$D$655,'D Liquidität'!$A$632:$A$655,Steuerung!$F$6,'D Liquidität'!$B$632:$B$655,C7)+SUMIFS('FC Eingabe'!$H$7:$H$506,'FC Eingabe'!$C$7:$C$506,Steuerung!$F$6,'FC Eingabe'!$D$7:$D$506,C7,'FC Eingabe'!$K$7:$K$506,"Wirksam")</f>
        <v/>
      </c>
      <c r="G7" s="43">
        <f>SUMIFS('D Liquidität'!$E$632:$E$655,'D Liquidität'!$A$632:$A$655,Steuerung!$F$6,'D Liquidität'!$B$632:$B$655,C7)+SUMIFS('FC Eingabe'!$G$7:$G$506,'FC Eingabe'!$C$7:$C$506,Steuerung!$F$6,'FC Eingabe'!$D$7:$D$506,C7,'FC Eingabe'!$K$7:$K$506,"Wirksam")+SUMIFS('FC Eingabe'!$H$7:$H$506,'FC Eingabe'!$C$7:$C$506,Steuerung!$F$6,'FC Eingabe'!$D$7:$D$506,C7,'FC Eingabe'!$K$7:$K$506,"Wirksam")-SUMIFS('FC Eingabe'!$I$7:$I$506,'FC Eingabe'!$C$7:$C$506,Steuerung!$F$6,'FC Eingabe'!$D$7:$D$506,C7,'FC Eingabe'!$K$7:$K$506,"Wirksam")</f>
        <v/>
      </c>
      <c r="H7" s="17">
        <f>SUM(E7:F7)-G7</f>
        <v/>
      </c>
      <c r="I7" s="43">
        <f>IF(D7="IST","",IF(C7=Steuerung!$F$50,Steuerung!$F$51,Q6))</f>
        <v/>
      </c>
      <c r="J7" s="43">
        <f>IF(D7="IST","",IF(C7-ROUND(Steuerung!$F$36/Steuerung!$F$40,0)&lt;1,"n.a.",INDEX($E$7:$E$18,C7-ROUND(Steuerung!$F$36/Steuerung!$F$40,0))))</f>
        <v/>
      </c>
      <c r="K7" s="43">
        <f>IF(D7="IST","",Steuerung!$F$38)</f>
        <v/>
      </c>
      <c r="L7" s="43">
        <f>IF(D7="IST","",SUMIFS('D Liquidität'!$D$674:$D$676,'D Liquidität'!$A$674:$A$676,Steuerung!$F$6,'D Liquidität'!$B$674:$B$676,C7))</f>
        <v/>
      </c>
      <c r="M7" s="43">
        <f>IF(D7="IST","",SUMIFS('D Liquidität'!$D$91:$D$191,'D Liquidität'!$A$91:$A$191,Steuerung!$F$6,'D Liquidität'!$B$91:$B$191,C7,'D Liquidität'!$I$91:$I$191,"&lt;&gt;CHANCE",'D Liquidität'!$H$91:$H$191,"&lt;&gt;ERLEDIGT",'D Liquidität'!$H$91:$H$191,"&lt;&gt;GEZAHLT",'D Liquidität'!$H$91:$H$191,"&lt;&gt;STORNIERT",'D Liquidität'!$H$91:$H$191,"&lt;&gt;VERLOREN",'D Liquidität'!$D$91:$D$191,"&gt;0"))</f>
        <v/>
      </c>
      <c r="N7" s="43">
        <f>IF(D7="IST","",IF(C7-ROUND(Steuerung!$F$37/Steuerung!$F$40,0)&lt;1,"n.a.",INDEX($H$7:$H$18,C7-ROUND(Steuerung!$F$37/Steuerung!$F$40,0))-Steuerung!$F$41-Steuerung!$F$42))</f>
        <v/>
      </c>
      <c r="O7" s="43">
        <f>IF(D7="IST","",Steuerung!$F$41+Steuerung!$F$43+Steuerung!$F$45+Steuerung!$F$46)</f>
        <v/>
      </c>
      <c r="P7" s="43">
        <f>IF(D7="IST","",SUMIFS('D Liquidität'!$D$91:$D$191,'D Liquidität'!$A$91:$A$191,Steuerung!$F$6,'D Liquidität'!$B$91:$B$191,C7,'D Liquidität'!$I$91:$I$191,"&lt;&gt;CHANCE",'D Liquidität'!$H$91:$H$191,"&lt;&gt;ERLEDIGT",'D Liquidität'!$H$91:$H$191,"&lt;&gt;GEZAHLT",'D Liquidität'!$H$91:$H$191,"&lt;&gt;STORNIERT",'D Liquidität'!$H$91:$H$191,"&lt;&gt;VERLOREN",'D Liquidität'!$D$91:$D$191,"&lt;0"))</f>
        <v/>
      </c>
      <c r="Q7" s="17">
        <f>IF(D7="IST","",IF(OR(J7="n.a.",N7="n.a."),"n.a.",SUM(I7:M7)-SUM(N7:O7)+P7))</f>
        <v/>
      </c>
      <c r="R7" s="43">
        <f>IF(COUNTIFS('D Liquidität'!$A$661:$A$668,Steuerung!$F$6,'D Liquidität'!$B$661:$B$668,C7)=0,"",SUMIFS('D Liquidität'!$C$661:$C$668,'D Liquidität'!$A$661:$A$668,Steuerung!$F$6,'D Liquidität'!$B$661:$B$668,C7))</f>
        <v/>
      </c>
      <c r="S7" s="48" t="n"/>
      <c r="T7" s="48" t="n"/>
    </row>
    <row r="8">
      <c r="A8" s="48" t="n"/>
      <c r="B8" s="48" t="n"/>
      <c r="C8" s="48" t="n">
        <v>2</v>
      </c>
      <c r="D8" s="42">
        <f>IF(C8&lt;Steuerung!$F$50,"IST","PLAN")</f>
        <v/>
      </c>
      <c r="E8" s="43">
        <f>SUMIFS('D Liquidität'!$C$632:$C$655,'D Liquidität'!$A$632:$A$655,Steuerung!$F$6,'D Liquidität'!$B$632:$B$655,C8)+SUMIFS('FC Eingabe'!$G$7:$G$506,'FC Eingabe'!$C$7:$C$506,Steuerung!$F$6,'FC Eingabe'!$D$7:$D$506,C8,'FC Eingabe'!$K$7:$K$506,"Wirksam")</f>
        <v/>
      </c>
      <c r="F8" s="43">
        <f>SUMIFS('D Liquidität'!$D$632:$D$655,'D Liquidität'!$A$632:$A$655,Steuerung!$F$6,'D Liquidität'!$B$632:$B$655,C8)+SUMIFS('FC Eingabe'!$H$7:$H$506,'FC Eingabe'!$C$7:$C$506,Steuerung!$F$6,'FC Eingabe'!$D$7:$D$506,C8,'FC Eingabe'!$K$7:$K$506,"Wirksam")</f>
        <v/>
      </c>
      <c r="G8" s="43">
        <f>SUMIFS('D Liquidität'!$E$632:$E$655,'D Liquidität'!$A$632:$A$655,Steuerung!$F$6,'D Liquidität'!$B$632:$B$655,C8)+SUMIFS('FC Eingabe'!$G$7:$G$506,'FC Eingabe'!$C$7:$C$506,Steuerung!$F$6,'FC Eingabe'!$D$7:$D$506,C8,'FC Eingabe'!$K$7:$K$506,"Wirksam")+SUMIFS('FC Eingabe'!$H$7:$H$506,'FC Eingabe'!$C$7:$C$506,Steuerung!$F$6,'FC Eingabe'!$D$7:$D$506,C8,'FC Eingabe'!$K$7:$K$506,"Wirksam")-SUMIFS('FC Eingabe'!$I$7:$I$506,'FC Eingabe'!$C$7:$C$506,Steuerung!$F$6,'FC Eingabe'!$D$7:$D$506,C8,'FC Eingabe'!$K$7:$K$506,"Wirksam")</f>
        <v/>
      </c>
      <c r="H8" s="17">
        <f>SUM(E8:F8)-G8</f>
        <v/>
      </c>
      <c r="I8" s="43">
        <f>IF(D8="IST","",IF(C8=Steuerung!$F$50,Steuerung!$F$51,Q7))</f>
        <v/>
      </c>
      <c r="J8" s="43">
        <f>IF(D8="IST","",IF(C8-ROUND(Steuerung!$F$36/Steuerung!$F$40,0)&lt;1,"n.a.",INDEX($E$7:$E$18,C8-ROUND(Steuerung!$F$36/Steuerung!$F$40,0))))</f>
        <v/>
      </c>
      <c r="K8" s="43">
        <f>IF(D8="IST","",Steuerung!$F$38)</f>
        <v/>
      </c>
      <c r="L8" s="43">
        <f>IF(D8="IST","",SUMIFS('D Liquidität'!$D$674:$D$676,'D Liquidität'!$A$674:$A$676,Steuerung!$F$6,'D Liquidität'!$B$674:$B$676,C8))</f>
        <v/>
      </c>
      <c r="M8" s="43">
        <f>IF(D8="IST","",SUMIFS('D Liquidität'!$D$91:$D$191,'D Liquidität'!$A$91:$A$191,Steuerung!$F$6,'D Liquidität'!$B$91:$B$191,C8,'D Liquidität'!$I$91:$I$191,"&lt;&gt;CHANCE",'D Liquidität'!$H$91:$H$191,"&lt;&gt;ERLEDIGT",'D Liquidität'!$H$91:$H$191,"&lt;&gt;GEZAHLT",'D Liquidität'!$H$91:$H$191,"&lt;&gt;STORNIERT",'D Liquidität'!$H$91:$H$191,"&lt;&gt;VERLOREN",'D Liquidität'!$D$91:$D$191,"&gt;0"))</f>
        <v/>
      </c>
      <c r="N8" s="43">
        <f>IF(D8="IST","",IF(C8-ROUND(Steuerung!$F$37/Steuerung!$F$40,0)&lt;1,"n.a.",INDEX($H$7:$H$18,C8-ROUND(Steuerung!$F$37/Steuerung!$F$40,0))-Steuerung!$F$41-Steuerung!$F$42))</f>
        <v/>
      </c>
      <c r="O8" s="43">
        <f>IF(D8="IST","",Steuerung!$F$41+Steuerung!$F$43+Steuerung!$F$45+Steuerung!$F$46)</f>
        <v/>
      </c>
      <c r="P8" s="43">
        <f>IF(D8="IST","",SUMIFS('D Liquidität'!$D$91:$D$191,'D Liquidität'!$A$91:$A$191,Steuerung!$F$6,'D Liquidität'!$B$91:$B$191,C8,'D Liquidität'!$I$91:$I$191,"&lt;&gt;CHANCE",'D Liquidität'!$H$91:$H$191,"&lt;&gt;ERLEDIGT",'D Liquidität'!$H$91:$H$191,"&lt;&gt;GEZAHLT",'D Liquidität'!$H$91:$H$191,"&lt;&gt;STORNIERT",'D Liquidität'!$H$91:$H$191,"&lt;&gt;VERLOREN",'D Liquidität'!$D$91:$D$191,"&lt;0"))</f>
        <v/>
      </c>
      <c r="Q8" s="17">
        <f>IF(D8="IST","",IF(OR(J8="n.a.",N8="n.a."),"n.a.",SUM(I8:M8)-SUM(N8:O8)+P8))</f>
        <v/>
      </c>
      <c r="R8" s="43">
        <f>IF(COUNTIFS('D Liquidität'!$A$661:$A$668,Steuerung!$F$6,'D Liquidität'!$B$661:$B$668,C8)=0,"",SUMIFS('D Liquidität'!$C$661:$C$668,'D Liquidität'!$A$661:$A$668,Steuerung!$F$6,'D Liquidität'!$B$661:$B$668,C8))</f>
        <v/>
      </c>
      <c r="S8" s="48" t="n"/>
      <c r="T8" s="48" t="n"/>
    </row>
    <row r="9">
      <c r="A9" s="48" t="n"/>
      <c r="B9" s="48" t="n"/>
      <c r="C9" s="48" t="n">
        <v>3</v>
      </c>
      <c r="D9" s="42">
        <f>IF(C9&lt;Steuerung!$F$50,"IST","PLAN")</f>
        <v/>
      </c>
      <c r="E9" s="43">
        <f>SUMIFS('D Liquidität'!$C$632:$C$655,'D Liquidität'!$A$632:$A$655,Steuerung!$F$6,'D Liquidität'!$B$632:$B$655,C9)+SUMIFS('FC Eingabe'!$G$7:$G$506,'FC Eingabe'!$C$7:$C$506,Steuerung!$F$6,'FC Eingabe'!$D$7:$D$506,C9,'FC Eingabe'!$K$7:$K$506,"Wirksam")</f>
        <v/>
      </c>
      <c r="F9" s="43">
        <f>SUMIFS('D Liquidität'!$D$632:$D$655,'D Liquidität'!$A$632:$A$655,Steuerung!$F$6,'D Liquidität'!$B$632:$B$655,C9)+SUMIFS('FC Eingabe'!$H$7:$H$506,'FC Eingabe'!$C$7:$C$506,Steuerung!$F$6,'FC Eingabe'!$D$7:$D$506,C9,'FC Eingabe'!$K$7:$K$506,"Wirksam")</f>
        <v/>
      </c>
      <c r="G9" s="43">
        <f>SUMIFS('D Liquidität'!$E$632:$E$655,'D Liquidität'!$A$632:$A$655,Steuerung!$F$6,'D Liquidität'!$B$632:$B$655,C9)+SUMIFS('FC Eingabe'!$G$7:$G$506,'FC Eingabe'!$C$7:$C$506,Steuerung!$F$6,'FC Eingabe'!$D$7:$D$506,C9,'FC Eingabe'!$K$7:$K$506,"Wirksam")+SUMIFS('FC Eingabe'!$H$7:$H$506,'FC Eingabe'!$C$7:$C$506,Steuerung!$F$6,'FC Eingabe'!$D$7:$D$506,C9,'FC Eingabe'!$K$7:$K$506,"Wirksam")-SUMIFS('FC Eingabe'!$I$7:$I$506,'FC Eingabe'!$C$7:$C$506,Steuerung!$F$6,'FC Eingabe'!$D$7:$D$506,C9,'FC Eingabe'!$K$7:$K$506,"Wirksam")</f>
        <v/>
      </c>
      <c r="H9" s="17">
        <f>SUM(E9:F9)-G9</f>
        <v/>
      </c>
      <c r="I9" s="43">
        <f>IF(D9="IST","",IF(C9=Steuerung!$F$50,Steuerung!$F$51,Q8))</f>
        <v/>
      </c>
      <c r="J9" s="43">
        <f>IF(D9="IST","",IF(C9-ROUND(Steuerung!$F$36/Steuerung!$F$40,0)&lt;1,"n.a.",INDEX($E$7:$E$18,C9-ROUND(Steuerung!$F$36/Steuerung!$F$40,0))))</f>
        <v/>
      </c>
      <c r="K9" s="43">
        <f>IF(D9="IST","",Steuerung!$F$38)</f>
        <v/>
      </c>
      <c r="L9" s="43">
        <f>IF(D9="IST","",SUMIFS('D Liquidität'!$D$674:$D$676,'D Liquidität'!$A$674:$A$676,Steuerung!$F$6,'D Liquidität'!$B$674:$B$676,C9))</f>
        <v/>
      </c>
      <c r="M9" s="43">
        <f>IF(D9="IST","",SUMIFS('D Liquidität'!$D$91:$D$191,'D Liquidität'!$A$91:$A$191,Steuerung!$F$6,'D Liquidität'!$B$91:$B$191,C9,'D Liquidität'!$I$91:$I$191,"&lt;&gt;CHANCE",'D Liquidität'!$H$91:$H$191,"&lt;&gt;ERLEDIGT",'D Liquidität'!$H$91:$H$191,"&lt;&gt;GEZAHLT",'D Liquidität'!$H$91:$H$191,"&lt;&gt;STORNIERT",'D Liquidität'!$H$91:$H$191,"&lt;&gt;VERLOREN",'D Liquidität'!$D$91:$D$191,"&gt;0"))</f>
        <v/>
      </c>
      <c r="N9" s="43">
        <f>IF(D9="IST","",IF(C9-ROUND(Steuerung!$F$37/Steuerung!$F$40,0)&lt;1,"n.a.",INDEX($H$7:$H$18,C9-ROUND(Steuerung!$F$37/Steuerung!$F$40,0))-Steuerung!$F$41-Steuerung!$F$42))</f>
        <v/>
      </c>
      <c r="O9" s="43">
        <f>IF(D9="IST","",Steuerung!$F$41+Steuerung!$F$43+Steuerung!$F$45+Steuerung!$F$46)</f>
        <v/>
      </c>
      <c r="P9" s="43">
        <f>IF(D9="IST","",SUMIFS('D Liquidität'!$D$91:$D$191,'D Liquidität'!$A$91:$A$191,Steuerung!$F$6,'D Liquidität'!$B$91:$B$191,C9,'D Liquidität'!$I$91:$I$191,"&lt;&gt;CHANCE",'D Liquidität'!$H$91:$H$191,"&lt;&gt;ERLEDIGT",'D Liquidität'!$H$91:$H$191,"&lt;&gt;GEZAHLT",'D Liquidität'!$H$91:$H$191,"&lt;&gt;STORNIERT",'D Liquidität'!$H$91:$H$191,"&lt;&gt;VERLOREN",'D Liquidität'!$D$91:$D$191,"&lt;0"))</f>
        <v/>
      </c>
      <c r="Q9" s="17">
        <f>IF(D9="IST","",IF(OR(J9="n.a.",N9="n.a."),"n.a.",SUM(I9:M9)-SUM(N9:O9)+P9))</f>
        <v/>
      </c>
      <c r="R9" s="43">
        <f>IF(COUNTIFS('D Liquidität'!$A$661:$A$668,Steuerung!$F$6,'D Liquidität'!$B$661:$B$668,C9)=0,"",SUMIFS('D Liquidität'!$C$661:$C$668,'D Liquidität'!$A$661:$A$668,Steuerung!$F$6,'D Liquidität'!$B$661:$B$668,C9))</f>
        <v/>
      </c>
      <c r="S9" s="48" t="n"/>
      <c r="T9" s="48" t="n"/>
    </row>
    <row r="10">
      <c r="A10" s="48" t="n"/>
      <c r="B10" s="48" t="n"/>
      <c r="C10" s="48" t="n">
        <v>4</v>
      </c>
      <c r="D10" s="42">
        <f>IF(C10&lt;Steuerung!$F$50,"IST","PLAN")</f>
        <v/>
      </c>
      <c r="E10" s="43">
        <f>SUMIFS('D Liquidität'!$C$632:$C$655,'D Liquidität'!$A$632:$A$655,Steuerung!$F$6,'D Liquidität'!$B$632:$B$655,C10)+SUMIFS('FC Eingabe'!$G$7:$G$506,'FC Eingabe'!$C$7:$C$506,Steuerung!$F$6,'FC Eingabe'!$D$7:$D$506,C10,'FC Eingabe'!$K$7:$K$506,"Wirksam")</f>
        <v/>
      </c>
      <c r="F10" s="43">
        <f>SUMIFS('D Liquidität'!$D$632:$D$655,'D Liquidität'!$A$632:$A$655,Steuerung!$F$6,'D Liquidität'!$B$632:$B$655,C10)+SUMIFS('FC Eingabe'!$H$7:$H$506,'FC Eingabe'!$C$7:$C$506,Steuerung!$F$6,'FC Eingabe'!$D$7:$D$506,C10,'FC Eingabe'!$K$7:$K$506,"Wirksam")</f>
        <v/>
      </c>
      <c r="G10" s="43">
        <f>SUMIFS('D Liquidität'!$E$632:$E$655,'D Liquidität'!$A$632:$A$655,Steuerung!$F$6,'D Liquidität'!$B$632:$B$655,C10)+SUMIFS('FC Eingabe'!$G$7:$G$506,'FC Eingabe'!$C$7:$C$506,Steuerung!$F$6,'FC Eingabe'!$D$7:$D$506,C10,'FC Eingabe'!$K$7:$K$506,"Wirksam")+SUMIFS('FC Eingabe'!$H$7:$H$506,'FC Eingabe'!$C$7:$C$506,Steuerung!$F$6,'FC Eingabe'!$D$7:$D$506,C10,'FC Eingabe'!$K$7:$K$506,"Wirksam")-SUMIFS('FC Eingabe'!$I$7:$I$506,'FC Eingabe'!$C$7:$C$506,Steuerung!$F$6,'FC Eingabe'!$D$7:$D$506,C10,'FC Eingabe'!$K$7:$K$506,"Wirksam")</f>
        <v/>
      </c>
      <c r="H10" s="17">
        <f>SUM(E10:F10)-G10</f>
        <v/>
      </c>
      <c r="I10" s="43">
        <f>IF(D10="IST","",IF(C10=Steuerung!$F$50,Steuerung!$F$51,Q9))</f>
        <v/>
      </c>
      <c r="J10" s="43">
        <f>IF(D10="IST","",IF(C10-ROUND(Steuerung!$F$36/Steuerung!$F$40,0)&lt;1,"n.a.",INDEX($E$7:$E$18,C10-ROUND(Steuerung!$F$36/Steuerung!$F$40,0))))</f>
        <v/>
      </c>
      <c r="K10" s="43">
        <f>IF(D10="IST","",Steuerung!$F$38)</f>
        <v/>
      </c>
      <c r="L10" s="43">
        <f>IF(D10="IST","",SUMIFS('D Liquidität'!$D$674:$D$676,'D Liquidität'!$A$674:$A$676,Steuerung!$F$6,'D Liquidität'!$B$674:$B$676,C10))</f>
        <v/>
      </c>
      <c r="M10" s="43">
        <f>IF(D10="IST","",SUMIFS('D Liquidität'!$D$91:$D$191,'D Liquidität'!$A$91:$A$191,Steuerung!$F$6,'D Liquidität'!$B$91:$B$191,C10,'D Liquidität'!$I$91:$I$191,"&lt;&gt;CHANCE",'D Liquidität'!$H$91:$H$191,"&lt;&gt;ERLEDIGT",'D Liquidität'!$H$91:$H$191,"&lt;&gt;GEZAHLT",'D Liquidität'!$H$91:$H$191,"&lt;&gt;STORNIERT",'D Liquidität'!$H$91:$H$191,"&lt;&gt;VERLOREN",'D Liquidität'!$D$91:$D$191,"&gt;0"))</f>
        <v/>
      </c>
      <c r="N10" s="43">
        <f>IF(D10="IST","",IF(C10-ROUND(Steuerung!$F$37/Steuerung!$F$40,0)&lt;1,"n.a.",INDEX($H$7:$H$18,C10-ROUND(Steuerung!$F$37/Steuerung!$F$40,0))-Steuerung!$F$41-Steuerung!$F$42))</f>
        <v/>
      </c>
      <c r="O10" s="43">
        <f>IF(D10="IST","",Steuerung!$F$41+Steuerung!$F$43+Steuerung!$F$45+Steuerung!$F$46)</f>
        <v/>
      </c>
      <c r="P10" s="43">
        <f>IF(D10="IST","",SUMIFS('D Liquidität'!$D$91:$D$191,'D Liquidität'!$A$91:$A$191,Steuerung!$F$6,'D Liquidität'!$B$91:$B$191,C10,'D Liquidität'!$I$91:$I$191,"&lt;&gt;CHANCE",'D Liquidität'!$H$91:$H$191,"&lt;&gt;ERLEDIGT",'D Liquidität'!$H$91:$H$191,"&lt;&gt;GEZAHLT",'D Liquidität'!$H$91:$H$191,"&lt;&gt;STORNIERT",'D Liquidität'!$H$91:$H$191,"&lt;&gt;VERLOREN",'D Liquidität'!$D$91:$D$191,"&lt;0"))</f>
        <v/>
      </c>
      <c r="Q10" s="17">
        <f>IF(D10="IST","",IF(OR(J10="n.a.",N10="n.a."),"n.a.",SUM(I10:M10)-SUM(N10:O10)+P10))</f>
        <v/>
      </c>
      <c r="R10" s="43">
        <f>IF(COUNTIFS('D Liquidität'!$A$661:$A$668,Steuerung!$F$6,'D Liquidität'!$B$661:$B$668,C10)=0,"",SUMIFS('D Liquidität'!$C$661:$C$668,'D Liquidität'!$A$661:$A$668,Steuerung!$F$6,'D Liquidität'!$B$661:$B$668,C10))</f>
        <v/>
      </c>
      <c r="S10" s="48" t="n"/>
      <c r="T10" s="48" t="n"/>
    </row>
    <row r="11">
      <c r="A11" s="48" t="n"/>
      <c r="B11" s="48" t="n"/>
      <c r="C11" s="48" t="n">
        <v>5</v>
      </c>
      <c r="D11" s="42">
        <f>IF(C11&lt;Steuerung!$F$50,"IST","PLAN")</f>
        <v/>
      </c>
      <c r="E11" s="43">
        <f>SUMIFS('D Liquidität'!$C$632:$C$655,'D Liquidität'!$A$632:$A$655,Steuerung!$F$6,'D Liquidität'!$B$632:$B$655,C11)+SUMIFS('FC Eingabe'!$G$7:$G$506,'FC Eingabe'!$C$7:$C$506,Steuerung!$F$6,'FC Eingabe'!$D$7:$D$506,C11,'FC Eingabe'!$K$7:$K$506,"Wirksam")</f>
        <v/>
      </c>
      <c r="F11" s="43">
        <f>SUMIFS('D Liquidität'!$D$632:$D$655,'D Liquidität'!$A$632:$A$655,Steuerung!$F$6,'D Liquidität'!$B$632:$B$655,C11)+SUMIFS('FC Eingabe'!$H$7:$H$506,'FC Eingabe'!$C$7:$C$506,Steuerung!$F$6,'FC Eingabe'!$D$7:$D$506,C11,'FC Eingabe'!$K$7:$K$506,"Wirksam")</f>
        <v/>
      </c>
      <c r="G11" s="43">
        <f>SUMIFS('D Liquidität'!$E$632:$E$655,'D Liquidität'!$A$632:$A$655,Steuerung!$F$6,'D Liquidität'!$B$632:$B$655,C11)+SUMIFS('FC Eingabe'!$G$7:$G$506,'FC Eingabe'!$C$7:$C$506,Steuerung!$F$6,'FC Eingabe'!$D$7:$D$506,C11,'FC Eingabe'!$K$7:$K$506,"Wirksam")+SUMIFS('FC Eingabe'!$H$7:$H$506,'FC Eingabe'!$C$7:$C$506,Steuerung!$F$6,'FC Eingabe'!$D$7:$D$506,C11,'FC Eingabe'!$K$7:$K$506,"Wirksam")-SUMIFS('FC Eingabe'!$I$7:$I$506,'FC Eingabe'!$C$7:$C$506,Steuerung!$F$6,'FC Eingabe'!$D$7:$D$506,C11,'FC Eingabe'!$K$7:$K$506,"Wirksam")</f>
        <v/>
      </c>
      <c r="H11" s="17">
        <f>SUM(E11:F11)-G11</f>
        <v/>
      </c>
      <c r="I11" s="43">
        <f>IF(D11="IST","",IF(C11=Steuerung!$F$50,Steuerung!$F$51,Q10))</f>
        <v/>
      </c>
      <c r="J11" s="43">
        <f>IF(D11="IST","",IF(C11-ROUND(Steuerung!$F$36/Steuerung!$F$40,0)&lt;1,"n.a.",INDEX($E$7:$E$18,C11-ROUND(Steuerung!$F$36/Steuerung!$F$40,0))))</f>
        <v/>
      </c>
      <c r="K11" s="43">
        <f>IF(D11="IST","",Steuerung!$F$38)</f>
        <v/>
      </c>
      <c r="L11" s="43">
        <f>IF(D11="IST","",SUMIFS('D Liquidität'!$D$674:$D$676,'D Liquidität'!$A$674:$A$676,Steuerung!$F$6,'D Liquidität'!$B$674:$B$676,C11))</f>
        <v/>
      </c>
      <c r="M11" s="43">
        <f>IF(D11="IST","",SUMIFS('D Liquidität'!$D$91:$D$191,'D Liquidität'!$A$91:$A$191,Steuerung!$F$6,'D Liquidität'!$B$91:$B$191,C11,'D Liquidität'!$I$91:$I$191,"&lt;&gt;CHANCE",'D Liquidität'!$H$91:$H$191,"&lt;&gt;ERLEDIGT",'D Liquidität'!$H$91:$H$191,"&lt;&gt;GEZAHLT",'D Liquidität'!$H$91:$H$191,"&lt;&gt;STORNIERT",'D Liquidität'!$H$91:$H$191,"&lt;&gt;VERLOREN",'D Liquidität'!$D$91:$D$191,"&gt;0"))</f>
        <v/>
      </c>
      <c r="N11" s="43">
        <f>IF(D11="IST","",IF(C11-ROUND(Steuerung!$F$37/Steuerung!$F$40,0)&lt;1,"n.a.",INDEX($H$7:$H$18,C11-ROUND(Steuerung!$F$37/Steuerung!$F$40,0))-Steuerung!$F$41-Steuerung!$F$42))</f>
        <v/>
      </c>
      <c r="O11" s="43">
        <f>IF(D11="IST","",Steuerung!$F$41+Steuerung!$F$43+Steuerung!$F$45+Steuerung!$F$46)</f>
        <v/>
      </c>
      <c r="P11" s="43">
        <f>IF(D11="IST","",SUMIFS('D Liquidität'!$D$91:$D$191,'D Liquidität'!$A$91:$A$191,Steuerung!$F$6,'D Liquidität'!$B$91:$B$191,C11,'D Liquidität'!$I$91:$I$191,"&lt;&gt;CHANCE",'D Liquidität'!$H$91:$H$191,"&lt;&gt;ERLEDIGT",'D Liquidität'!$H$91:$H$191,"&lt;&gt;GEZAHLT",'D Liquidität'!$H$91:$H$191,"&lt;&gt;STORNIERT",'D Liquidität'!$H$91:$H$191,"&lt;&gt;VERLOREN",'D Liquidität'!$D$91:$D$191,"&lt;0"))</f>
        <v/>
      </c>
      <c r="Q11" s="17">
        <f>IF(D11="IST","",IF(OR(J11="n.a.",N11="n.a."),"n.a.",SUM(I11:M11)-SUM(N11:O11)+P11))</f>
        <v/>
      </c>
      <c r="R11" s="43">
        <f>IF(COUNTIFS('D Liquidität'!$A$661:$A$668,Steuerung!$F$6,'D Liquidität'!$B$661:$B$668,C11)=0,"",SUMIFS('D Liquidität'!$C$661:$C$668,'D Liquidität'!$A$661:$A$668,Steuerung!$F$6,'D Liquidität'!$B$661:$B$668,C11))</f>
        <v/>
      </c>
      <c r="S11" s="48" t="n"/>
      <c r="T11" s="48" t="n"/>
    </row>
    <row r="12">
      <c r="A12" s="48" t="n"/>
      <c r="B12" s="48" t="n"/>
      <c r="C12" s="48" t="n">
        <v>6</v>
      </c>
      <c r="D12" s="42">
        <f>IF(C12&lt;Steuerung!$F$50,"IST","PLAN")</f>
        <v/>
      </c>
      <c r="E12" s="43">
        <f>SUMIFS('D Liquidität'!$C$632:$C$655,'D Liquidität'!$A$632:$A$655,Steuerung!$F$6,'D Liquidität'!$B$632:$B$655,C12)+SUMIFS('FC Eingabe'!$G$7:$G$506,'FC Eingabe'!$C$7:$C$506,Steuerung!$F$6,'FC Eingabe'!$D$7:$D$506,C12,'FC Eingabe'!$K$7:$K$506,"Wirksam")</f>
        <v/>
      </c>
      <c r="F12" s="43">
        <f>SUMIFS('D Liquidität'!$D$632:$D$655,'D Liquidität'!$A$632:$A$655,Steuerung!$F$6,'D Liquidität'!$B$632:$B$655,C12)+SUMIFS('FC Eingabe'!$H$7:$H$506,'FC Eingabe'!$C$7:$C$506,Steuerung!$F$6,'FC Eingabe'!$D$7:$D$506,C12,'FC Eingabe'!$K$7:$K$506,"Wirksam")</f>
        <v/>
      </c>
      <c r="G12" s="43">
        <f>SUMIFS('D Liquidität'!$E$632:$E$655,'D Liquidität'!$A$632:$A$655,Steuerung!$F$6,'D Liquidität'!$B$632:$B$655,C12)+SUMIFS('FC Eingabe'!$G$7:$G$506,'FC Eingabe'!$C$7:$C$506,Steuerung!$F$6,'FC Eingabe'!$D$7:$D$506,C12,'FC Eingabe'!$K$7:$K$506,"Wirksam")+SUMIFS('FC Eingabe'!$H$7:$H$506,'FC Eingabe'!$C$7:$C$506,Steuerung!$F$6,'FC Eingabe'!$D$7:$D$506,C12,'FC Eingabe'!$K$7:$K$506,"Wirksam")-SUMIFS('FC Eingabe'!$I$7:$I$506,'FC Eingabe'!$C$7:$C$506,Steuerung!$F$6,'FC Eingabe'!$D$7:$D$506,C12,'FC Eingabe'!$K$7:$K$506,"Wirksam")</f>
        <v/>
      </c>
      <c r="H12" s="17">
        <f>SUM(E12:F12)-G12</f>
        <v/>
      </c>
      <c r="I12" s="43">
        <f>IF(D12="IST","",IF(C12=Steuerung!$F$50,Steuerung!$F$51,Q11))</f>
        <v/>
      </c>
      <c r="J12" s="43">
        <f>IF(D12="IST","",IF(C12-ROUND(Steuerung!$F$36/Steuerung!$F$40,0)&lt;1,"n.a.",INDEX($E$7:$E$18,C12-ROUND(Steuerung!$F$36/Steuerung!$F$40,0))))</f>
        <v/>
      </c>
      <c r="K12" s="43">
        <f>IF(D12="IST","",Steuerung!$F$38)</f>
        <v/>
      </c>
      <c r="L12" s="43">
        <f>IF(D12="IST","",SUMIFS('D Liquidität'!$D$674:$D$676,'D Liquidität'!$A$674:$A$676,Steuerung!$F$6,'D Liquidität'!$B$674:$B$676,C12))</f>
        <v/>
      </c>
      <c r="M12" s="43">
        <f>IF(D12="IST","",SUMIFS('D Liquidität'!$D$91:$D$191,'D Liquidität'!$A$91:$A$191,Steuerung!$F$6,'D Liquidität'!$B$91:$B$191,C12,'D Liquidität'!$I$91:$I$191,"&lt;&gt;CHANCE",'D Liquidität'!$H$91:$H$191,"&lt;&gt;ERLEDIGT",'D Liquidität'!$H$91:$H$191,"&lt;&gt;GEZAHLT",'D Liquidität'!$H$91:$H$191,"&lt;&gt;STORNIERT",'D Liquidität'!$H$91:$H$191,"&lt;&gt;VERLOREN",'D Liquidität'!$D$91:$D$191,"&gt;0"))</f>
        <v/>
      </c>
      <c r="N12" s="43">
        <f>IF(D12="IST","",IF(C12-ROUND(Steuerung!$F$37/Steuerung!$F$40,0)&lt;1,"n.a.",INDEX($H$7:$H$18,C12-ROUND(Steuerung!$F$37/Steuerung!$F$40,0))-Steuerung!$F$41-Steuerung!$F$42))</f>
        <v/>
      </c>
      <c r="O12" s="43">
        <f>IF(D12="IST","",Steuerung!$F$41+Steuerung!$F$43+Steuerung!$F$45+Steuerung!$F$46)</f>
        <v/>
      </c>
      <c r="P12" s="43">
        <f>IF(D12="IST","",SUMIFS('D Liquidität'!$D$91:$D$191,'D Liquidität'!$A$91:$A$191,Steuerung!$F$6,'D Liquidität'!$B$91:$B$191,C12,'D Liquidität'!$I$91:$I$191,"&lt;&gt;CHANCE",'D Liquidität'!$H$91:$H$191,"&lt;&gt;ERLEDIGT",'D Liquidität'!$H$91:$H$191,"&lt;&gt;GEZAHLT",'D Liquidität'!$H$91:$H$191,"&lt;&gt;STORNIERT",'D Liquidität'!$H$91:$H$191,"&lt;&gt;VERLOREN",'D Liquidität'!$D$91:$D$191,"&lt;0"))</f>
        <v/>
      </c>
      <c r="Q12" s="17">
        <f>IF(D12="IST","",IF(OR(J12="n.a.",N12="n.a."),"n.a.",SUM(I12:M12)-SUM(N12:O12)+P12))</f>
        <v/>
      </c>
      <c r="R12" s="43">
        <f>IF(COUNTIFS('D Liquidität'!$A$661:$A$668,Steuerung!$F$6,'D Liquidität'!$B$661:$B$668,C12)=0,"",SUMIFS('D Liquidität'!$C$661:$C$668,'D Liquidität'!$A$661:$A$668,Steuerung!$F$6,'D Liquidität'!$B$661:$B$668,C12))</f>
        <v/>
      </c>
      <c r="S12" s="48" t="n"/>
      <c r="T12" s="48" t="n"/>
    </row>
    <row r="13">
      <c r="A13" s="48" t="n"/>
      <c r="B13" s="48" t="n"/>
      <c r="C13" s="48" t="n">
        <v>7</v>
      </c>
      <c r="D13" s="42">
        <f>IF(C13&lt;Steuerung!$F$50,"IST","PLAN")</f>
        <v/>
      </c>
      <c r="E13" s="43">
        <f>SUMIFS('D Liquidität'!$C$632:$C$655,'D Liquidität'!$A$632:$A$655,Steuerung!$F$6,'D Liquidität'!$B$632:$B$655,C13)+SUMIFS('FC Eingabe'!$G$7:$G$506,'FC Eingabe'!$C$7:$C$506,Steuerung!$F$6,'FC Eingabe'!$D$7:$D$506,C13,'FC Eingabe'!$K$7:$K$506,"Wirksam")</f>
        <v/>
      </c>
      <c r="F13" s="43">
        <f>SUMIFS('D Liquidität'!$D$632:$D$655,'D Liquidität'!$A$632:$A$655,Steuerung!$F$6,'D Liquidität'!$B$632:$B$655,C13)+SUMIFS('FC Eingabe'!$H$7:$H$506,'FC Eingabe'!$C$7:$C$506,Steuerung!$F$6,'FC Eingabe'!$D$7:$D$506,C13,'FC Eingabe'!$K$7:$K$506,"Wirksam")</f>
        <v/>
      </c>
      <c r="G13" s="43">
        <f>SUMIFS('D Liquidität'!$E$632:$E$655,'D Liquidität'!$A$632:$A$655,Steuerung!$F$6,'D Liquidität'!$B$632:$B$655,C13)+SUMIFS('FC Eingabe'!$G$7:$G$506,'FC Eingabe'!$C$7:$C$506,Steuerung!$F$6,'FC Eingabe'!$D$7:$D$506,C13,'FC Eingabe'!$K$7:$K$506,"Wirksam")+SUMIFS('FC Eingabe'!$H$7:$H$506,'FC Eingabe'!$C$7:$C$506,Steuerung!$F$6,'FC Eingabe'!$D$7:$D$506,C13,'FC Eingabe'!$K$7:$K$506,"Wirksam")-SUMIFS('FC Eingabe'!$I$7:$I$506,'FC Eingabe'!$C$7:$C$506,Steuerung!$F$6,'FC Eingabe'!$D$7:$D$506,C13,'FC Eingabe'!$K$7:$K$506,"Wirksam")</f>
        <v/>
      </c>
      <c r="H13" s="17">
        <f>SUM(E13:F13)-G13</f>
        <v/>
      </c>
      <c r="I13" s="43">
        <f>IF(D13="IST","",IF(C13=Steuerung!$F$50,Steuerung!$F$51,Q12))</f>
        <v/>
      </c>
      <c r="J13" s="43">
        <f>IF(D13="IST","",IF(C13-ROUND(Steuerung!$F$36/Steuerung!$F$40,0)&lt;1,"n.a.",INDEX($E$7:$E$18,C13-ROUND(Steuerung!$F$36/Steuerung!$F$40,0))))</f>
        <v/>
      </c>
      <c r="K13" s="43">
        <f>IF(D13="IST","",Steuerung!$F$38)</f>
        <v/>
      </c>
      <c r="L13" s="43">
        <f>IF(D13="IST","",SUMIFS('D Liquidität'!$D$674:$D$676,'D Liquidität'!$A$674:$A$676,Steuerung!$F$6,'D Liquidität'!$B$674:$B$676,C13))</f>
        <v/>
      </c>
      <c r="M13" s="43">
        <f>IF(D13="IST","",SUMIFS('D Liquidität'!$D$91:$D$191,'D Liquidität'!$A$91:$A$191,Steuerung!$F$6,'D Liquidität'!$B$91:$B$191,C13,'D Liquidität'!$I$91:$I$191,"&lt;&gt;CHANCE",'D Liquidität'!$H$91:$H$191,"&lt;&gt;ERLEDIGT",'D Liquidität'!$H$91:$H$191,"&lt;&gt;GEZAHLT",'D Liquidität'!$H$91:$H$191,"&lt;&gt;STORNIERT",'D Liquidität'!$H$91:$H$191,"&lt;&gt;VERLOREN",'D Liquidität'!$D$91:$D$191,"&gt;0"))</f>
        <v/>
      </c>
      <c r="N13" s="43">
        <f>IF(D13="IST","",IF(C13-ROUND(Steuerung!$F$37/Steuerung!$F$40,0)&lt;1,"n.a.",INDEX($H$7:$H$18,C13-ROUND(Steuerung!$F$37/Steuerung!$F$40,0))-Steuerung!$F$41-Steuerung!$F$42))</f>
        <v/>
      </c>
      <c r="O13" s="43">
        <f>IF(D13="IST","",Steuerung!$F$41+Steuerung!$F$43+Steuerung!$F$45+Steuerung!$F$46)</f>
        <v/>
      </c>
      <c r="P13" s="43">
        <f>IF(D13="IST","",SUMIFS('D Liquidität'!$D$91:$D$191,'D Liquidität'!$A$91:$A$191,Steuerung!$F$6,'D Liquidität'!$B$91:$B$191,C13,'D Liquidität'!$I$91:$I$191,"&lt;&gt;CHANCE",'D Liquidität'!$H$91:$H$191,"&lt;&gt;ERLEDIGT",'D Liquidität'!$H$91:$H$191,"&lt;&gt;GEZAHLT",'D Liquidität'!$H$91:$H$191,"&lt;&gt;STORNIERT",'D Liquidität'!$H$91:$H$191,"&lt;&gt;VERLOREN",'D Liquidität'!$D$91:$D$191,"&lt;0"))</f>
        <v/>
      </c>
      <c r="Q13" s="17">
        <f>IF(D13="IST","",IF(OR(J13="n.a.",N13="n.a."),"n.a.",SUM(I13:M13)-SUM(N13:O13)+P13))</f>
        <v/>
      </c>
      <c r="R13" s="43">
        <f>IF(COUNTIFS('D Liquidität'!$A$661:$A$668,Steuerung!$F$6,'D Liquidität'!$B$661:$B$668,C13)=0,"",SUMIFS('D Liquidität'!$C$661:$C$668,'D Liquidität'!$A$661:$A$668,Steuerung!$F$6,'D Liquidität'!$B$661:$B$668,C13))</f>
        <v/>
      </c>
      <c r="S13" s="48" t="n"/>
      <c r="T13" s="48" t="n"/>
    </row>
    <row r="14">
      <c r="A14" s="48" t="n"/>
      <c r="B14" s="48" t="n"/>
      <c r="C14" s="48" t="n">
        <v>8</v>
      </c>
      <c r="D14" s="42">
        <f>IF(C14&lt;Steuerung!$F$50,"IST","PLAN")</f>
        <v/>
      </c>
      <c r="E14" s="43">
        <f>SUMIFS('D Liquidität'!$C$632:$C$655,'D Liquidität'!$A$632:$A$655,Steuerung!$F$6,'D Liquidität'!$B$632:$B$655,C14)+SUMIFS('FC Eingabe'!$G$7:$G$506,'FC Eingabe'!$C$7:$C$506,Steuerung!$F$6,'FC Eingabe'!$D$7:$D$506,C14,'FC Eingabe'!$K$7:$K$506,"Wirksam")</f>
        <v/>
      </c>
      <c r="F14" s="43">
        <f>SUMIFS('D Liquidität'!$D$632:$D$655,'D Liquidität'!$A$632:$A$655,Steuerung!$F$6,'D Liquidität'!$B$632:$B$655,C14)+SUMIFS('FC Eingabe'!$H$7:$H$506,'FC Eingabe'!$C$7:$C$506,Steuerung!$F$6,'FC Eingabe'!$D$7:$D$506,C14,'FC Eingabe'!$K$7:$K$506,"Wirksam")</f>
        <v/>
      </c>
      <c r="G14" s="43">
        <f>SUMIFS('D Liquidität'!$E$632:$E$655,'D Liquidität'!$A$632:$A$655,Steuerung!$F$6,'D Liquidität'!$B$632:$B$655,C14)+SUMIFS('FC Eingabe'!$G$7:$G$506,'FC Eingabe'!$C$7:$C$506,Steuerung!$F$6,'FC Eingabe'!$D$7:$D$506,C14,'FC Eingabe'!$K$7:$K$506,"Wirksam")+SUMIFS('FC Eingabe'!$H$7:$H$506,'FC Eingabe'!$C$7:$C$506,Steuerung!$F$6,'FC Eingabe'!$D$7:$D$506,C14,'FC Eingabe'!$K$7:$K$506,"Wirksam")-SUMIFS('FC Eingabe'!$I$7:$I$506,'FC Eingabe'!$C$7:$C$506,Steuerung!$F$6,'FC Eingabe'!$D$7:$D$506,C14,'FC Eingabe'!$K$7:$K$506,"Wirksam")</f>
        <v/>
      </c>
      <c r="H14" s="17">
        <f>SUM(E14:F14)-G14</f>
        <v/>
      </c>
      <c r="I14" s="43">
        <f>IF(D14="IST","",IF(C14=Steuerung!$F$50,Steuerung!$F$51,Q13))</f>
        <v/>
      </c>
      <c r="J14" s="43">
        <f>IF(D14="IST","",IF(C14-ROUND(Steuerung!$F$36/Steuerung!$F$40,0)&lt;1,"n.a.",INDEX($E$7:$E$18,C14-ROUND(Steuerung!$F$36/Steuerung!$F$40,0))))</f>
        <v/>
      </c>
      <c r="K14" s="43">
        <f>IF(D14="IST","",Steuerung!$F$38)</f>
        <v/>
      </c>
      <c r="L14" s="43">
        <f>IF(D14="IST","",SUMIFS('D Liquidität'!$D$674:$D$676,'D Liquidität'!$A$674:$A$676,Steuerung!$F$6,'D Liquidität'!$B$674:$B$676,C14))</f>
        <v/>
      </c>
      <c r="M14" s="43">
        <f>IF(D14="IST","",SUMIFS('D Liquidität'!$D$91:$D$191,'D Liquidität'!$A$91:$A$191,Steuerung!$F$6,'D Liquidität'!$B$91:$B$191,C14,'D Liquidität'!$I$91:$I$191,"&lt;&gt;CHANCE",'D Liquidität'!$H$91:$H$191,"&lt;&gt;ERLEDIGT",'D Liquidität'!$H$91:$H$191,"&lt;&gt;GEZAHLT",'D Liquidität'!$H$91:$H$191,"&lt;&gt;STORNIERT",'D Liquidität'!$H$91:$H$191,"&lt;&gt;VERLOREN",'D Liquidität'!$D$91:$D$191,"&gt;0"))</f>
        <v/>
      </c>
      <c r="N14" s="43">
        <f>IF(D14="IST","",IF(C14-ROUND(Steuerung!$F$37/Steuerung!$F$40,0)&lt;1,"n.a.",INDEX($H$7:$H$18,C14-ROUND(Steuerung!$F$37/Steuerung!$F$40,0))-Steuerung!$F$41-Steuerung!$F$42))</f>
        <v/>
      </c>
      <c r="O14" s="43">
        <f>IF(D14="IST","",Steuerung!$F$41+Steuerung!$F$43+Steuerung!$F$45+Steuerung!$F$46)</f>
        <v/>
      </c>
      <c r="P14" s="43">
        <f>IF(D14="IST","",SUMIFS('D Liquidität'!$D$91:$D$191,'D Liquidität'!$A$91:$A$191,Steuerung!$F$6,'D Liquidität'!$B$91:$B$191,C14,'D Liquidität'!$I$91:$I$191,"&lt;&gt;CHANCE",'D Liquidität'!$H$91:$H$191,"&lt;&gt;ERLEDIGT",'D Liquidität'!$H$91:$H$191,"&lt;&gt;GEZAHLT",'D Liquidität'!$H$91:$H$191,"&lt;&gt;STORNIERT",'D Liquidität'!$H$91:$H$191,"&lt;&gt;VERLOREN",'D Liquidität'!$D$91:$D$191,"&lt;0"))</f>
        <v/>
      </c>
      <c r="Q14" s="17">
        <f>IF(D14="IST","",IF(OR(J14="n.a.",N14="n.a."),"n.a.",SUM(I14:M14)-SUM(N14:O14)+P14))</f>
        <v/>
      </c>
      <c r="R14" s="43">
        <f>IF(COUNTIFS('D Liquidität'!$A$661:$A$668,Steuerung!$F$6,'D Liquidität'!$B$661:$B$668,C14)=0,"",SUMIFS('D Liquidität'!$C$661:$C$668,'D Liquidität'!$A$661:$A$668,Steuerung!$F$6,'D Liquidität'!$B$661:$B$668,C14))</f>
        <v/>
      </c>
      <c r="S14" s="48" t="n"/>
      <c r="T14" s="48" t="n"/>
    </row>
    <row r="15">
      <c r="A15" s="48" t="n"/>
      <c r="B15" s="48" t="n"/>
      <c r="C15" s="48" t="n">
        <v>9</v>
      </c>
      <c r="D15" s="42">
        <f>IF(C15&lt;Steuerung!$F$50,"IST","PLAN")</f>
        <v/>
      </c>
      <c r="E15" s="43">
        <f>SUMIFS('D Liquidität'!$C$632:$C$655,'D Liquidität'!$A$632:$A$655,Steuerung!$F$6,'D Liquidität'!$B$632:$B$655,C15)+SUMIFS('FC Eingabe'!$G$7:$G$506,'FC Eingabe'!$C$7:$C$506,Steuerung!$F$6,'FC Eingabe'!$D$7:$D$506,C15,'FC Eingabe'!$K$7:$K$506,"Wirksam")</f>
        <v/>
      </c>
      <c r="F15" s="43">
        <f>SUMIFS('D Liquidität'!$D$632:$D$655,'D Liquidität'!$A$632:$A$655,Steuerung!$F$6,'D Liquidität'!$B$632:$B$655,C15)+SUMIFS('FC Eingabe'!$H$7:$H$506,'FC Eingabe'!$C$7:$C$506,Steuerung!$F$6,'FC Eingabe'!$D$7:$D$506,C15,'FC Eingabe'!$K$7:$K$506,"Wirksam")</f>
        <v/>
      </c>
      <c r="G15" s="43">
        <f>SUMIFS('D Liquidität'!$E$632:$E$655,'D Liquidität'!$A$632:$A$655,Steuerung!$F$6,'D Liquidität'!$B$632:$B$655,C15)+SUMIFS('FC Eingabe'!$G$7:$G$506,'FC Eingabe'!$C$7:$C$506,Steuerung!$F$6,'FC Eingabe'!$D$7:$D$506,C15,'FC Eingabe'!$K$7:$K$506,"Wirksam")+SUMIFS('FC Eingabe'!$H$7:$H$506,'FC Eingabe'!$C$7:$C$506,Steuerung!$F$6,'FC Eingabe'!$D$7:$D$506,C15,'FC Eingabe'!$K$7:$K$506,"Wirksam")-SUMIFS('FC Eingabe'!$I$7:$I$506,'FC Eingabe'!$C$7:$C$506,Steuerung!$F$6,'FC Eingabe'!$D$7:$D$506,C15,'FC Eingabe'!$K$7:$K$506,"Wirksam")</f>
        <v/>
      </c>
      <c r="H15" s="17">
        <f>SUM(E15:F15)-G15</f>
        <v/>
      </c>
      <c r="I15" s="43">
        <f>IF(D15="IST","",IF(C15=Steuerung!$F$50,Steuerung!$F$51,Q14))</f>
        <v/>
      </c>
      <c r="J15" s="43">
        <f>IF(D15="IST","",IF(C15-ROUND(Steuerung!$F$36/Steuerung!$F$40,0)&lt;1,"n.a.",INDEX($E$7:$E$18,C15-ROUND(Steuerung!$F$36/Steuerung!$F$40,0))))</f>
        <v/>
      </c>
      <c r="K15" s="43">
        <f>IF(D15="IST","",Steuerung!$F$38)</f>
        <v/>
      </c>
      <c r="L15" s="43">
        <f>IF(D15="IST","",SUMIFS('D Liquidität'!$D$674:$D$676,'D Liquidität'!$A$674:$A$676,Steuerung!$F$6,'D Liquidität'!$B$674:$B$676,C15))</f>
        <v/>
      </c>
      <c r="M15" s="43">
        <f>IF(D15="IST","",SUMIFS('D Liquidität'!$D$91:$D$191,'D Liquidität'!$A$91:$A$191,Steuerung!$F$6,'D Liquidität'!$B$91:$B$191,C15,'D Liquidität'!$I$91:$I$191,"&lt;&gt;CHANCE",'D Liquidität'!$H$91:$H$191,"&lt;&gt;ERLEDIGT",'D Liquidität'!$H$91:$H$191,"&lt;&gt;GEZAHLT",'D Liquidität'!$H$91:$H$191,"&lt;&gt;STORNIERT",'D Liquidität'!$H$91:$H$191,"&lt;&gt;VERLOREN",'D Liquidität'!$D$91:$D$191,"&gt;0"))</f>
        <v/>
      </c>
      <c r="N15" s="43">
        <f>IF(D15="IST","",IF(C15-ROUND(Steuerung!$F$37/Steuerung!$F$40,0)&lt;1,"n.a.",INDEX($H$7:$H$18,C15-ROUND(Steuerung!$F$37/Steuerung!$F$40,0))-Steuerung!$F$41-Steuerung!$F$42))</f>
        <v/>
      </c>
      <c r="O15" s="43">
        <f>IF(D15="IST","",Steuerung!$F$41+Steuerung!$F$43+Steuerung!$F$45+Steuerung!$F$46)</f>
        <v/>
      </c>
      <c r="P15" s="43">
        <f>IF(D15="IST","",SUMIFS('D Liquidität'!$D$91:$D$191,'D Liquidität'!$A$91:$A$191,Steuerung!$F$6,'D Liquidität'!$B$91:$B$191,C15,'D Liquidität'!$I$91:$I$191,"&lt;&gt;CHANCE",'D Liquidität'!$H$91:$H$191,"&lt;&gt;ERLEDIGT",'D Liquidität'!$H$91:$H$191,"&lt;&gt;GEZAHLT",'D Liquidität'!$H$91:$H$191,"&lt;&gt;STORNIERT",'D Liquidität'!$H$91:$H$191,"&lt;&gt;VERLOREN",'D Liquidität'!$D$91:$D$191,"&lt;0"))</f>
        <v/>
      </c>
      <c r="Q15" s="17">
        <f>IF(D15="IST","",IF(OR(J15="n.a.",N15="n.a."),"n.a.",SUM(I15:M15)-SUM(N15:O15)+P15))</f>
        <v/>
      </c>
      <c r="R15" s="43">
        <f>IF(COUNTIFS('D Liquidität'!$A$661:$A$668,Steuerung!$F$6,'D Liquidität'!$B$661:$B$668,C15)=0,"",SUMIFS('D Liquidität'!$C$661:$C$668,'D Liquidität'!$A$661:$A$668,Steuerung!$F$6,'D Liquidität'!$B$661:$B$668,C15))</f>
        <v/>
      </c>
      <c r="S15" s="48" t="n"/>
      <c r="T15" s="48" t="n"/>
    </row>
    <row r="16">
      <c r="A16" s="48" t="n"/>
      <c r="B16" s="48" t="n"/>
      <c r="C16" s="48" t="n">
        <v>10</v>
      </c>
      <c r="D16" s="42">
        <f>IF(C16&lt;Steuerung!$F$50,"IST","PLAN")</f>
        <v/>
      </c>
      <c r="E16" s="43">
        <f>SUMIFS('D Liquidität'!$C$632:$C$655,'D Liquidität'!$A$632:$A$655,Steuerung!$F$6,'D Liquidität'!$B$632:$B$655,C16)+SUMIFS('FC Eingabe'!$G$7:$G$506,'FC Eingabe'!$C$7:$C$506,Steuerung!$F$6,'FC Eingabe'!$D$7:$D$506,C16,'FC Eingabe'!$K$7:$K$506,"Wirksam")</f>
        <v/>
      </c>
      <c r="F16" s="43">
        <f>SUMIFS('D Liquidität'!$D$632:$D$655,'D Liquidität'!$A$632:$A$655,Steuerung!$F$6,'D Liquidität'!$B$632:$B$655,C16)+SUMIFS('FC Eingabe'!$H$7:$H$506,'FC Eingabe'!$C$7:$C$506,Steuerung!$F$6,'FC Eingabe'!$D$7:$D$506,C16,'FC Eingabe'!$K$7:$K$506,"Wirksam")</f>
        <v/>
      </c>
      <c r="G16" s="43">
        <f>SUMIFS('D Liquidität'!$E$632:$E$655,'D Liquidität'!$A$632:$A$655,Steuerung!$F$6,'D Liquidität'!$B$632:$B$655,C16)+SUMIFS('FC Eingabe'!$G$7:$G$506,'FC Eingabe'!$C$7:$C$506,Steuerung!$F$6,'FC Eingabe'!$D$7:$D$506,C16,'FC Eingabe'!$K$7:$K$506,"Wirksam")+SUMIFS('FC Eingabe'!$H$7:$H$506,'FC Eingabe'!$C$7:$C$506,Steuerung!$F$6,'FC Eingabe'!$D$7:$D$506,C16,'FC Eingabe'!$K$7:$K$506,"Wirksam")-SUMIFS('FC Eingabe'!$I$7:$I$506,'FC Eingabe'!$C$7:$C$506,Steuerung!$F$6,'FC Eingabe'!$D$7:$D$506,C16,'FC Eingabe'!$K$7:$K$506,"Wirksam")</f>
        <v/>
      </c>
      <c r="H16" s="17">
        <f>SUM(E16:F16)-G16</f>
        <v/>
      </c>
      <c r="I16" s="43">
        <f>IF(D16="IST","",IF(C16=Steuerung!$F$50,Steuerung!$F$51,Q15))</f>
        <v/>
      </c>
      <c r="J16" s="43">
        <f>IF(D16="IST","",IF(C16-ROUND(Steuerung!$F$36/Steuerung!$F$40,0)&lt;1,"n.a.",INDEX($E$7:$E$18,C16-ROUND(Steuerung!$F$36/Steuerung!$F$40,0))))</f>
        <v/>
      </c>
      <c r="K16" s="43">
        <f>IF(D16="IST","",Steuerung!$F$38)</f>
        <v/>
      </c>
      <c r="L16" s="43">
        <f>IF(D16="IST","",SUMIFS('D Liquidität'!$D$674:$D$676,'D Liquidität'!$A$674:$A$676,Steuerung!$F$6,'D Liquidität'!$B$674:$B$676,C16))</f>
        <v/>
      </c>
      <c r="M16" s="43">
        <f>IF(D16="IST","",SUMIFS('D Liquidität'!$D$91:$D$191,'D Liquidität'!$A$91:$A$191,Steuerung!$F$6,'D Liquidität'!$B$91:$B$191,C16,'D Liquidität'!$I$91:$I$191,"&lt;&gt;CHANCE",'D Liquidität'!$H$91:$H$191,"&lt;&gt;ERLEDIGT",'D Liquidität'!$H$91:$H$191,"&lt;&gt;GEZAHLT",'D Liquidität'!$H$91:$H$191,"&lt;&gt;STORNIERT",'D Liquidität'!$H$91:$H$191,"&lt;&gt;VERLOREN",'D Liquidität'!$D$91:$D$191,"&gt;0"))</f>
        <v/>
      </c>
      <c r="N16" s="43">
        <f>IF(D16="IST","",IF(C16-ROUND(Steuerung!$F$37/Steuerung!$F$40,0)&lt;1,"n.a.",INDEX($H$7:$H$18,C16-ROUND(Steuerung!$F$37/Steuerung!$F$40,0))-Steuerung!$F$41-Steuerung!$F$42))</f>
        <v/>
      </c>
      <c r="O16" s="43">
        <f>IF(D16="IST","",Steuerung!$F$41+Steuerung!$F$43+Steuerung!$F$45+Steuerung!$F$46)</f>
        <v/>
      </c>
      <c r="P16" s="43">
        <f>IF(D16="IST","",SUMIFS('D Liquidität'!$D$91:$D$191,'D Liquidität'!$A$91:$A$191,Steuerung!$F$6,'D Liquidität'!$B$91:$B$191,C16,'D Liquidität'!$I$91:$I$191,"&lt;&gt;CHANCE",'D Liquidität'!$H$91:$H$191,"&lt;&gt;ERLEDIGT",'D Liquidität'!$H$91:$H$191,"&lt;&gt;GEZAHLT",'D Liquidität'!$H$91:$H$191,"&lt;&gt;STORNIERT",'D Liquidität'!$H$91:$H$191,"&lt;&gt;VERLOREN",'D Liquidität'!$D$91:$D$191,"&lt;0"))</f>
        <v/>
      </c>
      <c r="Q16" s="17">
        <f>IF(D16="IST","",IF(OR(J16="n.a.",N16="n.a."),"n.a.",SUM(I16:M16)-SUM(N16:O16)+P16))</f>
        <v/>
      </c>
      <c r="R16" s="43">
        <f>IF(COUNTIFS('D Liquidität'!$A$661:$A$668,Steuerung!$F$6,'D Liquidität'!$B$661:$B$668,C16)=0,"",SUMIFS('D Liquidität'!$C$661:$C$668,'D Liquidität'!$A$661:$A$668,Steuerung!$F$6,'D Liquidität'!$B$661:$B$668,C16))</f>
        <v/>
      </c>
      <c r="S16" s="48" t="n"/>
      <c r="T16" s="48" t="n"/>
    </row>
    <row r="17">
      <c r="A17" s="48" t="n"/>
      <c r="B17" s="48" t="n"/>
      <c r="C17" s="48" t="n">
        <v>11</v>
      </c>
      <c r="D17" s="42">
        <f>IF(C17&lt;Steuerung!$F$50,"IST","PLAN")</f>
        <v/>
      </c>
      <c r="E17" s="43">
        <f>SUMIFS('D Liquidität'!$C$632:$C$655,'D Liquidität'!$A$632:$A$655,Steuerung!$F$6,'D Liquidität'!$B$632:$B$655,C17)+SUMIFS('FC Eingabe'!$G$7:$G$506,'FC Eingabe'!$C$7:$C$506,Steuerung!$F$6,'FC Eingabe'!$D$7:$D$506,C17,'FC Eingabe'!$K$7:$K$506,"Wirksam")</f>
        <v/>
      </c>
      <c r="F17" s="43">
        <f>SUMIFS('D Liquidität'!$D$632:$D$655,'D Liquidität'!$A$632:$A$655,Steuerung!$F$6,'D Liquidität'!$B$632:$B$655,C17)+SUMIFS('FC Eingabe'!$H$7:$H$506,'FC Eingabe'!$C$7:$C$506,Steuerung!$F$6,'FC Eingabe'!$D$7:$D$506,C17,'FC Eingabe'!$K$7:$K$506,"Wirksam")</f>
        <v/>
      </c>
      <c r="G17" s="43">
        <f>SUMIFS('D Liquidität'!$E$632:$E$655,'D Liquidität'!$A$632:$A$655,Steuerung!$F$6,'D Liquidität'!$B$632:$B$655,C17)+SUMIFS('FC Eingabe'!$G$7:$G$506,'FC Eingabe'!$C$7:$C$506,Steuerung!$F$6,'FC Eingabe'!$D$7:$D$506,C17,'FC Eingabe'!$K$7:$K$506,"Wirksam")+SUMIFS('FC Eingabe'!$H$7:$H$506,'FC Eingabe'!$C$7:$C$506,Steuerung!$F$6,'FC Eingabe'!$D$7:$D$506,C17,'FC Eingabe'!$K$7:$K$506,"Wirksam")-SUMIFS('FC Eingabe'!$I$7:$I$506,'FC Eingabe'!$C$7:$C$506,Steuerung!$F$6,'FC Eingabe'!$D$7:$D$506,C17,'FC Eingabe'!$K$7:$K$506,"Wirksam")</f>
        <v/>
      </c>
      <c r="H17" s="17">
        <f>SUM(E17:F17)-G17</f>
        <v/>
      </c>
      <c r="I17" s="43">
        <f>IF(D17="IST","",IF(C17=Steuerung!$F$50,Steuerung!$F$51,Q16))</f>
        <v/>
      </c>
      <c r="J17" s="43">
        <f>IF(D17="IST","",IF(C17-ROUND(Steuerung!$F$36/Steuerung!$F$40,0)&lt;1,"n.a.",INDEX($E$7:$E$18,C17-ROUND(Steuerung!$F$36/Steuerung!$F$40,0))))</f>
        <v/>
      </c>
      <c r="K17" s="43">
        <f>IF(D17="IST","",Steuerung!$F$38)</f>
        <v/>
      </c>
      <c r="L17" s="43">
        <f>IF(D17="IST","",SUMIFS('D Liquidität'!$D$674:$D$676,'D Liquidität'!$A$674:$A$676,Steuerung!$F$6,'D Liquidität'!$B$674:$B$676,C17))</f>
        <v/>
      </c>
      <c r="M17" s="43">
        <f>IF(D17="IST","",SUMIFS('D Liquidität'!$D$91:$D$191,'D Liquidität'!$A$91:$A$191,Steuerung!$F$6,'D Liquidität'!$B$91:$B$191,C17,'D Liquidität'!$I$91:$I$191,"&lt;&gt;CHANCE",'D Liquidität'!$H$91:$H$191,"&lt;&gt;ERLEDIGT",'D Liquidität'!$H$91:$H$191,"&lt;&gt;GEZAHLT",'D Liquidität'!$H$91:$H$191,"&lt;&gt;STORNIERT",'D Liquidität'!$H$91:$H$191,"&lt;&gt;VERLOREN",'D Liquidität'!$D$91:$D$191,"&gt;0"))</f>
        <v/>
      </c>
      <c r="N17" s="43">
        <f>IF(D17="IST","",IF(C17-ROUND(Steuerung!$F$37/Steuerung!$F$40,0)&lt;1,"n.a.",INDEX($H$7:$H$18,C17-ROUND(Steuerung!$F$37/Steuerung!$F$40,0))-Steuerung!$F$41-Steuerung!$F$42))</f>
        <v/>
      </c>
      <c r="O17" s="43">
        <f>IF(D17="IST","",Steuerung!$F$41+Steuerung!$F$43+Steuerung!$F$45+Steuerung!$F$46)</f>
        <v/>
      </c>
      <c r="P17" s="43">
        <f>IF(D17="IST","",SUMIFS('D Liquidität'!$D$91:$D$191,'D Liquidität'!$A$91:$A$191,Steuerung!$F$6,'D Liquidität'!$B$91:$B$191,C17,'D Liquidität'!$I$91:$I$191,"&lt;&gt;CHANCE",'D Liquidität'!$H$91:$H$191,"&lt;&gt;ERLEDIGT",'D Liquidität'!$H$91:$H$191,"&lt;&gt;GEZAHLT",'D Liquidität'!$H$91:$H$191,"&lt;&gt;STORNIERT",'D Liquidität'!$H$91:$H$191,"&lt;&gt;VERLOREN",'D Liquidität'!$D$91:$D$191,"&lt;0"))</f>
        <v/>
      </c>
      <c r="Q17" s="17">
        <f>IF(D17="IST","",IF(OR(J17="n.a.",N17="n.a."),"n.a.",SUM(I17:M17)-SUM(N17:O17)+P17))</f>
        <v/>
      </c>
      <c r="R17" s="43">
        <f>IF(COUNTIFS('D Liquidität'!$A$661:$A$668,Steuerung!$F$6,'D Liquidität'!$B$661:$B$668,C17)=0,"",SUMIFS('D Liquidität'!$C$661:$C$668,'D Liquidität'!$A$661:$A$668,Steuerung!$F$6,'D Liquidität'!$B$661:$B$668,C17))</f>
        <v/>
      </c>
      <c r="S17" s="48" t="n"/>
      <c r="T17" s="48" t="n"/>
    </row>
    <row r="18">
      <c r="A18" s="48" t="n"/>
      <c r="B18" s="48" t="n"/>
      <c r="C18" s="48" t="n">
        <v>12</v>
      </c>
      <c r="D18" s="42">
        <f>IF(C18&lt;Steuerung!$F$50,"IST","PLAN")</f>
        <v/>
      </c>
      <c r="E18" s="43">
        <f>SUMIFS('D Liquidität'!$C$632:$C$655,'D Liquidität'!$A$632:$A$655,Steuerung!$F$6,'D Liquidität'!$B$632:$B$655,C18)+SUMIFS('FC Eingabe'!$G$7:$G$506,'FC Eingabe'!$C$7:$C$506,Steuerung!$F$6,'FC Eingabe'!$D$7:$D$506,C18,'FC Eingabe'!$K$7:$K$506,"Wirksam")</f>
        <v/>
      </c>
      <c r="F18" s="43">
        <f>SUMIFS('D Liquidität'!$D$632:$D$655,'D Liquidität'!$A$632:$A$655,Steuerung!$F$6,'D Liquidität'!$B$632:$B$655,C18)+SUMIFS('FC Eingabe'!$H$7:$H$506,'FC Eingabe'!$C$7:$C$506,Steuerung!$F$6,'FC Eingabe'!$D$7:$D$506,C18,'FC Eingabe'!$K$7:$K$506,"Wirksam")</f>
        <v/>
      </c>
      <c r="G18" s="43">
        <f>SUMIFS('D Liquidität'!$E$632:$E$655,'D Liquidität'!$A$632:$A$655,Steuerung!$F$6,'D Liquidität'!$B$632:$B$655,C18)+SUMIFS('FC Eingabe'!$G$7:$G$506,'FC Eingabe'!$C$7:$C$506,Steuerung!$F$6,'FC Eingabe'!$D$7:$D$506,C18,'FC Eingabe'!$K$7:$K$506,"Wirksam")+SUMIFS('FC Eingabe'!$H$7:$H$506,'FC Eingabe'!$C$7:$C$506,Steuerung!$F$6,'FC Eingabe'!$D$7:$D$506,C18,'FC Eingabe'!$K$7:$K$506,"Wirksam")-SUMIFS('FC Eingabe'!$I$7:$I$506,'FC Eingabe'!$C$7:$C$506,Steuerung!$F$6,'FC Eingabe'!$D$7:$D$506,C18,'FC Eingabe'!$K$7:$K$506,"Wirksam")</f>
        <v/>
      </c>
      <c r="H18" s="17">
        <f>SUM(E18:F18)-G18</f>
        <v/>
      </c>
      <c r="I18" s="43">
        <f>IF(D18="IST","",IF(C18=Steuerung!$F$50,Steuerung!$F$51,Q17))</f>
        <v/>
      </c>
      <c r="J18" s="43">
        <f>IF(D18="IST","",IF(C18-ROUND(Steuerung!$F$36/Steuerung!$F$40,0)&lt;1,"n.a.",INDEX($E$7:$E$18,C18-ROUND(Steuerung!$F$36/Steuerung!$F$40,0))))</f>
        <v/>
      </c>
      <c r="K18" s="43">
        <f>IF(D18="IST","",Steuerung!$F$38)</f>
        <v/>
      </c>
      <c r="L18" s="43">
        <f>IF(D18="IST","",SUMIFS('D Liquidität'!$D$674:$D$676,'D Liquidität'!$A$674:$A$676,Steuerung!$F$6,'D Liquidität'!$B$674:$B$676,C18))</f>
        <v/>
      </c>
      <c r="M18" s="43">
        <f>IF(D18="IST","",SUMIFS('D Liquidität'!$D$91:$D$191,'D Liquidität'!$A$91:$A$191,Steuerung!$F$6,'D Liquidität'!$B$91:$B$191,C18,'D Liquidität'!$I$91:$I$191,"&lt;&gt;CHANCE",'D Liquidität'!$H$91:$H$191,"&lt;&gt;ERLEDIGT",'D Liquidität'!$H$91:$H$191,"&lt;&gt;GEZAHLT",'D Liquidität'!$H$91:$H$191,"&lt;&gt;STORNIERT",'D Liquidität'!$H$91:$H$191,"&lt;&gt;VERLOREN",'D Liquidität'!$D$91:$D$191,"&gt;0"))</f>
        <v/>
      </c>
      <c r="N18" s="43">
        <f>IF(D18="IST","",IF(C18-ROUND(Steuerung!$F$37/Steuerung!$F$40,0)&lt;1,"n.a.",INDEX($H$7:$H$18,C18-ROUND(Steuerung!$F$37/Steuerung!$F$40,0))-Steuerung!$F$41-Steuerung!$F$42))</f>
        <v/>
      </c>
      <c r="O18" s="43">
        <f>IF(D18="IST","",Steuerung!$F$41+Steuerung!$F$43+Steuerung!$F$45+Steuerung!$F$46)</f>
        <v/>
      </c>
      <c r="P18" s="43">
        <f>IF(D18="IST","",SUMIFS('D Liquidität'!$D$91:$D$191,'D Liquidität'!$A$91:$A$191,Steuerung!$F$6,'D Liquidität'!$B$91:$B$191,C18,'D Liquidität'!$I$91:$I$191,"&lt;&gt;CHANCE",'D Liquidität'!$H$91:$H$191,"&lt;&gt;ERLEDIGT",'D Liquidität'!$H$91:$H$191,"&lt;&gt;GEZAHLT",'D Liquidität'!$H$91:$H$191,"&lt;&gt;STORNIERT",'D Liquidität'!$H$91:$H$191,"&lt;&gt;VERLOREN",'D Liquidität'!$D$91:$D$191,"&lt;0"))</f>
        <v/>
      </c>
      <c r="Q18" s="17">
        <f>IF(D18="IST","",IF(OR(J18="n.a.",N18="n.a."),"n.a.",SUM(I18:M18)-SUM(N18:O18)+P18))</f>
        <v/>
      </c>
      <c r="R18" s="43">
        <f>IF(COUNTIFS('D Liquidität'!$A$661:$A$668,Steuerung!$F$6,'D Liquidität'!$B$661:$B$668,C18)=0,"",SUMIFS('D Liquidität'!$C$661:$C$668,'D Liquidität'!$A$661:$A$668,Steuerung!$F$6,'D Liquidität'!$B$661:$B$668,C18))</f>
        <v/>
      </c>
      <c r="S18" s="48" t="n"/>
      <c r="T18" s="48" t="n"/>
    </row>
    <row r="19">
      <c r="A19" s="48" t="n"/>
      <c r="B19" s="48" t="n"/>
      <c r="C19" s="48" t="n"/>
      <c r="D19" s="48" t="n"/>
      <c r="E19" s="48" t="n"/>
      <c r="F19" s="48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 t="n"/>
      <c r="P19" s="48" t="n"/>
      <c r="Q19" s="48" t="n"/>
      <c r="R19" s="48" t="n"/>
      <c r="S19" s="48" t="n"/>
      <c r="T19" s="48" t="n"/>
    </row>
    <row r="20">
      <c r="A20" s="48" t="n"/>
      <c r="B20" s="48" t="n"/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8" t="n"/>
      <c r="O20" s="48" t="n"/>
      <c r="P20" s="48" t="n"/>
      <c r="Q20" s="48" t="n"/>
      <c r="R20" s="48" t="n"/>
      <c r="S20" s="48" t="n"/>
      <c r="T20" s="48" t="n"/>
    </row>
    <row r="21">
      <c r="A21" s="48" t="n"/>
      <c r="B21" s="48" t="n"/>
      <c r="C21" s="48" t="n"/>
      <c r="D21" s="48" t="n"/>
      <c r="E21" s="48" t="n"/>
      <c r="F21" s="48" t="n"/>
      <c r="G21" s="48" t="n"/>
      <c r="H21" s="48" t="n"/>
      <c r="I21" s="48" t="n"/>
      <c r="J21" s="48" t="n"/>
      <c r="K21" s="48" t="n"/>
      <c r="L21" s="48" t="n"/>
      <c r="M21" s="48" t="n"/>
      <c r="N21" s="48" t="n"/>
      <c r="O21" s="48" t="n"/>
      <c r="P21" s="48" t="n"/>
      <c r="Q21" s="48" t="n"/>
      <c r="R21" s="48" t="n"/>
      <c r="S21" s="48" t="n"/>
      <c r="T21" s="48" t="n"/>
    </row>
    <row r="22">
      <c r="A22" s="48" t="n"/>
      <c r="B22" s="48" t="n"/>
      <c r="C22" s="51" t="inlineStr">
        <is>
          <t>Der gespeicherte Startbestand 1.944.327,50 EUR entspricht dem Cash-Pool-Stichtag 04.09.2026 in liq_bestand. Die ältere Parameterbeschreibung nennt abweichend 31.07.2026. Beide Originalangaben sind in den Quellen erhalten.</t>
        </is>
      </c>
      <c r="S22" s="48" t="n"/>
      <c r="T22" s="48" t="n"/>
    </row>
    <row r="23">
      <c r="A23" s="48" t="n"/>
      <c r="B23" s="48" t="n"/>
      <c r="S23" s="48" t="n"/>
      <c r="T23" s="48" t="n"/>
    </row>
    <row r="24">
      <c r="A24" s="48" t="n"/>
      <c r="B24" s="48" t="n"/>
      <c r="C24" s="48" t="n"/>
      <c r="D24" s="48" t="n"/>
      <c r="E24" s="48" t="n"/>
      <c r="F24" s="48" t="n"/>
      <c r="G24" s="48" t="n"/>
      <c r="H24" s="48" t="n"/>
      <c r="I24" s="48" t="n"/>
      <c r="J24" s="48" t="n"/>
      <c r="K24" s="48" t="n"/>
      <c r="L24" s="48" t="n"/>
      <c r="M24" s="48" t="n"/>
      <c r="N24" s="48" t="n"/>
      <c r="O24" s="48" t="n"/>
      <c r="P24" s="48" t="n"/>
      <c r="Q24" s="48" t="n"/>
      <c r="R24" s="48" t="n"/>
      <c r="S24" s="48" t="n"/>
      <c r="T24" s="48" t="n"/>
    </row>
    <row r="25">
      <c r="A25" s="48" t="n"/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48" t="n"/>
      <c r="Q25" s="48" t="n"/>
      <c r="R25" s="48" t="n"/>
      <c r="S25" s="48" t="n"/>
      <c r="T25" s="48" t="n"/>
    </row>
    <row r="26">
      <c r="A26" s="48" t="n"/>
      <c r="B26" s="48" t="n"/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 t="n"/>
      <c r="P26" s="48" t="n"/>
      <c r="Q26" s="48" t="n"/>
      <c r="R26" s="48" t="n"/>
      <c r="S26" s="48" t="n"/>
      <c r="T26" s="48" t="n"/>
    </row>
    <row r="27">
      <c r="A27" s="48" t="n"/>
      <c r="B27" s="48" t="n"/>
      <c r="C27" s="48" t="n"/>
      <c r="D27" s="48" t="n"/>
      <c r="E27" s="48" t="n"/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 t="n"/>
      <c r="P27" s="48" t="n"/>
      <c r="Q27" s="48" t="n"/>
      <c r="R27" s="48" t="n"/>
      <c r="S27" s="48" t="n"/>
      <c r="T27" s="48" t="n"/>
    </row>
    <row r="28">
      <c r="A28" s="48" t="n"/>
      <c r="B28" s="48" t="n"/>
      <c r="C28" s="48" t="n"/>
      <c r="D28" s="48" t="n"/>
      <c r="E28" s="48" t="n"/>
      <c r="F28" s="48" t="n"/>
      <c r="G28" s="48" t="n"/>
      <c r="H28" s="48" t="n"/>
      <c r="I28" s="48" t="n"/>
      <c r="J28" s="48" t="n"/>
      <c r="K28" s="48" t="n"/>
      <c r="L28" s="48" t="n"/>
      <c r="M28" s="48" t="n"/>
      <c r="N28" s="48" t="n"/>
      <c r="O28" s="48" t="n"/>
      <c r="P28" s="48" t="n"/>
      <c r="Q28" s="48" t="n"/>
      <c r="R28" s="48" t="n"/>
      <c r="S28" s="48" t="n"/>
      <c r="T28" s="48" t="n"/>
    </row>
    <row r="29">
      <c r="A29" s="48" t="n"/>
      <c r="B29" s="48" t="n"/>
      <c r="C29" s="48" t="n"/>
      <c r="D29" s="48" t="n"/>
      <c r="E29" s="48" t="n"/>
      <c r="F29" s="48" t="n"/>
      <c r="G29" s="48" t="n"/>
      <c r="H29" s="48" t="n"/>
      <c r="I29" s="48" t="n"/>
      <c r="J29" s="48" t="n"/>
      <c r="K29" s="48" t="n"/>
      <c r="L29" s="48" t="n"/>
      <c r="M29" s="48" t="n"/>
      <c r="N29" s="48" t="n"/>
      <c r="O29" s="48" t="n"/>
      <c r="P29" s="48" t="n"/>
      <c r="Q29" s="48" t="n"/>
      <c r="R29" s="48" t="n"/>
      <c r="S29" s="48" t="n"/>
      <c r="T29" s="48" t="n"/>
    </row>
    <row r="30">
      <c r="A30" s="48" t="n"/>
      <c r="B30" s="48" t="n"/>
      <c r="C30" s="48" t="n"/>
      <c r="D30" s="48" t="n"/>
      <c r="E30" s="48" t="n"/>
      <c r="F30" s="48" t="n"/>
      <c r="G30" s="48" t="n"/>
      <c r="H30" s="48" t="n"/>
      <c r="I30" s="48" t="n"/>
      <c r="J30" s="48" t="n"/>
      <c r="K30" s="48" t="n"/>
      <c r="L30" s="48" t="n"/>
      <c r="M30" s="48" t="n"/>
      <c r="N30" s="48" t="n"/>
      <c r="O30" s="48" t="n"/>
      <c r="P30" s="48" t="n"/>
      <c r="Q30" s="48" t="n"/>
      <c r="R30" s="48" t="n"/>
      <c r="S30" s="48" t="n"/>
      <c r="T30" s="48" t="n"/>
    </row>
    <row r="31">
      <c r="A31" s="48" t="n"/>
      <c r="B31" s="48" t="n"/>
      <c r="C31" s="48" t="n"/>
      <c r="D31" s="48" t="n"/>
      <c r="E31" s="48" t="n"/>
      <c r="F31" s="48" t="n"/>
      <c r="G31" s="48" t="n"/>
      <c r="H31" s="48" t="n"/>
      <c r="I31" s="48" t="n"/>
      <c r="J31" s="48" t="n"/>
      <c r="K31" s="48" t="n"/>
      <c r="L31" s="48" t="n"/>
      <c r="M31" s="48" t="n"/>
      <c r="N31" s="48" t="n"/>
      <c r="O31" s="48" t="n"/>
      <c r="P31" s="48" t="n"/>
      <c r="Q31" s="48" t="n"/>
      <c r="R31" s="48" t="n"/>
      <c r="S31" s="48" t="n"/>
      <c r="T31" s="48" t="n"/>
    </row>
    <row r="32">
      <c r="A32" s="48" t="n"/>
      <c r="B32" s="48" t="n"/>
      <c r="C32" s="48" t="n"/>
      <c r="D32" s="48" t="n"/>
      <c r="E32" s="48" t="n"/>
      <c r="F32" s="48" t="n"/>
      <c r="G32" s="48" t="n"/>
      <c r="H32" s="48" t="n"/>
      <c r="I32" s="48" t="n"/>
      <c r="J32" s="48" t="n"/>
      <c r="K32" s="48" t="n"/>
      <c r="L32" s="48" t="n"/>
      <c r="M32" s="48" t="n"/>
      <c r="N32" s="48" t="n"/>
      <c r="O32" s="48" t="n"/>
      <c r="P32" s="48" t="n"/>
      <c r="Q32" s="48" t="n"/>
      <c r="R32" s="48" t="n"/>
      <c r="S32" s="48" t="n"/>
      <c r="T32" s="48" t="n"/>
    </row>
    <row r="33">
      <c r="A33" s="48" t="n"/>
      <c r="B33" s="48" t="n"/>
      <c r="C33" s="48" t="n"/>
      <c r="D33" s="48" t="n"/>
      <c r="E33" s="48" t="n"/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  <c r="O33" s="48" t="n"/>
      <c r="P33" s="48" t="n"/>
      <c r="Q33" s="48" t="n"/>
      <c r="R33" s="48" t="n"/>
      <c r="S33" s="48" t="n"/>
      <c r="T33" s="48" t="n"/>
    </row>
    <row r="34">
      <c r="A34" s="48" t="n"/>
      <c r="B34" s="48" t="n"/>
      <c r="C34" s="48" t="n"/>
      <c r="D34" s="48" t="n"/>
      <c r="E34" s="48" t="n"/>
      <c r="F34" s="48" t="n"/>
      <c r="G34" s="48" t="n"/>
      <c r="H34" s="48" t="n"/>
      <c r="I34" s="48" t="n"/>
      <c r="J34" s="48" t="n"/>
      <c r="K34" s="48" t="n"/>
      <c r="L34" s="48" t="n"/>
      <c r="M34" s="48" t="n"/>
      <c r="N34" s="48" t="n"/>
      <c r="O34" s="48" t="n"/>
      <c r="P34" s="48" t="n"/>
      <c r="Q34" s="48" t="n"/>
      <c r="R34" s="48" t="n"/>
      <c r="S34" s="48" t="n"/>
      <c r="T34" s="48" t="n"/>
    </row>
    <row r="35">
      <c r="A35" s="48" t="n"/>
      <c r="B35" s="48" t="n"/>
      <c r="C35" s="48" t="n"/>
      <c r="D35" s="48" t="n"/>
      <c r="E35" s="48" t="n"/>
      <c r="F35" s="48" t="n"/>
      <c r="G35" s="48" t="n"/>
      <c r="H35" s="48" t="n"/>
      <c r="I35" s="48" t="n"/>
      <c r="J35" s="48" t="n"/>
      <c r="K35" s="48" t="n"/>
      <c r="L35" s="48" t="n"/>
      <c r="M35" s="48" t="n"/>
      <c r="N35" s="48" t="n"/>
      <c r="O35" s="48" t="n"/>
      <c r="P35" s="48" t="n"/>
      <c r="Q35" s="48" t="n"/>
      <c r="R35" s="48" t="n"/>
      <c r="S35" s="48" t="n"/>
      <c r="T35" s="48" t="n"/>
    </row>
    <row r="36">
      <c r="A36" s="48" t="n"/>
      <c r="B36" s="48" t="n"/>
      <c r="C36" s="48" t="n"/>
      <c r="D36" s="48" t="n"/>
      <c r="E36" s="48" t="n"/>
      <c r="F36" s="48" t="n"/>
      <c r="G36" s="48" t="n"/>
      <c r="H36" s="48" t="n"/>
      <c r="I36" s="48" t="n"/>
      <c r="J36" s="48" t="n"/>
      <c r="K36" s="48" t="n"/>
      <c r="L36" s="48" t="n"/>
      <c r="M36" s="48" t="n"/>
      <c r="N36" s="48" t="n"/>
      <c r="O36" s="48" t="n"/>
      <c r="P36" s="48" t="n"/>
      <c r="Q36" s="48" t="n"/>
      <c r="R36" s="48" t="n"/>
      <c r="S36" s="48" t="n"/>
      <c r="T36" s="48" t="n"/>
    </row>
    <row r="37">
      <c r="A37" s="48" t="n"/>
      <c r="B37" s="48" t="n"/>
      <c r="C37" s="48" t="n"/>
      <c r="D37" s="48" t="n"/>
      <c r="E37" s="48" t="n"/>
      <c r="F37" s="48" t="n"/>
      <c r="G37" s="48" t="n"/>
      <c r="H37" s="48" t="n"/>
      <c r="I37" s="48" t="n"/>
      <c r="J37" s="48" t="n"/>
      <c r="K37" s="48" t="n"/>
      <c r="L37" s="48" t="n"/>
      <c r="M37" s="48" t="n"/>
      <c r="N37" s="48" t="n"/>
      <c r="O37" s="48" t="n"/>
      <c r="P37" s="48" t="n"/>
      <c r="Q37" s="48" t="n"/>
      <c r="R37" s="48" t="n"/>
      <c r="S37" s="48" t="n"/>
      <c r="T37" s="48" t="n"/>
    </row>
    <row r="38">
      <c r="A38" s="48" t="n"/>
      <c r="B38" s="48" t="n"/>
      <c r="C38" s="48" t="n"/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/>
      <c r="M38" s="48" t="n"/>
      <c r="N38" s="48" t="n"/>
      <c r="O38" s="48" t="n"/>
      <c r="P38" s="48" t="n"/>
      <c r="Q38" s="48" t="n"/>
      <c r="R38" s="48" t="n"/>
      <c r="S38" s="48" t="n"/>
      <c r="T38" s="48" t="n"/>
    </row>
    <row r="39">
      <c r="A39" s="48" t="n"/>
      <c r="B39" s="48" t="n"/>
      <c r="C39" s="48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  <c r="S39" s="48" t="n"/>
      <c r="T39" s="48" t="n"/>
    </row>
    <row r="40">
      <c r="A40" s="48" t="n"/>
      <c r="B40" s="48" t="n"/>
      <c r="C40" s="48" t="n"/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 t="n"/>
      <c r="P40" s="48" t="n"/>
      <c r="Q40" s="48" t="n"/>
      <c r="R40" s="48" t="n"/>
      <c r="S40" s="48" t="n"/>
      <c r="T40" s="48" t="n"/>
    </row>
    <row r="41">
      <c r="A41" s="48" t="n"/>
      <c r="B41" s="48" t="n"/>
      <c r="C41" s="48" t="n"/>
      <c r="D41" s="48" t="n"/>
      <c r="E41" s="48" t="n"/>
      <c r="F41" s="48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  <c r="R41" s="48" t="n"/>
      <c r="S41" s="48" t="n"/>
      <c r="T41" s="48" t="n"/>
    </row>
    <row r="42">
      <c r="A42" s="48" t="n"/>
      <c r="B42" s="48" t="n"/>
      <c r="C42" s="48" t="n"/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8" t="n"/>
      <c r="P42" s="48" t="n"/>
      <c r="Q42" s="48" t="n"/>
      <c r="R42" s="48" t="n"/>
      <c r="S42" s="48" t="n"/>
      <c r="T42" s="48" t="n"/>
    </row>
    <row r="43">
      <c r="A43" s="48" t="n"/>
      <c r="B43" s="48" t="n"/>
      <c r="C43" s="48" t="n"/>
      <c r="D43" s="48" t="n"/>
      <c r="E43" s="48" t="n"/>
      <c r="F43" s="48" t="n"/>
      <c r="G43" s="48" t="n"/>
      <c r="H43" s="48" t="n"/>
      <c r="I43" s="48" t="n"/>
      <c r="J43" s="48" t="n"/>
      <c r="K43" s="48" t="n"/>
      <c r="L43" s="48" t="n"/>
      <c r="M43" s="48" t="n"/>
      <c r="N43" s="48" t="n"/>
      <c r="O43" s="48" t="n"/>
      <c r="P43" s="48" t="n"/>
      <c r="Q43" s="48" t="n"/>
      <c r="R43" s="48" t="n"/>
      <c r="S43" s="48" t="n"/>
      <c r="T43" s="48" t="n"/>
    </row>
    <row r="44">
      <c r="A44" s="48" t="n"/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  <c r="P44" s="48" t="n"/>
      <c r="Q44" s="48" t="n"/>
      <c r="R44" s="48" t="n"/>
      <c r="S44" s="48" t="n"/>
      <c r="T44" s="48" t="n"/>
    </row>
    <row r="45">
      <c r="A45" s="48" t="n"/>
      <c r="B45" s="48" t="n"/>
      <c r="C45" s="48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 t="n"/>
      <c r="P45" s="48" t="n"/>
      <c r="Q45" s="48" t="n"/>
      <c r="R45" s="48" t="n"/>
      <c r="S45" s="48" t="n"/>
      <c r="T45" s="48" t="n"/>
    </row>
    <row r="46">
      <c r="A46" s="48" t="n"/>
      <c r="B46" s="48" t="n"/>
      <c r="C46" s="48" t="n"/>
      <c r="D46" s="48" t="n"/>
      <c r="E46" s="48" t="n"/>
      <c r="F46" s="48" t="n"/>
      <c r="G46" s="48" t="n"/>
      <c r="H46" s="48" t="n"/>
      <c r="I46" s="48" t="n"/>
      <c r="J46" s="48" t="n"/>
      <c r="K46" s="48" t="n"/>
      <c r="L46" s="48" t="n"/>
      <c r="M46" s="48" t="n"/>
      <c r="N46" s="48" t="n"/>
      <c r="O46" s="48" t="n"/>
      <c r="P46" s="48" t="n"/>
      <c r="Q46" s="48" t="n"/>
      <c r="R46" s="48" t="n"/>
      <c r="S46" s="48" t="n"/>
      <c r="T46" s="48" t="n"/>
    </row>
    <row r="47">
      <c r="A47" s="48" t="n"/>
      <c r="B47" s="48" t="n"/>
      <c r="C47" s="48" t="n"/>
      <c r="D47" s="48" t="n"/>
      <c r="E47" s="48" t="n"/>
      <c r="F47" s="48" t="n"/>
      <c r="G47" s="48" t="n"/>
      <c r="H47" s="48" t="n"/>
      <c r="I47" s="48" t="n"/>
      <c r="J47" s="48" t="n"/>
      <c r="K47" s="48" t="n"/>
      <c r="L47" s="48" t="n"/>
      <c r="M47" s="48" t="n"/>
      <c r="N47" s="48" t="n"/>
      <c r="O47" s="48" t="n"/>
      <c r="P47" s="48" t="n"/>
      <c r="Q47" s="48" t="n"/>
      <c r="R47" s="48" t="n"/>
      <c r="S47" s="48" t="n"/>
      <c r="T47" s="48" t="n"/>
    </row>
    <row r="48">
      <c r="A48" s="48" t="n"/>
      <c r="B48" s="48" t="n"/>
      <c r="C48" s="48" t="n"/>
      <c r="D48" s="48" t="n"/>
      <c r="E48" s="48" t="n"/>
      <c r="F48" s="48" t="n"/>
      <c r="G48" s="48" t="n"/>
      <c r="H48" s="48" t="n"/>
      <c r="I48" s="48" t="n"/>
      <c r="J48" s="48" t="n"/>
      <c r="K48" s="48" t="n"/>
      <c r="L48" s="48" t="n"/>
      <c r="M48" s="48" t="n"/>
      <c r="N48" s="48" t="n"/>
      <c r="O48" s="48" t="n"/>
      <c r="P48" s="48" t="n"/>
      <c r="Q48" s="48" t="n"/>
      <c r="R48" s="48" t="n"/>
      <c r="S48" s="48" t="n"/>
      <c r="T48" s="48" t="n"/>
    </row>
    <row r="49">
      <c r="A49" s="48" t="n"/>
      <c r="B49" s="48" t="n"/>
      <c r="C49" s="48" t="n"/>
      <c r="D49" s="48" t="n"/>
      <c r="E49" s="48" t="n"/>
      <c r="F49" s="48" t="n"/>
      <c r="G49" s="48" t="n"/>
      <c r="H49" s="48" t="n"/>
      <c r="I49" s="48" t="n"/>
      <c r="J49" s="48" t="n"/>
      <c r="K49" s="48" t="n"/>
      <c r="L49" s="48" t="n"/>
      <c r="M49" s="48" t="n"/>
      <c r="N49" s="48" t="n"/>
      <c r="O49" s="48" t="n"/>
      <c r="P49" s="48" t="n"/>
      <c r="Q49" s="48" t="n"/>
      <c r="R49" s="48" t="n"/>
      <c r="S49" s="48" t="n"/>
      <c r="T49" s="48" t="n"/>
    </row>
    <row r="50">
      <c r="A50" s="48" t="n"/>
      <c r="B50" s="48" t="n"/>
      <c r="C50" s="48" t="n"/>
      <c r="D50" s="48" t="n"/>
      <c r="E50" s="48" t="n"/>
      <c r="F50" s="48" t="n"/>
      <c r="G50" s="48" t="n"/>
      <c r="H50" s="48" t="n"/>
      <c r="I50" s="48" t="n"/>
      <c r="J50" s="48" t="n"/>
      <c r="K50" s="48" t="n"/>
      <c r="L50" s="48" t="n"/>
      <c r="M50" s="48" t="n"/>
      <c r="N50" s="48" t="n"/>
      <c r="O50" s="48" t="n"/>
      <c r="P50" s="48" t="n"/>
      <c r="Q50" s="48" t="n"/>
      <c r="R50" s="48" t="n"/>
      <c r="S50" s="48" t="n"/>
      <c r="T50" s="48" t="n"/>
    </row>
    <row r="51">
      <c r="A51" s="48" t="n"/>
      <c r="B51" s="48" t="n"/>
      <c r="C51" s="48" t="n"/>
      <c r="D51" s="48" t="n"/>
      <c r="E51" s="48" t="n"/>
      <c r="F51" s="48" t="n"/>
      <c r="G51" s="48" t="n"/>
      <c r="H51" s="48" t="n"/>
      <c r="I51" s="48" t="n"/>
      <c r="J51" s="48" t="n"/>
      <c r="K51" s="48" t="n"/>
      <c r="L51" s="48" t="n"/>
      <c r="M51" s="48" t="n"/>
      <c r="N51" s="48" t="n"/>
      <c r="O51" s="48" t="n"/>
      <c r="P51" s="48" t="n"/>
      <c r="Q51" s="48" t="n"/>
      <c r="R51" s="48" t="n"/>
      <c r="S51" s="48" t="n"/>
      <c r="T51" s="48" t="n"/>
    </row>
    <row r="52">
      <c r="A52" s="48" t="n"/>
      <c r="B52" s="48" t="n"/>
      <c r="C52" s="48" t="n"/>
      <c r="D52" s="48" t="n"/>
      <c r="E52" s="48" t="n"/>
      <c r="F52" s="48" t="n"/>
      <c r="G52" s="48" t="n"/>
      <c r="H52" s="48" t="n"/>
      <c r="I52" s="48" t="n"/>
      <c r="J52" s="48" t="n"/>
      <c r="K52" s="48" t="n"/>
      <c r="L52" s="48" t="n"/>
      <c r="M52" s="48" t="n"/>
      <c r="N52" s="48" t="n"/>
      <c r="O52" s="48" t="n"/>
      <c r="P52" s="48" t="n"/>
      <c r="Q52" s="48" t="n"/>
      <c r="R52" s="48" t="n"/>
      <c r="S52" s="48" t="n"/>
      <c r="T52" s="48" t="n"/>
    </row>
    <row r="53">
      <c r="A53" s="48" t="n"/>
      <c r="B53" s="48" t="n"/>
      <c r="C53" s="48" t="n"/>
      <c r="D53" s="48" t="n"/>
      <c r="E53" s="48" t="n"/>
      <c r="F53" s="48" t="n"/>
      <c r="G53" s="48" t="n"/>
      <c r="H53" s="48" t="n"/>
      <c r="I53" s="48" t="n"/>
      <c r="J53" s="48" t="n"/>
      <c r="K53" s="48" t="n"/>
      <c r="L53" s="48" t="n"/>
      <c r="M53" s="48" t="n"/>
      <c r="N53" s="48" t="n"/>
      <c r="O53" s="48" t="n"/>
      <c r="P53" s="48" t="n"/>
      <c r="Q53" s="48" t="n"/>
      <c r="R53" s="48" t="n"/>
      <c r="S53" s="48" t="n"/>
      <c r="T53" s="48" t="n"/>
    </row>
    <row r="54">
      <c r="A54" s="48" t="n"/>
      <c r="B54" s="48" t="n"/>
      <c r="C54" s="48" t="n"/>
      <c r="D54" s="48" t="n"/>
      <c r="E54" s="48" t="n"/>
      <c r="F54" s="48" t="n"/>
      <c r="G54" s="48" t="n"/>
      <c r="H54" s="48" t="n"/>
      <c r="I54" s="48" t="n"/>
      <c r="J54" s="48" t="n"/>
      <c r="K54" s="48" t="n"/>
      <c r="L54" s="48" t="n"/>
      <c r="M54" s="48" t="n"/>
      <c r="N54" s="48" t="n"/>
      <c r="O54" s="48" t="n"/>
      <c r="P54" s="48" t="n"/>
      <c r="Q54" s="48" t="n"/>
      <c r="R54" s="48" t="n"/>
      <c r="S54" s="48" t="n"/>
      <c r="T54" s="48" t="n"/>
    </row>
    <row r="55">
      <c r="A55" s="48" t="n"/>
      <c r="B55" s="48" t="n"/>
      <c r="C55" s="48" t="n"/>
      <c r="D55" s="48" t="n"/>
      <c r="E55" s="48" t="n"/>
      <c r="F55" s="48" t="n"/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 t="n"/>
      <c r="P55" s="48" t="n"/>
      <c r="Q55" s="48" t="n"/>
      <c r="R55" s="48" t="n"/>
      <c r="S55" s="48" t="n"/>
      <c r="T55" s="48" t="n"/>
    </row>
    <row r="56">
      <c r="A56" s="48" t="n"/>
      <c r="B56" s="48" t="n"/>
      <c r="C56" s="48" t="n"/>
      <c r="D56" s="48" t="n"/>
      <c r="E56" s="48" t="n"/>
      <c r="F56" s="48" t="n"/>
      <c r="G56" s="48" t="n"/>
      <c r="H56" s="48" t="n"/>
      <c r="I56" s="48" t="n"/>
      <c r="J56" s="48" t="n"/>
      <c r="K56" s="48" t="n"/>
      <c r="L56" s="48" t="n"/>
      <c r="M56" s="48" t="n"/>
      <c r="N56" s="48" t="n"/>
      <c r="O56" s="48" t="n"/>
      <c r="P56" s="48" t="n"/>
      <c r="Q56" s="48" t="n"/>
      <c r="R56" s="48" t="n"/>
      <c r="S56" s="48" t="n"/>
      <c r="T56" s="48" t="n"/>
    </row>
    <row r="57">
      <c r="A57" s="48" t="n"/>
      <c r="B57" s="48" t="n"/>
      <c r="C57" s="48" t="n"/>
      <c r="D57" s="48" t="n"/>
      <c r="E57" s="48" t="n"/>
      <c r="F57" s="48" t="n"/>
      <c r="G57" s="48" t="n"/>
      <c r="H57" s="48" t="n"/>
      <c r="I57" s="48" t="n"/>
      <c r="J57" s="48" t="n"/>
      <c r="K57" s="48" t="n"/>
      <c r="L57" s="48" t="n"/>
      <c r="M57" s="48" t="n"/>
      <c r="N57" s="48" t="n"/>
      <c r="O57" s="48" t="n"/>
      <c r="P57" s="48" t="n"/>
      <c r="Q57" s="48" t="n"/>
      <c r="R57" s="48" t="n"/>
      <c r="S57" s="48" t="n"/>
      <c r="T57" s="48" t="n"/>
    </row>
    <row r="58">
      <c r="A58" s="48" t="n"/>
      <c r="B58" s="48" t="n"/>
      <c r="C58" s="48" t="n"/>
      <c r="D58" s="48" t="n"/>
      <c r="E58" s="48" t="n"/>
      <c r="F58" s="48" t="n"/>
      <c r="G58" s="48" t="n"/>
      <c r="H58" s="48" t="n"/>
      <c r="I58" s="48" t="n"/>
      <c r="J58" s="48" t="n"/>
      <c r="K58" s="48" t="n"/>
      <c r="L58" s="48" t="n"/>
      <c r="M58" s="48" t="n"/>
      <c r="N58" s="48" t="n"/>
      <c r="O58" s="48" t="n"/>
      <c r="P58" s="48" t="n"/>
      <c r="Q58" s="48" t="n"/>
      <c r="R58" s="48" t="n"/>
      <c r="S58" s="48" t="n"/>
      <c r="T58" s="48" t="n"/>
    </row>
    <row r="59">
      <c r="A59" s="48" t="n"/>
      <c r="B59" s="48" t="n"/>
      <c r="C59" s="48" t="n"/>
      <c r="D59" s="48" t="n"/>
      <c r="E59" s="48" t="n"/>
      <c r="F59" s="48" t="n"/>
      <c r="G59" s="48" t="n"/>
      <c r="H59" s="48" t="n"/>
      <c r="I59" s="48" t="n"/>
      <c r="J59" s="48" t="n"/>
      <c r="K59" s="48" t="n"/>
      <c r="L59" s="48" t="n"/>
      <c r="M59" s="48" t="n"/>
      <c r="N59" s="48" t="n"/>
      <c r="O59" s="48" t="n"/>
      <c r="P59" s="48" t="n"/>
      <c r="Q59" s="48" t="n"/>
      <c r="R59" s="48" t="n"/>
      <c r="S59" s="48" t="n"/>
      <c r="T59" s="48" t="n"/>
    </row>
    <row r="60">
      <c r="A60" s="48" t="n"/>
      <c r="B60" s="48" t="n"/>
      <c r="C60" s="48" t="n"/>
      <c r="D60" s="48" t="n"/>
      <c r="E60" s="48" t="n"/>
      <c r="F60" s="48" t="n"/>
      <c r="G60" s="48" t="n"/>
      <c r="H60" s="48" t="n"/>
      <c r="I60" s="48" t="n"/>
      <c r="J60" s="48" t="n"/>
      <c r="K60" s="48" t="n"/>
      <c r="L60" s="48" t="n"/>
      <c r="M60" s="48" t="n"/>
      <c r="N60" s="48" t="n"/>
      <c r="O60" s="48" t="n"/>
      <c r="P60" s="48" t="n"/>
      <c r="Q60" s="48" t="n"/>
      <c r="R60" s="48" t="n"/>
      <c r="S60" s="48" t="n"/>
      <c r="T60" s="48" t="n"/>
    </row>
  </sheetData>
  <mergeCells count="3">
    <mergeCell ref="C3:T3"/>
    <mergeCell ref="C22:R23"/>
    <mergeCell ref="C2:T2"/>
  </mergeCells>
  <conditionalFormatting sqref="Q7:R18">
    <cfRule type="cellIs" priority="1" operator="lessThan" dxfId="1">
      <formula>0</formula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A1:M5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10" defaultColWidth="8.83203125" defaultRowHeight="14"/>
  <cols>
    <col width="2.5" customWidth="1" min="1" max="2"/>
    <col width="38" customWidth="1" min="3" max="3"/>
    <col width="15" customWidth="1" min="4" max="4"/>
    <col width="23" customWidth="1" min="5" max="6"/>
    <col width="15" customWidth="1" min="7" max="9"/>
    <col width="40" customWidth="1" min="10" max="10"/>
    <col width="15" customWidth="1" min="11" max="13"/>
  </cols>
  <sheetData>
    <row r="1">
      <c r="A1" s="48" t="n"/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</row>
    <row r="2" ht="30" customHeight="1">
      <c r="A2" s="48" t="n"/>
      <c r="B2" s="48" t="n"/>
      <c r="C2" s="53" t="inlineStr">
        <is>
          <t>Forecast-Eingabe</t>
        </is>
      </c>
      <c r="D2" s="60" t="n"/>
      <c r="E2" s="60" t="n"/>
      <c r="F2" s="60" t="n"/>
      <c r="G2" s="60" t="n"/>
      <c r="H2" s="60" t="n"/>
      <c r="I2" s="60" t="n"/>
      <c r="J2" s="60" t="n"/>
      <c r="K2" s="60" t="n"/>
      <c r="L2" s="60" t="n"/>
      <c r="M2" s="60" t="n"/>
    </row>
    <row r="3" ht="32" customHeight="1">
      <c r="A3" s="48" t="n"/>
      <c r="B3" s="48" t="n"/>
      <c r="C3" s="54" t="inlineStr">
        <is>
          <t>Änderungen gegenüber dem exportierten Forecast. Positive Kosten erhöhen den Aufwand. Ist-Monate werden als gesperrt gekennzeichnet.</t>
        </is>
      </c>
    </row>
    <row r="4">
      <c r="A4" s="48" t="n"/>
      <c r="B4" s="48" t="n"/>
      <c r="C4" s="48" t="n"/>
      <c r="D4" s="48" t="n"/>
      <c r="E4" s="48" t="n"/>
      <c r="F4" s="48" t="n"/>
      <c r="G4" s="48" t="n"/>
      <c r="H4" s="48" t="n"/>
      <c r="I4" s="48" t="n"/>
      <c r="J4" s="48" t="n"/>
      <c r="K4" s="48" t="n"/>
      <c r="L4" s="48" t="n"/>
      <c r="M4" s="48" t="n"/>
    </row>
    <row r="5">
      <c r="A5" s="48" t="n"/>
      <c r="B5" s="48" t="n"/>
      <c r="C5" s="48" t="n"/>
      <c r="D5" s="48" t="n"/>
      <c r="E5" s="48" t="n"/>
      <c r="F5" s="48" t="n"/>
      <c r="G5" s="48" t="n"/>
      <c r="H5" s="48" t="n"/>
      <c r="I5" s="48" t="n"/>
      <c r="J5" s="48" t="n"/>
      <c r="K5" s="48" t="n"/>
      <c r="L5" s="48" t="n"/>
      <c r="M5" s="48" t="n"/>
    </row>
    <row r="6" ht="36" customHeight="1">
      <c r="A6" s="48" t="n"/>
      <c r="B6" s="48" t="n"/>
      <c r="C6" s="3" t="inlineStr">
        <is>
          <t>Jahr</t>
        </is>
      </c>
      <c r="D6" s="3" t="inlineStr">
        <is>
          <t>Monat</t>
        </is>
      </c>
      <c r="E6" s="3" t="inlineStr">
        <is>
          <t>Region</t>
        </is>
      </c>
      <c r="F6" s="3" t="inlineStr">
        <is>
          <t>Auftrag / Projekt</t>
        </is>
      </c>
      <c r="G6" s="3" t="inlineStr">
        <is>
          <t>Δ Umsatz EUR</t>
        </is>
      </c>
      <c r="H6" s="3" t="inlineStr">
        <is>
          <t>Δ Bestand EUR</t>
        </is>
      </c>
      <c r="I6" s="3" t="inlineStr">
        <is>
          <t>Δ Kosten EUR</t>
        </is>
      </c>
      <c r="J6" s="3" t="inlineStr">
        <is>
          <t>Kommentar</t>
        </is>
      </c>
      <c r="K6" s="3" t="inlineStr">
        <is>
          <t>Status</t>
        </is>
      </c>
      <c r="L6" s="3" t="inlineStr">
        <is>
          <t>Δ EBITDA EUR</t>
        </is>
      </c>
      <c r="M6" s="48" t="n"/>
    </row>
    <row r="7" ht="21" customHeight="1">
      <c r="A7" s="48" t="n"/>
      <c r="B7" s="48" t="n"/>
      <c r="C7" s="59" t="n"/>
      <c r="D7" s="59" t="n"/>
      <c r="E7" s="59" t="n"/>
      <c r="F7" s="59" t="n"/>
      <c r="G7" s="15" t="n"/>
      <c r="H7" s="15" t="n"/>
      <c r="I7" s="15" t="n"/>
      <c r="J7" s="59" t="n"/>
      <c r="K7" s="48">
        <f>IF(COUNTA(C7:J7)=0,"",IF(OR(C7&lt;&gt;Steuerung!$F$6,D7&lt;1,D7&gt;12),"Periode prüfen",IF(D7&lt;=Steuerung!$F$8,"IST gesperrt",IF(OR(E7="",F7="",COUNT(G7:I7)&lt;&gt;3),"Angaben fehlen","Wirksam"))))</f>
        <v/>
      </c>
      <c r="L7" s="5">
        <f>IF(K7="Wirksam",SUM(G7:H7)-I7,IF(K7="","","n.a."))</f>
        <v/>
      </c>
      <c r="M7" s="48" t="n"/>
    </row>
    <row r="8" ht="21" customHeight="1">
      <c r="A8" s="48" t="n"/>
      <c r="B8" s="48" t="n"/>
      <c r="C8" s="59" t="n"/>
      <c r="D8" s="59" t="n"/>
      <c r="E8" s="59" t="n"/>
      <c r="F8" s="59" t="n"/>
      <c r="G8" s="15" t="n"/>
      <c r="H8" s="15" t="n"/>
      <c r="I8" s="15" t="n"/>
      <c r="J8" s="59" t="n"/>
      <c r="K8" s="48">
        <f>IF(COUNTA(C8:J8)=0,"",IF(OR(C8&lt;&gt;Steuerung!$F$6,D8&lt;1,D8&gt;12),"Periode prüfen",IF(D8&lt;=Steuerung!$F$8,"IST gesperrt",IF(OR(E8="",F8="",COUNT(G8:I8)&lt;&gt;3),"Angaben fehlen","Wirksam"))))</f>
        <v/>
      </c>
      <c r="L8" s="5">
        <f>IF(K8="Wirksam",SUM(G8:H8)-I8,IF(K8="","","n.a."))</f>
        <v/>
      </c>
      <c r="M8" s="48" t="n"/>
    </row>
    <row r="9" ht="21" customHeight="1">
      <c r="A9" s="48" t="n"/>
      <c r="B9" s="48" t="n"/>
      <c r="C9" s="59" t="n"/>
      <c r="D9" s="59" t="n"/>
      <c r="E9" s="59" t="n"/>
      <c r="F9" s="59" t="n"/>
      <c r="G9" s="15" t="n"/>
      <c r="H9" s="15" t="n"/>
      <c r="I9" s="15" t="n"/>
      <c r="J9" s="59" t="n"/>
      <c r="K9" s="48">
        <f>IF(COUNTA(C9:J9)=0,"",IF(OR(C9&lt;&gt;Steuerung!$F$6,D9&lt;1,D9&gt;12),"Periode prüfen",IF(D9&lt;=Steuerung!$F$8,"IST gesperrt",IF(OR(E9="",F9="",COUNT(G9:I9)&lt;&gt;3),"Angaben fehlen","Wirksam"))))</f>
        <v/>
      </c>
      <c r="L9" s="5">
        <f>IF(K9="Wirksam",SUM(G9:H9)-I9,IF(K9="","","n.a."))</f>
        <v/>
      </c>
      <c r="M9" s="48" t="n"/>
    </row>
    <row r="10" ht="21" customHeight="1">
      <c r="A10" s="48" t="n"/>
      <c r="B10" s="48" t="n"/>
      <c r="C10" s="59" t="n"/>
      <c r="D10" s="59" t="n"/>
      <c r="E10" s="59" t="n"/>
      <c r="F10" s="59" t="n"/>
      <c r="G10" s="15" t="n"/>
      <c r="H10" s="15" t="n"/>
      <c r="I10" s="15" t="n"/>
      <c r="J10" s="59" t="n"/>
      <c r="K10" s="48">
        <f>IF(COUNTA(C10:J10)=0,"",IF(OR(C10&lt;&gt;Steuerung!$F$6,D10&lt;1,D10&gt;12),"Periode prüfen",IF(D10&lt;=Steuerung!$F$8,"IST gesperrt",IF(OR(E10="",F10="",COUNT(G10:I10)&lt;&gt;3),"Angaben fehlen","Wirksam"))))</f>
        <v/>
      </c>
      <c r="L10" s="5">
        <f>IF(K10="Wirksam",SUM(G10:H10)-I10,IF(K10="","","n.a."))</f>
        <v/>
      </c>
      <c r="M10" s="48" t="n"/>
    </row>
    <row r="11" ht="21" customHeight="1">
      <c r="A11" s="48" t="n"/>
      <c r="B11" s="48" t="n"/>
      <c r="C11" s="59" t="n"/>
      <c r="D11" s="59" t="n"/>
      <c r="E11" s="59" t="n"/>
      <c r="F11" s="59" t="n"/>
      <c r="G11" s="15" t="n"/>
      <c r="H11" s="15" t="n"/>
      <c r="I11" s="15" t="n"/>
      <c r="J11" s="59" t="n"/>
      <c r="K11" s="48">
        <f>IF(COUNTA(C11:J11)=0,"",IF(OR(C11&lt;&gt;Steuerung!$F$6,D11&lt;1,D11&gt;12),"Periode prüfen",IF(D11&lt;=Steuerung!$F$8,"IST gesperrt",IF(OR(E11="",F11="",COUNT(G11:I11)&lt;&gt;3),"Angaben fehlen","Wirksam"))))</f>
        <v/>
      </c>
      <c r="L11" s="5">
        <f>IF(K11="Wirksam",SUM(G11:H11)-I11,IF(K11="","","n.a."))</f>
        <v/>
      </c>
      <c r="M11" s="48" t="n"/>
    </row>
    <row r="12" ht="21" customHeight="1">
      <c r="A12" s="48" t="n"/>
      <c r="B12" s="48" t="n"/>
      <c r="C12" s="59" t="n"/>
      <c r="D12" s="59" t="n"/>
      <c r="E12" s="59" t="n"/>
      <c r="F12" s="59" t="n"/>
      <c r="G12" s="15" t="n"/>
      <c r="H12" s="15" t="n"/>
      <c r="I12" s="15" t="n"/>
      <c r="J12" s="59" t="n"/>
      <c r="K12" s="48">
        <f>IF(COUNTA(C12:J12)=0,"",IF(OR(C12&lt;&gt;Steuerung!$F$6,D12&lt;1,D12&gt;12),"Periode prüfen",IF(D12&lt;=Steuerung!$F$8,"IST gesperrt",IF(OR(E12="",F12="",COUNT(G12:I12)&lt;&gt;3),"Angaben fehlen","Wirksam"))))</f>
        <v/>
      </c>
      <c r="L12" s="5">
        <f>IF(K12="Wirksam",SUM(G12:H12)-I12,IF(K12="","","n.a."))</f>
        <v/>
      </c>
      <c r="M12" s="48" t="n"/>
    </row>
    <row r="13" ht="21" customHeight="1">
      <c r="A13" s="48" t="n"/>
      <c r="B13" s="48" t="n"/>
      <c r="C13" s="59" t="n"/>
      <c r="D13" s="59" t="n"/>
      <c r="E13" s="59" t="n"/>
      <c r="F13" s="59" t="n"/>
      <c r="G13" s="15" t="n"/>
      <c r="H13" s="15" t="n"/>
      <c r="I13" s="15" t="n"/>
      <c r="J13" s="59" t="n"/>
      <c r="K13" s="48">
        <f>IF(COUNTA(C13:J13)=0,"",IF(OR(C13&lt;&gt;Steuerung!$F$6,D13&lt;1,D13&gt;12),"Periode prüfen",IF(D13&lt;=Steuerung!$F$8,"IST gesperrt",IF(OR(E13="",F13="",COUNT(G13:I13)&lt;&gt;3),"Angaben fehlen","Wirksam"))))</f>
        <v/>
      </c>
      <c r="L13" s="5">
        <f>IF(K13="Wirksam",SUM(G13:H13)-I13,IF(K13="","","n.a."))</f>
        <v/>
      </c>
      <c r="M13" s="48" t="n"/>
    </row>
    <row r="14" ht="21" customHeight="1">
      <c r="A14" s="48" t="n"/>
      <c r="B14" s="48" t="n"/>
      <c r="C14" s="59" t="n"/>
      <c r="D14" s="59" t="n"/>
      <c r="E14" s="59" t="n"/>
      <c r="F14" s="59" t="n"/>
      <c r="G14" s="15" t="n"/>
      <c r="H14" s="15" t="n"/>
      <c r="I14" s="15" t="n"/>
      <c r="J14" s="59" t="n"/>
      <c r="K14" s="48">
        <f>IF(COUNTA(C14:J14)=0,"",IF(OR(C14&lt;&gt;Steuerung!$F$6,D14&lt;1,D14&gt;12),"Periode prüfen",IF(D14&lt;=Steuerung!$F$8,"IST gesperrt",IF(OR(E14="",F14="",COUNT(G14:I14)&lt;&gt;3),"Angaben fehlen","Wirksam"))))</f>
        <v/>
      </c>
      <c r="L14" s="5">
        <f>IF(K14="Wirksam",SUM(G14:H14)-I14,IF(K14="","","n.a."))</f>
        <v/>
      </c>
      <c r="M14" s="48" t="n"/>
    </row>
    <row r="15" ht="21" customHeight="1">
      <c r="A15" s="48" t="n"/>
      <c r="B15" s="48" t="n"/>
      <c r="C15" s="59" t="n"/>
      <c r="D15" s="59" t="n"/>
      <c r="E15" s="59" t="n"/>
      <c r="F15" s="59" t="n"/>
      <c r="G15" s="15" t="n"/>
      <c r="H15" s="15" t="n"/>
      <c r="I15" s="15" t="n"/>
      <c r="J15" s="59" t="n"/>
      <c r="K15" s="48">
        <f>IF(COUNTA(C15:J15)=0,"",IF(OR(C15&lt;&gt;Steuerung!$F$6,D15&lt;1,D15&gt;12),"Periode prüfen",IF(D15&lt;=Steuerung!$F$8,"IST gesperrt",IF(OR(E15="",F15="",COUNT(G15:I15)&lt;&gt;3),"Angaben fehlen","Wirksam"))))</f>
        <v/>
      </c>
      <c r="L15" s="5">
        <f>IF(K15="Wirksam",SUM(G15:H15)-I15,IF(K15="","","n.a."))</f>
        <v/>
      </c>
      <c r="M15" s="48" t="n"/>
    </row>
    <row r="16" ht="21" customHeight="1">
      <c r="A16" s="48" t="n"/>
      <c r="B16" s="48" t="n"/>
      <c r="C16" s="59" t="n"/>
      <c r="D16" s="59" t="n"/>
      <c r="E16" s="59" t="n"/>
      <c r="F16" s="59" t="n"/>
      <c r="G16" s="15" t="n"/>
      <c r="H16" s="15" t="n"/>
      <c r="I16" s="15" t="n"/>
      <c r="J16" s="59" t="n"/>
      <c r="K16" s="48">
        <f>IF(COUNTA(C16:J16)=0,"",IF(OR(C16&lt;&gt;Steuerung!$F$6,D16&lt;1,D16&gt;12),"Periode prüfen",IF(D16&lt;=Steuerung!$F$8,"IST gesperrt",IF(OR(E16="",F16="",COUNT(G16:I16)&lt;&gt;3),"Angaben fehlen","Wirksam"))))</f>
        <v/>
      </c>
      <c r="L16" s="5">
        <f>IF(K16="Wirksam",SUM(G16:H16)-I16,IF(K16="","","n.a."))</f>
        <v/>
      </c>
      <c r="M16" s="48" t="n"/>
    </row>
    <row r="17" ht="21" customHeight="1">
      <c r="A17" s="48" t="n"/>
      <c r="B17" s="48" t="n"/>
      <c r="C17" s="59" t="n"/>
      <c r="D17" s="59" t="n"/>
      <c r="E17" s="59" t="n"/>
      <c r="F17" s="59" t="n"/>
      <c r="G17" s="15" t="n"/>
      <c r="H17" s="15" t="n"/>
      <c r="I17" s="15" t="n"/>
      <c r="J17" s="59" t="n"/>
      <c r="K17" s="48">
        <f>IF(COUNTA(C17:J17)=0,"",IF(OR(C17&lt;&gt;Steuerung!$F$6,D17&lt;1,D17&gt;12),"Periode prüfen",IF(D17&lt;=Steuerung!$F$8,"IST gesperrt",IF(OR(E17="",F17="",COUNT(G17:I17)&lt;&gt;3),"Angaben fehlen","Wirksam"))))</f>
        <v/>
      </c>
      <c r="L17" s="5">
        <f>IF(K17="Wirksam",SUM(G17:H17)-I17,IF(K17="","","n.a."))</f>
        <v/>
      </c>
      <c r="M17" s="48" t="n"/>
    </row>
    <row r="18" ht="21" customHeight="1">
      <c r="A18" s="48" t="n"/>
      <c r="B18" s="48" t="n"/>
      <c r="C18" s="59" t="n"/>
      <c r="D18" s="59" t="n"/>
      <c r="E18" s="59" t="n"/>
      <c r="F18" s="59" t="n"/>
      <c r="G18" s="15" t="n"/>
      <c r="H18" s="15" t="n"/>
      <c r="I18" s="15" t="n"/>
      <c r="J18" s="59" t="n"/>
      <c r="K18" s="48">
        <f>IF(COUNTA(C18:J18)=0,"",IF(OR(C18&lt;&gt;Steuerung!$F$6,D18&lt;1,D18&gt;12),"Periode prüfen",IF(D18&lt;=Steuerung!$F$8,"IST gesperrt",IF(OR(E18="",F18="",COUNT(G18:I18)&lt;&gt;3),"Angaben fehlen","Wirksam"))))</f>
        <v/>
      </c>
      <c r="L18" s="5">
        <f>IF(K18="Wirksam",SUM(G18:H18)-I18,IF(K18="","","n.a."))</f>
        <v/>
      </c>
      <c r="M18" s="48" t="n"/>
    </row>
    <row r="19" ht="21" customHeight="1">
      <c r="A19" s="48" t="n"/>
      <c r="B19" s="48" t="n"/>
      <c r="C19" s="59" t="n"/>
      <c r="D19" s="59" t="n"/>
      <c r="E19" s="59" t="n"/>
      <c r="F19" s="59" t="n"/>
      <c r="G19" s="15" t="n"/>
      <c r="H19" s="15" t="n"/>
      <c r="I19" s="15" t="n"/>
      <c r="J19" s="59" t="n"/>
      <c r="K19" s="48">
        <f>IF(COUNTA(C19:J19)=0,"",IF(OR(C19&lt;&gt;Steuerung!$F$6,D19&lt;1,D19&gt;12),"Periode prüfen",IF(D19&lt;=Steuerung!$F$8,"IST gesperrt",IF(OR(E19="",F19="",COUNT(G19:I19)&lt;&gt;3),"Angaben fehlen","Wirksam"))))</f>
        <v/>
      </c>
      <c r="L19" s="5">
        <f>IF(K19="Wirksam",SUM(G19:H19)-I19,IF(K19="","","n.a."))</f>
        <v/>
      </c>
      <c r="M19" s="48" t="n"/>
    </row>
    <row r="20" ht="21" customHeight="1">
      <c r="A20" s="48" t="n"/>
      <c r="B20" s="48" t="n"/>
      <c r="C20" s="59" t="n"/>
      <c r="D20" s="59" t="n"/>
      <c r="E20" s="59" t="n"/>
      <c r="F20" s="59" t="n"/>
      <c r="G20" s="15" t="n"/>
      <c r="H20" s="15" t="n"/>
      <c r="I20" s="15" t="n"/>
      <c r="J20" s="59" t="n"/>
      <c r="K20" s="48">
        <f>IF(COUNTA(C20:J20)=0,"",IF(OR(C20&lt;&gt;Steuerung!$F$6,D20&lt;1,D20&gt;12),"Periode prüfen",IF(D20&lt;=Steuerung!$F$8,"IST gesperrt",IF(OR(E20="",F20="",COUNT(G20:I20)&lt;&gt;3),"Angaben fehlen","Wirksam"))))</f>
        <v/>
      </c>
      <c r="L20" s="5">
        <f>IF(K20="Wirksam",SUM(G20:H20)-I20,IF(K20="","","n.a."))</f>
        <v/>
      </c>
      <c r="M20" s="48" t="n"/>
    </row>
    <row r="21" ht="21" customHeight="1">
      <c r="A21" s="48" t="n"/>
      <c r="B21" s="48" t="n"/>
      <c r="C21" s="59" t="n"/>
      <c r="D21" s="59" t="n"/>
      <c r="E21" s="59" t="n"/>
      <c r="F21" s="59" t="n"/>
      <c r="G21" s="15" t="n"/>
      <c r="H21" s="15" t="n"/>
      <c r="I21" s="15" t="n"/>
      <c r="J21" s="59" t="n"/>
      <c r="K21" s="48">
        <f>IF(COUNTA(C21:J21)=0,"",IF(OR(C21&lt;&gt;Steuerung!$F$6,D21&lt;1,D21&gt;12),"Periode prüfen",IF(D21&lt;=Steuerung!$F$8,"IST gesperrt",IF(OR(E21="",F21="",COUNT(G21:I21)&lt;&gt;3),"Angaben fehlen","Wirksam"))))</f>
        <v/>
      </c>
      <c r="L21" s="5">
        <f>IF(K21="Wirksam",SUM(G21:H21)-I21,IF(K21="","","n.a."))</f>
        <v/>
      </c>
      <c r="M21" s="48" t="n"/>
    </row>
    <row r="22" ht="21" customHeight="1">
      <c r="A22" s="48" t="n"/>
      <c r="B22" s="48" t="n"/>
      <c r="C22" s="59" t="n"/>
      <c r="D22" s="59" t="n"/>
      <c r="E22" s="59" t="n"/>
      <c r="F22" s="59" t="n"/>
      <c r="G22" s="15" t="n"/>
      <c r="H22" s="15" t="n"/>
      <c r="I22" s="15" t="n"/>
      <c r="J22" s="59" t="n"/>
      <c r="K22" s="48">
        <f>IF(COUNTA(C22:J22)=0,"",IF(OR(C22&lt;&gt;Steuerung!$F$6,D22&lt;1,D22&gt;12),"Periode prüfen",IF(D22&lt;=Steuerung!$F$8,"IST gesperrt",IF(OR(E22="",F22="",COUNT(G22:I22)&lt;&gt;3),"Angaben fehlen","Wirksam"))))</f>
        <v/>
      </c>
      <c r="L22" s="5">
        <f>IF(K22="Wirksam",SUM(G22:H22)-I22,IF(K22="","","n.a."))</f>
        <v/>
      </c>
      <c r="M22" s="48" t="n"/>
    </row>
    <row r="23" ht="21" customHeight="1">
      <c r="A23" s="48" t="n"/>
      <c r="B23" s="48" t="n"/>
      <c r="C23" s="59" t="n"/>
      <c r="D23" s="59" t="n"/>
      <c r="E23" s="59" t="n"/>
      <c r="F23" s="59" t="n"/>
      <c r="G23" s="15" t="n"/>
      <c r="H23" s="15" t="n"/>
      <c r="I23" s="15" t="n"/>
      <c r="J23" s="59" t="n"/>
      <c r="K23" s="48">
        <f>IF(COUNTA(C23:J23)=0,"",IF(OR(C23&lt;&gt;Steuerung!$F$6,D23&lt;1,D23&gt;12),"Periode prüfen",IF(D23&lt;=Steuerung!$F$8,"IST gesperrt",IF(OR(E23="",F23="",COUNT(G23:I23)&lt;&gt;3),"Angaben fehlen","Wirksam"))))</f>
        <v/>
      </c>
      <c r="L23" s="5">
        <f>IF(K23="Wirksam",SUM(G23:H23)-I23,IF(K23="","","n.a."))</f>
        <v/>
      </c>
      <c r="M23" s="48" t="n"/>
    </row>
    <row r="24" ht="21" customHeight="1">
      <c r="A24" s="48" t="n"/>
      <c r="B24" s="48" t="n"/>
      <c r="C24" s="59" t="n"/>
      <c r="D24" s="59" t="n"/>
      <c r="E24" s="59" t="n"/>
      <c r="F24" s="59" t="n"/>
      <c r="G24" s="15" t="n"/>
      <c r="H24" s="15" t="n"/>
      <c r="I24" s="15" t="n"/>
      <c r="J24" s="59" t="n"/>
      <c r="K24" s="48">
        <f>IF(COUNTA(C24:J24)=0,"",IF(OR(C24&lt;&gt;Steuerung!$F$6,D24&lt;1,D24&gt;12),"Periode prüfen",IF(D24&lt;=Steuerung!$F$8,"IST gesperrt",IF(OR(E24="",F24="",COUNT(G24:I24)&lt;&gt;3),"Angaben fehlen","Wirksam"))))</f>
        <v/>
      </c>
      <c r="L24" s="5">
        <f>IF(K24="Wirksam",SUM(G24:H24)-I24,IF(K24="","","n.a."))</f>
        <v/>
      </c>
      <c r="M24" s="48" t="n"/>
    </row>
    <row r="25" ht="21" customHeight="1">
      <c r="A25" s="48" t="n"/>
      <c r="B25" s="48" t="n"/>
      <c r="C25" s="59" t="n"/>
      <c r="D25" s="59" t="n"/>
      <c r="E25" s="59" t="n"/>
      <c r="F25" s="59" t="n"/>
      <c r="G25" s="15" t="n"/>
      <c r="H25" s="15" t="n"/>
      <c r="I25" s="15" t="n"/>
      <c r="J25" s="59" t="n"/>
      <c r="K25" s="48">
        <f>IF(COUNTA(C25:J25)=0,"",IF(OR(C25&lt;&gt;Steuerung!$F$6,D25&lt;1,D25&gt;12),"Periode prüfen",IF(D25&lt;=Steuerung!$F$8,"IST gesperrt",IF(OR(E25="",F25="",COUNT(G25:I25)&lt;&gt;3),"Angaben fehlen","Wirksam"))))</f>
        <v/>
      </c>
      <c r="L25" s="5">
        <f>IF(K25="Wirksam",SUM(G25:H25)-I25,IF(K25="","","n.a."))</f>
        <v/>
      </c>
      <c r="M25" s="48" t="n"/>
    </row>
    <row r="26" ht="21" customHeight="1">
      <c r="A26" s="48" t="n"/>
      <c r="B26" s="48" t="n"/>
      <c r="C26" s="59" t="n"/>
      <c r="D26" s="59" t="n"/>
      <c r="E26" s="59" t="n"/>
      <c r="F26" s="59" t="n"/>
      <c r="G26" s="15" t="n"/>
      <c r="H26" s="15" t="n"/>
      <c r="I26" s="15" t="n"/>
      <c r="J26" s="59" t="n"/>
      <c r="K26" s="48">
        <f>IF(COUNTA(C26:J26)=0,"",IF(OR(C26&lt;&gt;Steuerung!$F$6,D26&lt;1,D26&gt;12),"Periode prüfen",IF(D26&lt;=Steuerung!$F$8,"IST gesperrt",IF(OR(E26="",F26="",COUNT(G26:I26)&lt;&gt;3),"Angaben fehlen","Wirksam"))))</f>
        <v/>
      </c>
      <c r="L26" s="5">
        <f>IF(K26="Wirksam",SUM(G26:H26)-I26,IF(K26="","","n.a."))</f>
        <v/>
      </c>
      <c r="M26" s="48" t="n"/>
    </row>
    <row r="27" ht="21" customHeight="1">
      <c r="A27" s="48" t="n"/>
      <c r="B27" s="48" t="n"/>
      <c r="C27" s="59" t="n"/>
      <c r="D27" s="59" t="n"/>
      <c r="E27" s="59" t="n"/>
      <c r="F27" s="59" t="n"/>
      <c r="G27" s="15" t="n"/>
      <c r="H27" s="15" t="n"/>
      <c r="I27" s="15" t="n"/>
      <c r="J27" s="59" t="n"/>
      <c r="K27" s="48">
        <f>IF(COUNTA(C27:J27)=0,"",IF(OR(C27&lt;&gt;Steuerung!$F$6,D27&lt;1,D27&gt;12),"Periode prüfen",IF(D27&lt;=Steuerung!$F$8,"IST gesperrt",IF(OR(E27="",F27="",COUNT(G27:I27)&lt;&gt;3),"Angaben fehlen","Wirksam"))))</f>
        <v/>
      </c>
      <c r="L27" s="5">
        <f>IF(K27="Wirksam",SUM(G27:H27)-I27,IF(K27="","","n.a."))</f>
        <v/>
      </c>
      <c r="M27" s="48" t="n"/>
    </row>
    <row r="28" ht="21" customHeight="1">
      <c r="A28" s="48" t="n"/>
      <c r="B28" s="48" t="n"/>
      <c r="C28" s="59" t="n"/>
      <c r="D28" s="59" t="n"/>
      <c r="E28" s="59" t="n"/>
      <c r="F28" s="59" t="n"/>
      <c r="G28" s="15" t="n"/>
      <c r="H28" s="15" t="n"/>
      <c r="I28" s="15" t="n"/>
      <c r="J28" s="59" t="n"/>
      <c r="K28" s="48">
        <f>IF(COUNTA(C28:J28)=0,"",IF(OR(C28&lt;&gt;Steuerung!$F$6,D28&lt;1,D28&gt;12),"Periode prüfen",IF(D28&lt;=Steuerung!$F$8,"IST gesperrt",IF(OR(E28="",F28="",COUNT(G28:I28)&lt;&gt;3),"Angaben fehlen","Wirksam"))))</f>
        <v/>
      </c>
      <c r="L28" s="5">
        <f>IF(K28="Wirksam",SUM(G28:H28)-I28,IF(K28="","","n.a."))</f>
        <v/>
      </c>
      <c r="M28" s="48" t="n"/>
    </row>
    <row r="29" ht="21" customHeight="1">
      <c r="A29" s="48" t="n"/>
      <c r="B29" s="48" t="n"/>
      <c r="C29" s="59" t="n"/>
      <c r="D29" s="59" t="n"/>
      <c r="E29" s="59" t="n"/>
      <c r="F29" s="59" t="n"/>
      <c r="G29" s="15" t="n"/>
      <c r="H29" s="15" t="n"/>
      <c r="I29" s="15" t="n"/>
      <c r="J29" s="59" t="n"/>
      <c r="K29" s="48">
        <f>IF(COUNTA(C29:J29)=0,"",IF(OR(C29&lt;&gt;Steuerung!$F$6,D29&lt;1,D29&gt;12),"Periode prüfen",IF(D29&lt;=Steuerung!$F$8,"IST gesperrt",IF(OR(E29="",F29="",COUNT(G29:I29)&lt;&gt;3),"Angaben fehlen","Wirksam"))))</f>
        <v/>
      </c>
      <c r="L29" s="5">
        <f>IF(K29="Wirksam",SUM(G29:H29)-I29,IF(K29="","","n.a."))</f>
        <v/>
      </c>
      <c r="M29" s="48" t="n"/>
    </row>
    <row r="30" ht="21" customHeight="1">
      <c r="A30" s="48" t="n"/>
      <c r="B30" s="48" t="n"/>
      <c r="C30" s="59" t="n"/>
      <c r="D30" s="59" t="n"/>
      <c r="E30" s="59" t="n"/>
      <c r="F30" s="59" t="n"/>
      <c r="G30" s="15" t="n"/>
      <c r="H30" s="15" t="n"/>
      <c r="I30" s="15" t="n"/>
      <c r="J30" s="59" t="n"/>
      <c r="K30" s="48">
        <f>IF(COUNTA(C30:J30)=0,"",IF(OR(C30&lt;&gt;Steuerung!$F$6,D30&lt;1,D30&gt;12),"Periode prüfen",IF(D30&lt;=Steuerung!$F$8,"IST gesperrt",IF(OR(E30="",F30="",COUNT(G30:I30)&lt;&gt;3),"Angaben fehlen","Wirksam"))))</f>
        <v/>
      </c>
      <c r="L30" s="5">
        <f>IF(K30="Wirksam",SUM(G30:H30)-I30,IF(K30="","","n.a."))</f>
        <v/>
      </c>
      <c r="M30" s="48" t="n"/>
    </row>
    <row r="31" ht="21" customHeight="1">
      <c r="A31" s="48" t="n"/>
      <c r="B31" s="48" t="n"/>
      <c r="C31" s="59" t="n"/>
      <c r="D31" s="59" t="n"/>
      <c r="E31" s="59" t="n"/>
      <c r="F31" s="59" t="n"/>
      <c r="G31" s="15" t="n"/>
      <c r="H31" s="15" t="n"/>
      <c r="I31" s="15" t="n"/>
      <c r="J31" s="59" t="n"/>
      <c r="K31" s="48">
        <f>IF(COUNTA(C31:J31)=0,"",IF(OR(C31&lt;&gt;Steuerung!$F$6,D31&lt;1,D31&gt;12),"Periode prüfen",IF(D31&lt;=Steuerung!$F$8,"IST gesperrt",IF(OR(E31="",F31="",COUNT(G31:I31)&lt;&gt;3),"Angaben fehlen","Wirksam"))))</f>
        <v/>
      </c>
      <c r="L31" s="5">
        <f>IF(K31="Wirksam",SUM(G31:H31)-I31,IF(K31="","","n.a."))</f>
        <v/>
      </c>
      <c r="M31" s="48" t="n"/>
    </row>
    <row r="32" ht="21" customHeight="1">
      <c r="A32" s="48" t="n"/>
      <c r="B32" s="48" t="n"/>
      <c r="C32" s="59" t="n"/>
      <c r="D32" s="59" t="n"/>
      <c r="E32" s="59" t="n"/>
      <c r="F32" s="59" t="n"/>
      <c r="G32" s="15" t="n"/>
      <c r="H32" s="15" t="n"/>
      <c r="I32" s="15" t="n"/>
      <c r="J32" s="59" t="n"/>
      <c r="K32" s="48">
        <f>IF(COUNTA(C32:J32)=0,"",IF(OR(C32&lt;&gt;Steuerung!$F$6,D32&lt;1,D32&gt;12),"Periode prüfen",IF(D32&lt;=Steuerung!$F$8,"IST gesperrt",IF(OR(E32="",F32="",COUNT(G32:I32)&lt;&gt;3),"Angaben fehlen","Wirksam"))))</f>
        <v/>
      </c>
      <c r="L32" s="5">
        <f>IF(K32="Wirksam",SUM(G32:H32)-I32,IF(K32="","","n.a."))</f>
        <v/>
      </c>
      <c r="M32" s="48" t="n"/>
    </row>
    <row r="33" ht="21" customHeight="1">
      <c r="A33" s="48" t="n"/>
      <c r="B33" s="48" t="n"/>
      <c r="C33" s="59" t="n"/>
      <c r="D33" s="59" t="n"/>
      <c r="E33" s="59" t="n"/>
      <c r="F33" s="59" t="n"/>
      <c r="G33" s="15" t="n"/>
      <c r="H33" s="15" t="n"/>
      <c r="I33" s="15" t="n"/>
      <c r="J33" s="59" t="n"/>
      <c r="K33" s="48">
        <f>IF(COUNTA(C33:J33)=0,"",IF(OR(C33&lt;&gt;Steuerung!$F$6,D33&lt;1,D33&gt;12),"Periode prüfen",IF(D33&lt;=Steuerung!$F$8,"IST gesperrt",IF(OR(E33="",F33="",COUNT(G33:I33)&lt;&gt;3),"Angaben fehlen","Wirksam"))))</f>
        <v/>
      </c>
      <c r="L33" s="5">
        <f>IF(K33="Wirksam",SUM(G33:H33)-I33,IF(K33="","","n.a."))</f>
        <v/>
      </c>
      <c r="M33" s="48" t="n"/>
    </row>
    <row r="34" ht="21" customHeight="1">
      <c r="A34" s="48" t="n"/>
      <c r="B34" s="48" t="n"/>
      <c r="C34" s="59" t="n"/>
      <c r="D34" s="59" t="n"/>
      <c r="E34" s="59" t="n"/>
      <c r="F34" s="59" t="n"/>
      <c r="G34" s="15" t="n"/>
      <c r="H34" s="15" t="n"/>
      <c r="I34" s="15" t="n"/>
      <c r="J34" s="59" t="n"/>
      <c r="K34" s="48">
        <f>IF(COUNTA(C34:J34)=0,"",IF(OR(C34&lt;&gt;Steuerung!$F$6,D34&lt;1,D34&gt;12),"Periode prüfen",IF(D34&lt;=Steuerung!$F$8,"IST gesperrt",IF(OR(E34="",F34="",COUNT(G34:I34)&lt;&gt;3),"Angaben fehlen","Wirksam"))))</f>
        <v/>
      </c>
      <c r="L34" s="5">
        <f>IF(K34="Wirksam",SUM(G34:H34)-I34,IF(K34="","","n.a."))</f>
        <v/>
      </c>
      <c r="M34" s="48" t="n"/>
    </row>
    <row r="35" ht="21" customHeight="1">
      <c r="A35" s="48" t="n"/>
      <c r="B35" s="48" t="n"/>
      <c r="C35" s="59" t="n"/>
      <c r="D35" s="59" t="n"/>
      <c r="E35" s="59" t="n"/>
      <c r="F35" s="59" t="n"/>
      <c r="G35" s="15" t="n"/>
      <c r="H35" s="15" t="n"/>
      <c r="I35" s="15" t="n"/>
      <c r="J35" s="59" t="n"/>
      <c r="K35" s="48">
        <f>IF(COUNTA(C35:J35)=0,"",IF(OR(C35&lt;&gt;Steuerung!$F$6,D35&lt;1,D35&gt;12),"Periode prüfen",IF(D35&lt;=Steuerung!$F$8,"IST gesperrt",IF(OR(E35="",F35="",COUNT(G35:I35)&lt;&gt;3),"Angaben fehlen","Wirksam"))))</f>
        <v/>
      </c>
      <c r="L35" s="5">
        <f>IF(K35="Wirksam",SUM(G35:H35)-I35,IF(K35="","","n.a."))</f>
        <v/>
      </c>
      <c r="M35" s="48" t="n"/>
    </row>
    <row r="36" ht="21" customHeight="1">
      <c r="A36" s="48" t="n"/>
      <c r="B36" s="48" t="n"/>
      <c r="C36" s="59" t="n"/>
      <c r="D36" s="59" t="n"/>
      <c r="E36" s="59" t="n"/>
      <c r="F36" s="59" t="n"/>
      <c r="G36" s="15" t="n"/>
      <c r="H36" s="15" t="n"/>
      <c r="I36" s="15" t="n"/>
      <c r="J36" s="59" t="n"/>
      <c r="K36" s="48">
        <f>IF(COUNTA(C36:J36)=0,"",IF(OR(C36&lt;&gt;Steuerung!$F$6,D36&lt;1,D36&gt;12),"Periode prüfen",IF(D36&lt;=Steuerung!$F$8,"IST gesperrt",IF(OR(E36="",F36="",COUNT(G36:I36)&lt;&gt;3),"Angaben fehlen","Wirksam"))))</f>
        <v/>
      </c>
      <c r="L36" s="5">
        <f>IF(K36="Wirksam",SUM(G36:H36)-I36,IF(K36="","","n.a."))</f>
        <v/>
      </c>
      <c r="M36" s="48" t="n"/>
    </row>
    <row r="37" ht="21" customHeight="1">
      <c r="A37" s="48" t="n"/>
      <c r="B37" s="48" t="n"/>
      <c r="C37" s="59" t="n"/>
      <c r="D37" s="59" t="n"/>
      <c r="E37" s="59" t="n"/>
      <c r="F37" s="59" t="n"/>
      <c r="G37" s="15" t="n"/>
      <c r="H37" s="15" t="n"/>
      <c r="I37" s="15" t="n"/>
      <c r="J37" s="59" t="n"/>
      <c r="K37" s="48">
        <f>IF(COUNTA(C37:J37)=0,"",IF(OR(C37&lt;&gt;Steuerung!$F$6,D37&lt;1,D37&gt;12),"Periode prüfen",IF(D37&lt;=Steuerung!$F$8,"IST gesperrt",IF(OR(E37="",F37="",COUNT(G37:I37)&lt;&gt;3),"Angaben fehlen","Wirksam"))))</f>
        <v/>
      </c>
      <c r="L37" s="5">
        <f>IF(K37="Wirksam",SUM(G37:H37)-I37,IF(K37="","","n.a."))</f>
        <v/>
      </c>
      <c r="M37" s="48" t="n"/>
    </row>
    <row r="38" ht="21" customHeight="1">
      <c r="A38" s="48" t="n"/>
      <c r="B38" s="48" t="n"/>
      <c r="C38" s="59" t="n"/>
      <c r="D38" s="59" t="n"/>
      <c r="E38" s="59" t="n"/>
      <c r="F38" s="59" t="n"/>
      <c r="G38" s="15" t="n"/>
      <c r="H38" s="15" t="n"/>
      <c r="I38" s="15" t="n"/>
      <c r="J38" s="59" t="n"/>
      <c r="K38" s="48">
        <f>IF(COUNTA(C38:J38)=0,"",IF(OR(C38&lt;&gt;Steuerung!$F$6,D38&lt;1,D38&gt;12),"Periode prüfen",IF(D38&lt;=Steuerung!$F$8,"IST gesperrt",IF(OR(E38="",F38="",COUNT(G38:I38)&lt;&gt;3),"Angaben fehlen","Wirksam"))))</f>
        <v/>
      </c>
      <c r="L38" s="5">
        <f>IF(K38="Wirksam",SUM(G38:H38)-I38,IF(K38="","","n.a."))</f>
        <v/>
      </c>
      <c r="M38" s="48" t="n"/>
    </row>
    <row r="39" ht="21" customHeight="1">
      <c r="A39" s="48" t="n"/>
      <c r="B39" s="48" t="n"/>
      <c r="C39" s="59" t="n"/>
      <c r="D39" s="59" t="n"/>
      <c r="E39" s="59" t="n"/>
      <c r="F39" s="59" t="n"/>
      <c r="G39" s="15" t="n"/>
      <c r="H39" s="15" t="n"/>
      <c r="I39" s="15" t="n"/>
      <c r="J39" s="59" t="n"/>
      <c r="K39" s="48">
        <f>IF(COUNTA(C39:J39)=0,"",IF(OR(C39&lt;&gt;Steuerung!$F$6,D39&lt;1,D39&gt;12),"Periode prüfen",IF(D39&lt;=Steuerung!$F$8,"IST gesperrt",IF(OR(E39="",F39="",COUNT(G39:I39)&lt;&gt;3),"Angaben fehlen","Wirksam"))))</f>
        <v/>
      </c>
      <c r="L39" s="5">
        <f>IF(K39="Wirksam",SUM(G39:H39)-I39,IF(K39="","","n.a."))</f>
        <v/>
      </c>
      <c r="M39" s="48" t="n"/>
    </row>
    <row r="40" ht="21" customHeight="1">
      <c r="A40" s="48" t="n"/>
      <c r="B40" s="48" t="n"/>
      <c r="C40" s="59" t="n"/>
      <c r="D40" s="59" t="n"/>
      <c r="E40" s="59" t="n"/>
      <c r="F40" s="59" t="n"/>
      <c r="G40" s="15" t="n"/>
      <c r="H40" s="15" t="n"/>
      <c r="I40" s="15" t="n"/>
      <c r="J40" s="59" t="n"/>
      <c r="K40" s="48">
        <f>IF(COUNTA(C40:J40)=0,"",IF(OR(C40&lt;&gt;Steuerung!$F$6,D40&lt;1,D40&gt;12),"Periode prüfen",IF(D40&lt;=Steuerung!$F$8,"IST gesperrt",IF(OR(E40="",F40="",COUNT(G40:I40)&lt;&gt;3),"Angaben fehlen","Wirksam"))))</f>
        <v/>
      </c>
      <c r="L40" s="5">
        <f>IF(K40="Wirksam",SUM(G40:H40)-I40,IF(K40="","","n.a."))</f>
        <v/>
      </c>
      <c r="M40" s="48" t="n"/>
    </row>
    <row r="41" ht="21" customHeight="1">
      <c r="A41" s="48" t="n"/>
      <c r="B41" s="48" t="n"/>
      <c r="C41" s="59" t="n"/>
      <c r="D41" s="59" t="n"/>
      <c r="E41" s="59" t="n"/>
      <c r="F41" s="59" t="n"/>
      <c r="G41" s="15" t="n"/>
      <c r="H41" s="15" t="n"/>
      <c r="I41" s="15" t="n"/>
      <c r="J41" s="59" t="n"/>
      <c r="K41" s="48">
        <f>IF(COUNTA(C41:J41)=0,"",IF(OR(C41&lt;&gt;Steuerung!$F$6,D41&lt;1,D41&gt;12),"Periode prüfen",IF(D41&lt;=Steuerung!$F$8,"IST gesperrt",IF(OR(E41="",F41="",COUNT(G41:I41)&lt;&gt;3),"Angaben fehlen","Wirksam"))))</f>
        <v/>
      </c>
      <c r="L41" s="5">
        <f>IF(K41="Wirksam",SUM(G41:H41)-I41,IF(K41="","","n.a."))</f>
        <v/>
      </c>
      <c r="M41" s="48" t="n"/>
    </row>
    <row r="42" ht="21" customHeight="1">
      <c r="A42" s="48" t="n"/>
      <c r="B42" s="48" t="n"/>
      <c r="C42" s="59" t="n"/>
      <c r="D42" s="59" t="n"/>
      <c r="E42" s="59" t="n"/>
      <c r="F42" s="59" t="n"/>
      <c r="G42" s="15" t="n"/>
      <c r="H42" s="15" t="n"/>
      <c r="I42" s="15" t="n"/>
      <c r="J42" s="59" t="n"/>
      <c r="K42" s="48">
        <f>IF(COUNTA(C42:J42)=0,"",IF(OR(C42&lt;&gt;Steuerung!$F$6,D42&lt;1,D42&gt;12),"Periode prüfen",IF(D42&lt;=Steuerung!$F$8,"IST gesperrt",IF(OR(E42="",F42="",COUNT(G42:I42)&lt;&gt;3),"Angaben fehlen","Wirksam"))))</f>
        <v/>
      </c>
      <c r="L42" s="5">
        <f>IF(K42="Wirksam",SUM(G42:H42)-I42,IF(K42="","","n.a."))</f>
        <v/>
      </c>
      <c r="M42" s="48" t="n"/>
    </row>
    <row r="43" ht="21" customHeight="1">
      <c r="A43" s="48" t="n"/>
      <c r="B43" s="48" t="n"/>
      <c r="C43" s="59" t="n"/>
      <c r="D43" s="59" t="n"/>
      <c r="E43" s="59" t="n"/>
      <c r="F43" s="59" t="n"/>
      <c r="G43" s="15" t="n"/>
      <c r="H43" s="15" t="n"/>
      <c r="I43" s="15" t="n"/>
      <c r="J43" s="59" t="n"/>
      <c r="K43" s="48">
        <f>IF(COUNTA(C43:J43)=0,"",IF(OR(C43&lt;&gt;Steuerung!$F$6,D43&lt;1,D43&gt;12),"Periode prüfen",IF(D43&lt;=Steuerung!$F$8,"IST gesperrt",IF(OR(E43="",F43="",COUNT(G43:I43)&lt;&gt;3),"Angaben fehlen","Wirksam"))))</f>
        <v/>
      </c>
      <c r="L43" s="5">
        <f>IF(K43="Wirksam",SUM(G43:H43)-I43,IF(K43="","","n.a."))</f>
        <v/>
      </c>
      <c r="M43" s="48" t="n"/>
    </row>
    <row r="44" ht="21" customHeight="1">
      <c r="A44" s="48" t="n"/>
      <c r="B44" s="48" t="n"/>
      <c r="C44" s="59" t="n"/>
      <c r="D44" s="59" t="n"/>
      <c r="E44" s="59" t="n"/>
      <c r="F44" s="59" t="n"/>
      <c r="G44" s="15" t="n"/>
      <c r="H44" s="15" t="n"/>
      <c r="I44" s="15" t="n"/>
      <c r="J44" s="59" t="n"/>
      <c r="K44" s="48">
        <f>IF(COUNTA(C44:J44)=0,"",IF(OR(C44&lt;&gt;Steuerung!$F$6,D44&lt;1,D44&gt;12),"Periode prüfen",IF(D44&lt;=Steuerung!$F$8,"IST gesperrt",IF(OR(E44="",F44="",COUNT(G44:I44)&lt;&gt;3),"Angaben fehlen","Wirksam"))))</f>
        <v/>
      </c>
      <c r="L44" s="5">
        <f>IF(K44="Wirksam",SUM(G44:H44)-I44,IF(K44="","","n.a."))</f>
        <v/>
      </c>
      <c r="M44" s="48" t="n"/>
    </row>
    <row r="45" ht="21" customHeight="1">
      <c r="A45" s="48" t="n"/>
      <c r="B45" s="48" t="n"/>
      <c r="C45" s="59" t="n"/>
      <c r="D45" s="59" t="n"/>
      <c r="E45" s="59" t="n"/>
      <c r="F45" s="59" t="n"/>
      <c r="G45" s="15" t="n"/>
      <c r="H45" s="15" t="n"/>
      <c r="I45" s="15" t="n"/>
      <c r="J45" s="59" t="n"/>
      <c r="K45" s="48">
        <f>IF(COUNTA(C45:J45)=0,"",IF(OR(C45&lt;&gt;Steuerung!$F$6,D45&lt;1,D45&gt;12),"Periode prüfen",IF(D45&lt;=Steuerung!$F$8,"IST gesperrt",IF(OR(E45="",F45="",COUNT(G45:I45)&lt;&gt;3),"Angaben fehlen","Wirksam"))))</f>
        <v/>
      </c>
      <c r="L45" s="5">
        <f>IF(K45="Wirksam",SUM(G45:H45)-I45,IF(K45="","","n.a."))</f>
        <v/>
      </c>
      <c r="M45" s="48" t="n"/>
    </row>
    <row r="46" ht="21" customHeight="1">
      <c r="A46" s="48" t="n"/>
      <c r="B46" s="48" t="n"/>
      <c r="C46" s="59" t="n"/>
      <c r="D46" s="59" t="n"/>
      <c r="E46" s="59" t="n"/>
      <c r="F46" s="59" t="n"/>
      <c r="G46" s="15" t="n"/>
      <c r="H46" s="15" t="n"/>
      <c r="I46" s="15" t="n"/>
      <c r="J46" s="59" t="n"/>
      <c r="K46" s="48">
        <f>IF(COUNTA(C46:J46)=0,"",IF(OR(C46&lt;&gt;Steuerung!$F$6,D46&lt;1,D46&gt;12),"Periode prüfen",IF(D46&lt;=Steuerung!$F$8,"IST gesperrt",IF(OR(E46="",F46="",COUNT(G46:I46)&lt;&gt;3),"Angaben fehlen","Wirksam"))))</f>
        <v/>
      </c>
      <c r="L46" s="5">
        <f>IF(K46="Wirksam",SUM(G46:H46)-I46,IF(K46="","","n.a."))</f>
        <v/>
      </c>
      <c r="M46" s="48" t="n"/>
    </row>
    <row r="47" ht="21" customHeight="1">
      <c r="A47" s="48" t="n"/>
      <c r="B47" s="48" t="n"/>
      <c r="C47" s="59" t="n"/>
      <c r="D47" s="59" t="n"/>
      <c r="E47" s="59" t="n"/>
      <c r="F47" s="59" t="n"/>
      <c r="G47" s="15" t="n"/>
      <c r="H47" s="15" t="n"/>
      <c r="I47" s="15" t="n"/>
      <c r="J47" s="59" t="n"/>
      <c r="K47" s="48">
        <f>IF(COUNTA(C47:J47)=0,"",IF(OR(C47&lt;&gt;Steuerung!$F$6,D47&lt;1,D47&gt;12),"Periode prüfen",IF(D47&lt;=Steuerung!$F$8,"IST gesperrt",IF(OR(E47="",F47="",COUNT(G47:I47)&lt;&gt;3),"Angaben fehlen","Wirksam"))))</f>
        <v/>
      </c>
      <c r="L47" s="5">
        <f>IF(K47="Wirksam",SUM(G47:H47)-I47,IF(K47="","","n.a."))</f>
        <v/>
      </c>
      <c r="M47" s="48" t="n"/>
    </row>
    <row r="48" ht="21" customHeight="1">
      <c r="A48" s="48" t="n"/>
      <c r="B48" s="48" t="n"/>
      <c r="C48" s="59" t="n"/>
      <c r="D48" s="59" t="n"/>
      <c r="E48" s="59" t="n"/>
      <c r="F48" s="59" t="n"/>
      <c r="G48" s="15" t="n"/>
      <c r="H48" s="15" t="n"/>
      <c r="I48" s="15" t="n"/>
      <c r="J48" s="59" t="n"/>
      <c r="K48" s="48">
        <f>IF(COUNTA(C48:J48)=0,"",IF(OR(C48&lt;&gt;Steuerung!$F$6,D48&lt;1,D48&gt;12),"Periode prüfen",IF(D48&lt;=Steuerung!$F$8,"IST gesperrt",IF(OR(E48="",F48="",COUNT(G48:I48)&lt;&gt;3),"Angaben fehlen","Wirksam"))))</f>
        <v/>
      </c>
      <c r="L48" s="5">
        <f>IF(K48="Wirksam",SUM(G48:H48)-I48,IF(K48="","","n.a."))</f>
        <v/>
      </c>
      <c r="M48" s="48" t="n"/>
    </row>
    <row r="49" ht="21" customHeight="1">
      <c r="A49" s="48" t="n"/>
      <c r="B49" s="48" t="n"/>
      <c r="C49" s="59" t="n"/>
      <c r="D49" s="59" t="n"/>
      <c r="E49" s="59" t="n"/>
      <c r="F49" s="59" t="n"/>
      <c r="G49" s="15" t="n"/>
      <c r="H49" s="15" t="n"/>
      <c r="I49" s="15" t="n"/>
      <c r="J49" s="59" t="n"/>
      <c r="K49" s="48">
        <f>IF(COUNTA(C49:J49)=0,"",IF(OR(C49&lt;&gt;Steuerung!$F$6,D49&lt;1,D49&gt;12),"Periode prüfen",IF(D49&lt;=Steuerung!$F$8,"IST gesperrt",IF(OR(E49="",F49="",COUNT(G49:I49)&lt;&gt;3),"Angaben fehlen","Wirksam"))))</f>
        <v/>
      </c>
      <c r="L49" s="5">
        <f>IF(K49="Wirksam",SUM(G49:H49)-I49,IF(K49="","","n.a."))</f>
        <v/>
      </c>
      <c r="M49" s="48" t="n"/>
    </row>
    <row r="50" ht="21" customHeight="1">
      <c r="A50" s="48" t="n"/>
      <c r="B50" s="48" t="n"/>
      <c r="C50" s="59" t="n"/>
      <c r="D50" s="59" t="n"/>
      <c r="E50" s="59" t="n"/>
      <c r="F50" s="59" t="n"/>
      <c r="G50" s="15" t="n"/>
      <c r="H50" s="15" t="n"/>
      <c r="I50" s="15" t="n"/>
      <c r="J50" s="59" t="n"/>
      <c r="K50" s="48">
        <f>IF(COUNTA(C50:J50)=0,"",IF(OR(C50&lt;&gt;Steuerung!$F$6,D50&lt;1,D50&gt;12),"Periode prüfen",IF(D50&lt;=Steuerung!$F$8,"IST gesperrt",IF(OR(E50="",F50="",COUNT(G50:I50)&lt;&gt;3),"Angaben fehlen","Wirksam"))))</f>
        <v/>
      </c>
      <c r="L50" s="5">
        <f>IF(K50="Wirksam",SUM(G50:H50)-I50,IF(K50="","","n.a."))</f>
        <v/>
      </c>
      <c r="M50" s="48" t="n"/>
    </row>
    <row r="51" ht="21" customHeight="1">
      <c r="A51" s="48" t="n"/>
      <c r="B51" s="48" t="n"/>
      <c r="C51" s="59" t="n"/>
      <c r="D51" s="59" t="n"/>
      <c r="E51" s="59" t="n"/>
      <c r="F51" s="59" t="n"/>
      <c r="G51" s="15" t="n"/>
      <c r="H51" s="15" t="n"/>
      <c r="I51" s="15" t="n"/>
      <c r="J51" s="59" t="n"/>
      <c r="K51" s="48">
        <f>IF(COUNTA(C51:J51)=0,"",IF(OR(C51&lt;&gt;Steuerung!$F$6,D51&lt;1,D51&gt;12),"Periode prüfen",IF(D51&lt;=Steuerung!$F$8,"IST gesperrt",IF(OR(E51="",F51="",COUNT(G51:I51)&lt;&gt;3),"Angaben fehlen","Wirksam"))))</f>
        <v/>
      </c>
      <c r="L51" s="5">
        <f>IF(K51="Wirksam",SUM(G51:H51)-I51,IF(K51="","","n.a."))</f>
        <v/>
      </c>
      <c r="M51" s="48" t="n"/>
    </row>
    <row r="52" ht="21" customHeight="1">
      <c r="A52" s="48" t="n"/>
      <c r="B52" s="48" t="n"/>
      <c r="C52" s="59" t="n"/>
      <c r="D52" s="59" t="n"/>
      <c r="E52" s="59" t="n"/>
      <c r="F52" s="59" t="n"/>
      <c r="G52" s="15" t="n"/>
      <c r="H52" s="15" t="n"/>
      <c r="I52" s="15" t="n"/>
      <c r="J52" s="59" t="n"/>
      <c r="K52" s="48">
        <f>IF(COUNTA(C52:J52)=0,"",IF(OR(C52&lt;&gt;Steuerung!$F$6,D52&lt;1,D52&gt;12),"Periode prüfen",IF(D52&lt;=Steuerung!$F$8,"IST gesperrt",IF(OR(E52="",F52="",COUNT(G52:I52)&lt;&gt;3),"Angaben fehlen","Wirksam"))))</f>
        <v/>
      </c>
      <c r="L52" s="5">
        <f>IF(K52="Wirksam",SUM(G52:H52)-I52,IF(K52="","","n.a."))</f>
        <v/>
      </c>
      <c r="M52" s="48" t="n"/>
    </row>
    <row r="53" ht="21" customHeight="1">
      <c r="A53" s="48" t="n"/>
      <c r="B53" s="48" t="n"/>
      <c r="C53" s="59" t="n"/>
      <c r="D53" s="59" t="n"/>
      <c r="E53" s="59" t="n"/>
      <c r="F53" s="59" t="n"/>
      <c r="G53" s="15" t="n"/>
      <c r="H53" s="15" t="n"/>
      <c r="I53" s="15" t="n"/>
      <c r="J53" s="59" t="n"/>
      <c r="K53" s="48">
        <f>IF(COUNTA(C53:J53)=0,"",IF(OR(C53&lt;&gt;Steuerung!$F$6,D53&lt;1,D53&gt;12),"Periode prüfen",IF(D53&lt;=Steuerung!$F$8,"IST gesperrt",IF(OR(E53="",F53="",COUNT(G53:I53)&lt;&gt;3),"Angaben fehlen","Wirksam"))))</f>
        <v/>
      </c>
      <c r="L53" s="5">
        <f>IF(K53="Wirksam",SUM(G53:H53)-I53,IF(K53="","","n.a."))</f>
        <v/>
      </c>
      <c r="M53" s="48" t="n"/>
    </row>
    <row r="54" ht="21" customHeight="1">
      <c r="A54" s="48" t="n"/>
      <c r="B54" s="48" t="n"/>
      <c r="C54" s="59" t="n"/>
      <c r="D54" s="59" t="n"/>
      <c r="E54" s="59" t="n"/>
      <c r="F54" s="59" t="n"/>
      <c r="G54" s="15" t="n"/>
      <c r="H54" s="15" t="n"/>
      <c r="I54" s="15" t="n"/>
      <c r="J54" s="59" t="n"/>
      <c r="K54" s="48">
        <f>IF(COUNTA(C54:J54)=0,"",IF(OR(C54&lt;&gt;Steuerung!$F$6,D54&lt;1,D54&gt;12),"Periode prüfen",IF(D54&lt;=Steuerung!$F$8,"IST gesperrt",IF(OR(E54="",F54="",COUNT(G54:I54)&lt;&gt;3),"Angaben fehlen","Wirksam"))))</f>
        <v/>
      </c>
      <c r="L54" s="5">
        <f>IF(K54="Wirksam",SUM(G54:H54)-I54,IF(K54="","","n.a."))</f>
        <v/>
      </c>
      <c r="M54" s="48" t="n"/>
    </row>
    <row r="55" ht="21" customHeight="1">
      <c r="A55" s="48" t="n"/>
      <c r="B55" s="48" t="n"/>
      <c r="C55" s="59" t="n"/>
      <c r="D55" s="59" t="n"/>
      <c r="E55" s="59" t="n"/>
      <c r="F55" s="59" t="n"/>
      <c r="G55" s="15" t="n"/>
      <c r="H55" s="15" t="n"/>
      <c r="I55" s="15" t="n"/>
      <c r="J55" s="59" t="n"/>
      <c r="K55" s="48">
        <f>IF(COUNTA(C55:J55)=0,"",IF(OR(C55&lt;&gt;Steuerung!$F$6,D55&lt;1,D55&gt;12),"Periode prüfen",IF(D55&lt;=Steuerung!$F$8,"IST gesperrt",IF(OR(E55="",F55="",COUNT(G55:I55)&lt;&gt;3),"Angaben fehlen","Wirksam"))))</f>
        <v/>
      </c>
      <c r="L55" s="5">
        <f>IF(K55="Wirksam",SUM(G55:H55)-I55,IF(K55="","","n.a."))</f>
        <v/>
      </c>
      <c r="M55" s="48" t="n"/>
    </row>
    <row r="56" ht="21" customHeight="1">
      <c r="A56" s="48" t="n"/>
      <c r="B56" s="48" t="n"/>
      <c r="C56" s="59" t="n"/>
      <c r="D56" s="59" t="n"/>
      <c r="E56" s="59" t="n"/>
      <c r="F56" s="59" t="n"/>
      <c r="G56" s="15" t="n"/>
      <c r="H56" s="15" t="n"/>
      <c r="I56" s="15" t="n"/>
      <c r="J56" s="59" t="n"/>
      <c r="K56" s="48">
        <f>IF(COUNTA(C56:J56)=0,"",IF(OR(C56&lt;&gt;Steuerung!$F$6,D56&lt;1,D56&gt;12),"Periode prüfen",IF(D56&lt;=Steuerung!$F$8,"IST gesperrt",IF(OR(E56="",F56="",COUNT(G56:I56)&lt;&gt;3),"Angaben fehlen","Wirksam"))))</f>
        <v/>
      </c>
      <c r="L56" s="5">
        <f>IF(K56="Wirksam",SUM(G56:H56)-I56,IF(K56="","","n.a."))</f>
        <v/>
      </c>
      <c r="M56" s="48" t="n"/>
    </row>
    <row r="57" ht="21" customHeight="1">
      <c r="A57" s="48" t="n"/>
      <c r="B57" s="48" t="n"/>
      <c r="C57" s="59" t="n"/>
      <c r="D57" s="59" t="n"/>
      <c r="E57" s="59" t="n"/>
      <c r="F57" s="59" t="n"/>
      <c r="G57" s="15" t="n"/>
      <c r="H57" s="15" t="n"/>
      <c r="I57" s="15" t="n"/>
      <c r="J57" s="59" t="n"/>
      <c r="K57" s="48">
        <f>IF(COUNTA(C57:J57)=0,"",IF(OR(C57&lt;&gt;Steuerung!$F$6,D57&lt;1,D57&gt;12),"Periode prüfen",IF(D57&lt;=Steuerung!$F$8,"IST gesperrt",IF(OR(E57="",F57="",COUNT(G57:I57)&lt;&gt;3),"Angaben fehlen","Wirksam"))))</f>
        <v/>
      </c>
      <c r="L57" s="5">
        <f>IF(K57="Wirksam",SUM(G57:H57)-I57,IF(K57="","","n.a."))</f>
        <v/>
      </c>
      <c r="M57" s="48" t="n"/>
    </row>
    <row r="58" ht="21" customHeight="1">
      <c r="A58" s="48" t="n"/>
      <c r="B58" s="48" t="n"/>
      <c r="C58" s="59" t="n"/>
      <c r="D58" s="59" t="n"/>
      <c r="E58" s="59" t="n"/>
      <c r="F58" s="59" t="n"/>
      <c r="G58" s="15" t="n"/>
      <c r="H58" s="15" t="n"/>
      <c r="I58" s="15" t="n"/>
      <c r="J58" s="59" t="n"/>
      <c r="K58" s="48">
        <f>IF(COUNTA(C58:J58)=0,"",IF(OR(C58&lt;&gt;Steuerung!$F$6,D58&lt;1,D58&gt;12),"Periode prüfen",IF(D58&lt;=Steuerung!$F$8,"IST gesperrt",IF(OR(E58="",F58="",COUNT(G58:I58)&lt;&gt;3),"Angaben fehlen","Wirksam"))))</f>
        <v/>
      </c>
      <c r="L58" s="5">
        <f>IF(K58="Wirksam",SUM(G58:H58)-I58,IF(K58="","","n.a."))</f>
        <v/>
      </c>
      <c r="M58" s="48" t="n"/>
    </row>
    <row r="59" ht="21" customHeight="1">
      <c r="A59" s="48" t="n"/>
      <c r="B59" s="48" t="n"/>
      <c r="C59" s="59" t="n"/>
      <c r="D59" s="59" t="n"/>
      <c r="E59" s="59" t="n"/>
      <c r="F59" s="59" t="n"/>
      <c r="G59" s="15" t="n"/>
      <c r="H59" s="15" t="n"/>
      <c r="I59" s="15" t="n"/>
      <c r="J59" s="59" t="n"/>
      <c r="K59" s="48">
        <f>IF(COUNTA(C59:J59)=0,"",IF(OR(C59&lt;&gt;Steuerung!$F$6,D59&lt;1,D59&gt;12),"Periode prüfen",IF(D59&lt;=Steuerung!$F$8,"IST gesperrt",IF(OR(E59="",F59="",COUNT(G59:I59)&lt;&gt;3),"Angaben fehlen","Wirksam"))))</f>
        <v/>
      </c>
      <c r="L59" s="5">
        <f>IF(K59="Wirksam",SUM(G59:H59)-I59,IF(K59="","","n.a."))</f>
        <v/>
      </c>
      <c r="M59" s="48" t="n"/>
    </row>
    <row r="60" ht="21" customHeight="1">
      <c r="A60" s="48" t="n"/>
      <c r="B60" s="48" t="n"/>
      <c r="C60" s="59" t="n"/>
      <c r="D60" s="59" t="n"/>
      <c r="E60" s="59" t="n"/>
      <c r="F60" s="59" t="n"/>
      <c r="G60" s="15" t="n"/>
      <c r="H60" s="15" t="n"/>
      <c r="I60" s="15" t="n"/>
      <c r="J60" s="59" t="n"/>
      <c r="K60" s="48">
        <f>IF(COUNTA(C60:J60)=0,"",IF(OR(C60&lt;&gt;Steuerung!$F$6,D60&lt;1,D60&gt;12),"Periode prüfen",IF(D60&lt;=Steuerung!$F$8,"IST gesperrt",IF(OR(E60="",F60="",COUNT(G60:I60)&lt;&gt;3),"Angaben fehlen","Wirksam"))))</f>
        <v/>
      </c>
      <c r="L60" s="5">
        <f>IF(K60="Wirksam",SUM(G60:H60)-I60,IF(K60="","","n.a."))</f>
        <v/>
      </c>
      <c r="M60" s="48" t="n"/>
    </row>
    <row r="61" ht="21" customHeight="1">
      <c r="C61" s="14" t="n"/>
      <c r="D61" s="14" t="n"/>
      <c r="E61" s="14" t="n"/>
      <c r="F61" s="14" t="n"/>
      <c r="G61" s="16" t="n"/>
      <c r="H61" s="16" t="n"/>
      <c r="I61" s="16" t="n"/>
      <c r="J61" s="14" t="n"/>
      <c r="K61" s="10">
        <f>IF(COUNTA(C61:J61)=0,"",IF(OR(C61&lt;&gt;Steuerung!$F$6,D61&lt;1,D61&gt;12),"Periode prüfen",IF(D61&lt;=Steuerung!$F$8,"IST gesperrt",IF(OR(E61="",F61="",COUNT(G61:I61)&lt;&gt;3),"Angaben fehlen","Wirksam"))))</f>
        <v/>
      </c>
      <c r="L61" s="8">
        <f>IF(K61="Wirksam",SUM(G61:H61)-I61,IF(K61="","","n.a."))</f>
        <v/>
      </c>
    </row>
    <row r="62" ht="21" customHeight="1">
      <c r="C62" s="14" t="n"/>
      <c r="D62" s="14" t="n"/>
      <c r="E62" s="14" t="n"/>
      <c r="F62" s="14" t="n"/>
      <c r="G62" s="16" t="n"/>
      <c r="H62" s="16" t="n"/>
      <c r="I62" s="16" t="n"/>
      <c r="J62" s="14" t="n"/>
      <c r="K62" s="10">
        <f>IF(COUNTA(C62:J62)=0,"",IF(OR(C62&lt;&gt;Steuerung!$F$6,D62&lt;1,D62&gt;12),"Periode prüfen",IF(D62&lt;=Steuerung!$F$8,"IST gesperrt",IF(OR(E62="",F62="",COUNT(G62:I62)&lt;&gt;3),"Angaben fehlen","Wirksam"))))</f>
        <v/>
      </c>
      <c r="L62" s="8">
        <f>IF(K62="Wirksam",SUM(G62:H62)-I62,IF(K62="","","n.a."))</f>
        <v/>
      </c>
    </row>
    <row r="63" ht="21" customHeight="1">
      <c r="C63" s="14" t="n"/>
      <c r="D63" s="14" t="n"/>
      <c r="E63" s="14" t="n"/>
      <c r="F63" s="14" t="n"/>
      <c r="G63" s="16" t="n"/>
      <c r="H63" s="16" t="n"/>
      <c r="I63" s="16" t="n"/>
      <c r="J63" s="14" t="n"/>
      <c r="K63" s="10">
        <f>IF(COUNTA(C63:J63)=0,"",IF(OR(C63&lt;&gt;Steuerung!$F$6,D63&lt;1,D63&gt;12),"Periode prüfen",IF(D63&lt;=Steuerung!$F$8,"IST gesperrt",IF(OR(E63="",F63="",COUNT(G63:I63)&lt;&gt;3),"Angaben fehlen","Wirksam"))))</f>
        <v/>
      </c>
      <c r="L63" s="8">
        <f>IF(K63="Wirksam",SUM(G63:H63)-I63,IF(K63="","","n.a."))</f>
        <v/>
      </c>
    </row>
    <row r="64" ht="21" customHeight="1">
      <c r="C64" s="14" t="n"/>
      <c r="D64" s="14" t="n"/>
      <c r="E64" s="14" t="n"/>
      <c r="F64" s="14" t="n"/>
      <c r="G64" s="16" t="n"/>
      <c r="H64" s="16" t="n"/>
      <c r="I64" s="16" t="n"/>
      <c r="J64" s="14" t="n"/>
      <c r="K64" s="10">
        <f>IF(COUNTA(C64:J64)=0,"",IF(OR(C64&lt;&gt;Steuerung!$F$6,D64&lt;1,D64&gt;12),"Periode prüfen",IF(D64&lt;=Steuerung!$F$8,"IST gesperrt",IF(OR(E64="",F64="",COUNT(G64:I64)&lt;&gt;3),"Angaben fehlen","Wirksam"))))</f>
        <v/>
      </c>
      <c r="L64" s="8">
        <f>IF(K64="Wirksam",SUM(G64:H64)-I64,IF(K64="","","n.a."))</f>
        <v/>
      </c>
    </row>
    <row r="65" ht="21" customHeight="1">
      <c r="C65" s="14" t="n"/>
      <c r="D65" s="14" t="n"/>
      <c r="E65" s="14" t="n"/>
      <c r="F65" s="14" t="n"/>
      <c r="G65" s="16" t="n"/>
      <c r="H65" s="16" t="n"/>
      <c r="I65" s="16" t="n"/>
      <c r="J65" s="14" t="n"/>
      <c r="K65" s="10">
        <f>IF(COUNTA(C65:J65)=0,"",IF(OR(C65&lt;&gt;Steuerung!$F$6,D65&lt;1,D65&gt;12),"Periode prüfen",IF(D65&lt;=Steuerung!$F$8,"IST gesperrt",IF(OR(E65="",F65="",COUNT(G65:I65)&lt;&gt;3),"Angaben fehlen","Wirksam"))))</f>
        <v/>
      </c>
      <c r="L65" s="8">
        <f>IF(K65="Wirksam",SUM(G65:H65)-I65,IF(K65="","","n.a."))</f>
        <v/>
      </c>
    </row>
    <row r="66" ht="21" customHeight="1">
      <c r="C66" s="14" t="n"/>
      <c r="D66" s="14" t="n"/>
      <c r="E66" s="14" t="n"/>
      <c r="F66" s="14" t="n"/>
      <c r="G66" s="16" t="n"/>
      <c r="H66" s="16" t="n"/>
      <c r="I66" s="16" t="n"/>
      <c r="J66" s="14" t="n"/>
      <c r="K66" s="10">
        <f>IF(COUNTA(C66:J66)=0,"",IF(OR(C66&lt;&gt;Steuerung!$F$6,D66&lt;1,D66&gt;12),"Periode prüfen",IF(D66&lt;=Steuerung!$F$8,"IST gesperrt",IF(OR(E66="",F66="",COUNT(G66:I66)&lt;&gt;3),"Angaben fehlen","Wirksam"))))</f>
        <v/>
      </c>
      <c r="L66" s="8">
        <f>IF(K66="Wirksam",SUM(G66:H66)-I66,IF(K66="","","n.a."))</f>
        <v/>
      </c>
    </row>
    <row r="67" ht="21" customHeight="1">
      <c r="C67" s="14" t="n"/>
      <c r="D67" s="14" t="n"/>
      <c r="E67" s="14" t="n"/>
      <c r="F67" s="14" t="n"/>
      <c r="G67" s="16" t="n"/>
      <c r="H67" s="16" t="n"/>
      <c r="I67" s="16" t="n"/>
      <c r="J67" s="14" t="n"/>
      <c r="K67" s="10">
        <f>IF(COUNTA(C67:J67)=0,"",IF(OR(C67&lt;&gt;Steuerung!$F$6,D67&lt;1,D67&gt;12),"Periode prüfen",IF(D67&lt;=Steuerung!$F$8,"IST gesperrt",IF(OR(E67="",F67="",COUNT(G67:I67)&lt;&gt;3),"Angaben fehlen","Wirksam"))))</f>
        <v/>
      </c>
      <c r="L67" s="8">
        <f>IF(K67="Wirksam",SUM(G67:H67)-I67,IF(K67="","","n.a."))</f>
        <v/>
      </c>
    </row>
    <row r="68" ht="21" customHeight="1">
      <c r="C68" s="14" t="n"/>
      <c r="D68" s="14" t="n"/>
      <c r="E68" s="14" t="n"/>
      <c r="F68" s="14" t="n"/>
      <c r="G68" s="16" t="n"/>
      <c r="H68" s="16" t="n"/>
      <c r="I68" s="16" t="n"/>
      <c r="J68" s="14" t="n"/>
      <c r="K68" s="10">
        <f>IF(COUNTA(C68:J68)=0,"",IF(OR(C68&lt;&gt;Steuerung!$F$6,D68&lt;1,D68&gt;12),"Periode prüfen",IF(D68&lt;=Steuerung!$F$8,"IST gesperrt",IF(OR(E68="",F68="",COUNT(G68:I68)&lt;&gt;3),"Angaben fehlen","Wirksam"))))</f>
        <v/>
      </c>
      <c r="L68" s="8">
        <f>IF(K68="Wirksam",SUM(G68:H68)-I68,IF(K68="","","n.a."))</f>
        <v/>
      </c>
    </row>
    <row r="69" ht="21" customHeight="1">
      <c r="C69" s="14" t="n"/>
      <c r="D69" s="14" t="n"/>
      <c r="E69" s="14" t="n"/>
      <c r="F69" s="14" t="n"/>
      <c r="G69" s="16" t="n"/>
      <c r="H69" s="16" t="n"/>
      <c r="I69" s="16" t="n"/>
      <c r="J69" s="14" t="n"/>
      <c r="K69" s="10">
        <f>IF(COUNTA(C69:J69)=0,"",IF(OR(C69&lt;&gt;Steuerung!$F$6,D69&lt;1,D69&gt;12),"Periode prüfen",IF(D69&lt;=Steuerung!$F$8,"IST gesperrt",IF(OR(E69="",F69="",COUNT(G69:I69)&lt;&gt;3),"Angaben fehlen","Wirksam"))))</f>
        <v/>
      </c>
      <c r="L69" s="8">
        <f>IF(K69="Wirksam",SUM(G69:H69)-I69,IF(K69="","","n.a."))</f>
        <v/>
      </c>
    </row>
    <row r="70" ht="21" customHeight="1">
      <c r="C70" s="14" t="n"/>
      <c r="D70" s="14" t="n"/>
      <c r="E70" s="14" t="n"/>
      <c r="F70" s="14" t="n"/>
      <c r="G70" s="16" t="n"/>
      <c r="H70" s="16" t="n"/>
      <c r="I70" s="16" t="n"/>
      <c r="J70" s="14" t="n"/>
      <c r="K70" s="10">
        <f>IF(COUNTA(C70:J70)=0,"",IF(OR(C70&lt;&gt;Steuerung!$F$6,D70&lt;1,D70&gt;12),"Periode prüfen",IF(D70&lt;=Steuerung!$F$8,"IST gesperrt",IF(OR(E70="",F70="",COUNT(G70:I70)&lt;&gt;3),"Angaben fehlen","Wirksam"))))</f>
        <v/>
      </c>
      <c r="L70" s="8">
        <f>IF(K70="Wirksam",SUM(G70:H70)-I70,IF(K70="","","n.a."))</f>
        <v/>
      </c>
    </row>
    <row r="71" ht="21" customHeight="1">
      <c r="C71" s="14" t="n"/>
      <c r="D71" s="14" t="n"/>
      <c r="E71" s="14" t="n"/>
      <c r="F71" s="14" t="n"/>
      <c r="G71" s="16" t="n"/>
      <c r="H71" s="16" t="n"/>
      <c r="I71" s="16" t="n"/>
      <c r="J71" s="14" t="n"/>
      <c r="K71" s="10">
        <f>IF(COUNTA(C71:J71)=0,"",IF(OR(C71&lt;&gt;Steuerung!$F$6,D71&lt;1,D71&gt;12),"Periode prüfen",IF(D71&lt;=Steuerung!$F$8,"IST gesperrt",IF(OR(E71="",F71="",COUNT(G71:I71)&lt;&gt;3),"Angaben fehlen","Wirksam"))))</f>
        <v/>
      </c>
      <c r="L71" s="8">
        <f>IF(K71="Wirksam",SUM(G71:H71)-I71,IF(K71="","","n.a."))</f>
        <v/>
      </c>
    </row>
    <row r="72" ht="21" customHeight="1">
      <c r="C72" s="14" t="n"/>
      <c r="D72" s="14" t="n"/>
      <c r="E72" s="14" t="n"/>
      <c r="F72" s="14" t="n"/>
      <c r="G72" s="16" t="n"/>
      <c r="H72" s="16" t="n"/>
      <c r="I72" s="16" t="n"/>
      <c r="J72" s="14" t="n"/>
      <c r="K72" s="10">
        <f>IF(COUNTA(C72:J72)=0,"",IF(OR(C72&lt;&gt;Steuerung!$F$6,D72&lt;1,D72&gt;12),"Periode prüfen",IF(D72&lt;=Steuerung!$F$8,"IST gesperrt",IF(OR(E72="",F72="",COUNT(G72:I72)&lt;&gt;3),"Angaben fehlen","Wirksam"))))</f>
        <v/>
      </c>
      <c r="L72" s="8">
        <f>IF(K72="Wirksam",SUM(G72:H72)-I72,IF(K72="","","n.a."))</f>
        <v/>
      </c>
    </row>
    <row r="73" ht="21" customHeight="1">
      <c r="C73" s="14" t="n"/>
      <c r="D73" s="14" t="n"/>
      <c r="E73" s="14" t="n"/>
      <c r="F73" s="14" t="n"/>
      <c r="G73" s="16" t="n"/>
      <c r="H73" s="16" t="n"/>
      <c r="I73" s="16" t="n"/>
      <c r="J73" s="14" t="n"/>
      <c r="K73" s="10">
        <f>IF(COUNTA(C73:J73)=0,"",IF(OR(C73&lt;&gt;Steuerung!$F$6,D73&lt;1,D73&gt;12),"Periode prüfen",IF(D73&lt;=Steuerung!$F$8,"IST gesperrt",IF(OR(E73="",F73="",COUNT(G73:I73)&lt;&gt;3),"Angaben fehlen","Wirksam"))))</f>
        <v/>
      </c>
      <c r="L73" s="8">
        <f>IF(K73="Wirksam",SUM(G73:H73)-I73,IF(K73="","","n.a."))</f>
        <v/>
      </c>
    </row>
    <row r="74" ht="21" customHeight="1">
      <c r="C74" s="14" t="n"/>
      <c r="D74" s="14" t="n"/>
      <c r="E74" s="14" t="n"/>
      <c r="F74" s="14" t="n"/>
      <c r="G74" s="16" t="n"/>
      <c r="H74" s="16" t="n"/>
      <c r="I74" s="16" t="n"/>
      <c r="J74" s="14" t="n"/>
      <c r="K74" s="10">
        <f>IF(COUNTA(C74:J74)=0,"",IF(OR(C74&lt;&gt;Steuerung!$F$6,D74&lt;1,D74&gt;12),"Periode prüfen",IF(D74&lt;=Steuerung!$F$8,"IST gesperrt",IF(OR(E74="",F74="",COUNT(G74:I74)&lt;&gt;3),"Angaben fehlen","Wirksam"))))</f>
        <v/>
      </c>
      <c r="L74" s="8">
        <f>IF(K74="Wirksam",SUM(G74:H74)-I74,IF(K74="","","n.a."))</f>
        <v/>
      </c>
    </row>
    <row r="75" ht="21" customHeight="1">
      <c r="C75" s="14" t="n"/>
      <c r="D75" s="14" t="n"/>
      <c r="E75" s="14" t="n"/>
      <c r="F75" s="14" t="n"/>
      <c r="G75" s="16" t="n"/>
      <c r="H75" s="16" t="n"/>
      <c r="I75" s="16" t="n"/>
      <c r="J75" s="14" t="n"/>
      <c r="K75" s="10">
        <f>IF(COUNTA(C75:J75)=0,"",IF(OR(C75&lt;&gt;Steuerung!$F$6,D75&lt;1,D75&gt;12),"Periode prüfen",IF(D75&lt;=Steuerung!$F$8,"IST gesperrt",IF(OR(E75="",F75="",COUNT(G75:I75)&lt;&gt;3),"Angaben fehlen","Wirksam"))))</f>
        <v/>
      </c>
      <c r="L75" s="8">
        <f>IF(K75="Wirksam",SUM(G75:H75)-I75,IF(K75="","","n.a."))</f>
        <v/>
      </c>
    </row>
    <row r="76" ht="21" customHeight="1">
      <c r="C76" s="14" t="n"/>
      <c r="D76" s="14" t="n"/>
      <c r="E76" s="14" t="n"/>
      <c r="F76" s="14" t="n"/>
      <c r="G76" s="16" t="n"/>
      <c r="H76" s="16" t="n"/>
      <c r="I76" s="16" t="n"/>
      <c r="J76" s="14" t="n"/>
      <c r="K76" s="10">
        <f>IF(COUNTA(C76:J76)=0,"",IF(OR(C76&lt;&gt;Steuerung!$F$6,D76&lt;1,D76&gt;12),"Periode prüfen",IF(D76&lt;=Steuerung!$F$8,"IST gesperrt",IF(OR(E76="",F76="",COUNT(G76:I76)&lt;&gt;3),"Angaben fehlen","Wirksam"))))</f>
        <v/>
      </c>
      <c r="L76" s="8">
        <f>IF(K76="Wirksam",SUM(G76:H76)-I76,IF(K76="","","n.a."))</f>
        <v/>
      </c>
    </row>
    <row r="77" ht="21" customHeight="1">
      <c r="C77" s="14" t="n"/>
      <c r="D77" s="14" t="n"/>
      <c r="E77" s="14" t="n"/>
      <c r="F77" s="14" t="n"/>
      <c r="G77" s="16" t="n"/>
      <c r="H77" s="16" t="n"/>
      <c r="I77" s="16" t="n"/>
      <c r="J77" s="14" t="n"/>
      <c r="K77" s="10">
        <f>IF(COUNTA(C77:J77)=0,"",IF(OR(C77&lt;&gt;Steuerung!$F$6,D77&lt;1,D77&gt;12),"Periode prüfen",IF(D77&lt;=Steuerung!$F$8,"IST gesperrt",IF(OR(E77="",F77="",COUNT(G77:I77)&lt;&gt;3),"Angaben fehlen","Wirksam"))))</f>
        <v/>
      </c>
      <c r="L77" s="8">
        <f>IF(K77="Wirksam",SUM(G77:H77)-I77,IF(K77="","","n.a."))</f>
        <v/>
      </c>
    </row>
    <row r="78" ht="21" customHeight="1">
      <c r="C78" s="14" t="n"/>
      <c r="D78" s="14" t="n"/>
      <c r="E78" s="14" t="n"/>
      <c r="F78" s="14" t="n"/>
      <c r="G78" s="16" t="n"/>
      <c r="H78" s="16" t="n"/>
      <c r="I78" s="16" t="n"/>
      <c r="J78" s="14" t="n"/>
      <c r="K78" s="10">
        <f>IF(COUNTA(C78:J78)=0,"",IF(OR(C78&lt;&gt;Steuerung!$F$6,D78&lt;1,D78&gt;12),"Periode prüfen",IF(D78&lt;=Steuerung!$F$8,"IST gesperrt",IF(OR(E78="",F78="",COUNT(G78:I78)&lt;&gt;3),"Angaben fehlen","Wirksam"))))</f>
        <v/>
      </c>
      <c r="L78" s="8">
        <f>IF(K78="Wirksam",SUM(G78:H78)-I78,IF(K78="","","n.a."))</f>
        <v/>
      </c>
    </row>
    <row r="79" ht="21" customHeight="1">
      <c r="C79" s="14" t="n"/>
      <c r="D79" s="14" t="n"/>
      <c r="E79" s="14" t="n"/>
      <c r="F79" s="14" t="n"/>
      <c r="G79" s="16" t="n"/>
      <c r="H79" s="16" t="n"/>
      <c r="I79" s="16" t="n"/>
      <c r="J79" s="14" t="n"/>
      <c r="K79" s="10">
        <f>IF(COUNTA(C79:J79)=0,"",IF(OR(C79&lt;&gt;Steuerung!$F$6,D79&lt;1,D79&gt;12),"Periode prüfen",IF(D79&lt;=Steuerung!$F$8,"IST gesperrt",IF(OR(E79="",F79="",COUNT(G79:I79)&lt;&gt;3),"Angaben fehlen","Wirksam"))))</f>
        <v/>
      </c>
      <c r="L79" s="8">
        <f>IF(K79="Wirksam",SUM(G79:H79)-I79,IF(K79="","","n.a."))</f>
        <v/>
      </c>
    </row>
    <row r="80" ht="21" customHeight="1">
      <c r="C80" s="14" t="n"/>
      <c r="D80" s="14" t="n"/>
      <c r="E80" s="14" t="n"/>
      <c r="F80" s="14" t="n"/>
      <c r="G80" s="16" t="n"/>
      <c r="H80" s="16" t="n"/>
      <c r="I80" s="16" t="n"/>
      <c r="J80" s="14" t="n"/>
      <c r="K80" s="10">
        <f>IF(COUNTA(C80:J80)=0,"",IF(OR(C80&lt;&gt;Steuerung!$F$6,D80&lt;1,D80&gt;12),"Periode prüfen",IF(D80&lt;=Steuerung!$F$8,"IST gesperrt",IF(OR(E80="",F80="",COUNT(G80:I80)&lt;&gt;3),"Angaben fehlen","Wirksam"))))</f>
        <v/>
      </c>
      <c r="L80" s="8">
        <f>IF(K80="Wirksam",SUM(G80:H80)-I80,IF(K80="","","n.a."))</f>
        <v/>
      </c>
    </row>
    <row r="81" ht="21" customHeight="1">
      <c r="C81" s="14" t="n"/>
      <c r="D81" s="14" t="n"/>
      <c r="E81" s="14" t="n"/>
      <c r="F81" s="14" t="n"/>
      <c r="G81" s="16" t="n"/>
      <c r="H81" s="16" t="n"/>
      <c r="I81" s="16" t="n"/>
      <c r="J81" s="14" t="n"/>
      <c r="K81" s="10">
        <f>IF(COUNTA(C81:J81)=0,"",IF(OR(C81&lt;&gt;Steuerung!$F$6,D81&lt;1,D81&gt;12),"Periode prüfen",IF(D81&lt;=Steuerung!$F$8,"IST gesperrt",IF(OR(E81="",F81="",COUNT(G81:I81)&lt;&gt;3),"Angaben fehlen","Wirksam"))))</f>
        <v/>
      </c>
      <c r="L81" s="8">
        <f>IF(K81="Wirksam",SUM(G81:H81)-I81,IF(K81="","","n.a."))</f>
        <v/>
      </c>
    </row>
    <row r="82" ht="21" customHeight="1">
      <c r="C82" s="14" t="n"/>
      <c r="D82" s="14" t="n"/>
      <c r="E82" s="14" t="n"/>
      <c r="F82" s="14" t="n"/>
      <c r="G82" s="16" t="n"/>
      <c r="H82" s="16" t="n"/>
      <c r="I82" s="16" t="n"/>
      <c r="J82" s="14" t="n"/>
      <c r="K82" s="10">
        <f>IF(COUNTA(C82:J82)=0,"",IF(OR(C82&lt;&gt;Steuerung!$F$6,D82&lt;1,D82&gt;12),"Periode prüfen",IF(D82&lt;=Steuerung!$F$8,"IST gesperrt",IF(OR(E82="",F82="",COUNT(G82:I82)&lt;&gt;3),"Angaben fehlen","Wirksam"))))</f>
        <v/>
      </c>
      <c r="L82" s="8">
        <f>IF(K82="Wirksam",SUM(G82:H82)-I82,IF(K82="","","n.a."))</f>
        <v/>
      </c>
    </row>
    <row r="83" ht="21" customHeight="1">
      <c r="C83" s="14" t="n"/>
      <c r="D83" s="14" t="n"/>
      <c r="E83" s="14" t="n"/>
      <c r="F83" s="14" t="n"/>
      <c r="G83" s="16" t="n"/>
      <c r="H83" s="16" t="n"/>
      <c r="I83" s="16" t="n"/>
      <c r="J83" s="14" t="n"/>
      <c r="K83" s="10">
        <f>IF(COUNTA(C83:J83)=0,"",IF(OR(C83&lt;&gt;Steuerung!$F$6,D83&lt;1,D83&gt;12),"Periode prüfen",IF(D83&lt;=Steuerung!$F$8,"IST gesperrt",IF(OR(E83="",F83="",COUNT(G83:I83)&lt;&gt;3),"Angaben fehlen","Wirksam"))))</f>
        <v/>
      </c>
      <c r="L83" s="8">
        <f>IF(K83="Wirksam",SUM(G83:H83)-I83,IF(K83="","","n.a."))</f>
        <v/>
      </c>
    </row>
    <row r="84" ht="21" customHeight="1">
      <c r="C84" s="14" t="n"/>
      <c r="D84" s="14" t="n"/>
      <c r="E84" s="14" t="n"/>
      <c r="F84" s="14" t="n"/>
      <c r="G84" s="16" t="n"/>
      <c r="H84" s="16" t="n"/>
      <c r="I84" s="16" t="n"/>
      <c r="J84" s="14" t="n"/>
      <c r="K84" s="10">
        <f>IF(COUNTA(C84:J84)=0,"",IF(OR(C84&lt;&gt;Steuerung!$F$6,D84&lt;1,D84&gt;12),"Periode prüfen",IF(D84&lt;=Steuerung!$F$8,"IST gesperrt",IF(OR(E84="",F84="",COUNT(G84:I84)&lt;&gt;3),"Angaben fehlen","Wirksam"))))</f>
        <v/>
      </c>
      <c r="L84" s="8">
        <f>IF(K84="Wirksam",SUM(G84:H84)-I84,IF(K84="","","n.a."))</f>
        <v/>
      </c>
    </row>
    <row r="85" ht="21" customHeight="1">
      <c r="C85" s="14" t="n"/>
      <c r="D85" s="14" t="n"/>
      <c r="E85" s="14" t="n"/>
      <c r="F85" s="14" t="n"/>
      <c r="G85" s="16" t="n"/>
      <c r="H85" s="16" t="n"/>
      <c r="I85" s="16" t="n"/>
      <c r="J85" s="14" t="n"/>
      <c r="K85" s="10">
        <f>IF(COUNTA(C85:J85)=0,"",IF(OR(C85&lt;&gt;Steuerung!$F$6,D85&lt;1,D85&gt;12),"Periode prüfen",IF(D85&lt;=Steuerung!$F$8,"IST gesperrt",IF(OR(E85="",F85="",COUNT(G85:I85)&lt;&gt;3),"Angaben fehlen","Wirksam"))))</f>
        <v/>
      </c>
      <c r="L85" s="8">
        <f>IF(K85="Wirksam",SUM(G85:H85)-I85,IF(K85="","","n.a."))</f>
        <v/>
      </c>
    </row>
    <row r="86" ht="21" customHeight="1">
      <c r="C86" s="14" t="n"/>
      <c r="D86" s="14" t="n"/>
      <c r="E86" s="14" t="n"/>
      <c r="F86" s="14" t="n"/>
      <c r="G86" s="16" t="n"/>
      <c r="H86" s="16" t="n"/>
      <c r="I86" s="16" t="n"/>
      <c r="J86" s="14" t="n"/>
      <c r="K86" s="10">
        <f>IF(COUNTA(C86:J86)=0,"",IF(OR(C86&lt;&gt;Steuerung!$F$6,D86&lt;1,D86&gt;12),"Periode prüfen",IF(D86&lt;=Steuerung!$F$8,"IST gesperrt",IF(OR(E86="",F86="",COUNT(G86:I86)&lt;&gt;3),"Angaben fehlen","Wirksam"))))</f>
        <v/>
      </c>
      <c r="L86" s="8">
        <f>IF(K86="Wirksam",SUM(G86:H86)-I86,IF(K86="","","n.a."))</f>
        <v/>
      </c>
    </row>
    <row r="87" ht="21" customHeight="1">
      <c r="C87" s="14" t="n"/>
      <c r="D87" s="14" t="n"/>
      <c r="E87" s="14" t="n"/>
      <c r="F87" s="14" t="n"/>
      <c r="G87" s="16" t="n"/>
      <c r="H87" s="16" t="n"/>
      <c r="I87" s="16" t="n"/>
      <c r="J87" s="14" t="n"/>
      <c r="K87" s="10">
        <f>IF(COUNTA(C87:J87)=0,"",IF(OR(C87&lt;&gt;Steuerung!$F$6,D87&lt;1,D87&gt;12),"Periode prüfen",IF(D87&lt;=Steuerung!$F$8,"IST gesperrt",IF(OR(E87="",F87="",COUNT(G87:I87)&lt;&gt;3),"Angaben fehlen","Wirksam"))))</f>
        <v/>
      </c>
      <c r="L87" s="8">
        <f>IF(K87="Wirksam",SUM(G87:H87)-I87,IF(K87="","","n.a."))</f>
        <v/>
      </c>
    </row>
    <row r="88" ht="21" customHeight="1">
      <c r="C88" s="14" t="n"/>
      <c r="D88" s="14" t="n"/>
      <c r="E88" s="14" t="n"/>
      <c r="F88" s="14" t="n"/>
      <c r="G88" s="16" t="n"/>
      <c r="H88" s="16" t="n"/>
      <c r="I88" s="16" t="n"/>
      <c r="J88" s="14" t="n"/>
      <c r="K88" s="10">
        <f>IF(COUNTA(C88:J88)=0,"",IF(OR(C88&lt;&gt;Steuerung!$F$6,D88&lt;1,D88&gt;12),"Periode prüfen",IF(D88&lt;=Steuerung!$F$8,"IST gesperrt",IF(OR(E88="",F88="",COUNT(G88:I88)&lt;&gt;3),"Angaben fehlen","Wirksam"))))</f>
        <v/>
      </c>
      <c r="L88" s="8">
        <f>IF(K88="Wirksam",SUM(G88:H88)-I88,IF(K88="","","n.a."))</f>
        <v/>
      </c>
    </row>
    <row r="89" ht="21" customHeight="1">
      <c r="C89" s="14" t="n"/>
      <c r="D89" s="14" t="n"/>
      <c r="E89" s="14" t="n"/>
      <c r="F89" s="14" t="n"/>
      <c r="G89" s="16" t="n"/>
      <c r="H89" s="16" t="n"/>
      <c r="I89" s="16" t="n"/>
      <c r="J89" s="14" t="n"/>
      <c r="K89" s="10">
        <f>IF(COUNTA(C89:J89)=0,"",IF(OR(C89&lt;&gt;Steuerung!$F$6,D89&lt;1,D89&gt;12),"Periode prüfen",IF(D89&lt;=Steuerung!$F$8,"IST gesperrt",IF(OR(E89="",F89="",COUNT(G89:I89)&lt;&gt;3),"Angaben fehlen","Wirksam"))))</f>
        <v/>
      </c>
      <c r="L89" s="8">
        <f>IF(K89="Wirksam",SUM(G89:H89)-I89,IF(K89="","","n.a."))</f>
        <v/>
      </c>
    </row>
    <row r="90" ht="21" customHeight="1">
      <c r="C90" s="14" t="n"/>
      <c r="D90" s="14" t="n"/>
      <c r="E90" s="14" t="n"/>
      <c r="F90" s="14" t="n"/>
      <c r="G90" s="16" t="n"/>
      <c r="H90" s="16" t="n"/>
      <c r="I90" s="16" t="n"/>
      <c r="J90" s="14" t="n"/>
      <c r="K90" s="10">
        <f>IF(COUNTA(C90:J90)=0,"",IF(OR(C90&lt;&gt;Steuerung!$F$6,D90&lt;1,D90&gt;12),"Periode prüfen",IF(D90&lt;=Steuerung!$F$8,"IST gesperrt",IF(OR(E90="",F90="",COUNT(G90:I90)&lt;&gt;3),"Angaben fehlen","Wirksam"))))</f>
        <v/>
      </c>
      <c r="L90" s="8">
        <f>IF(K90="Wirksam",SUM(G90:H90)-I90,IF(K90="","","n.a."))</f>
        <v/>
      </c>
    </row>
    <row r="91" ht="21" customHeight="1">
      <c r="C91" s="14" t="n"/>
      <c r="D91" s="14" t="n"/>
      <c r="E91" s="14" t="n"/>
      <c r="F91" s="14" t="n"/>
      <c r="G91" s="16" t="n"/>
      <c r="H91" s="16" t="n"/>
      <c r="I91" s="16" t="n"/>
      <c r="J91" s="14" t="n"/>
      <c r="K91" s="10">
        <f>IF(COUNTA(C91:J91)=0,"",IF(OR(C91&lt;&gt;Steuerung!$F$6,D91&lt;1,D91&gt;12),"Periode prüfen",IF(D91&lt;=Steuerung!$F$8,"IST gesperrt",IF(OR(E91="",F91="",COUNT(G91:I91)&lt;&gt;3),"Angaben fehlen","Wirksam"))))</f>
        <v/>
      </c>
      <c r="L91" s="8">
        <f>IF(K91="Wirksam",SUM(G91:H91)-I91,IF(K91="","","n.a."))</f>
        <v/>
      </c>
    </row>
    <row r="92" ht="21" customHeight="1">
      <c r="C92" s="14" t="n"/>
      <c r="D92" s="14" t="n"/>
      <c r="E92" s="14" t="n"/>
      <c r="F92" s="14" t="n"/>
      <c r="G92" s="16" t="n"/>
      <c r="H92" s="16" t="n"/>
      <c r="I92" s="16" t="n"/>
      <c r="J92" s="14" t="n"/>
      <c r="K92" s="10">
        <f>IF(COUNTA(C92:J92)=0,"",IF(OR(C92&lt;&gt;Steuerung!$F$6,D92&lt;1,D92&gt;12),"Periode prüfen",IF(D92&lt;=Steuerung!$F$8,"IST gesperrt",IF(OR(E92="",F92="",COUNT(G92:I92)&lt;&gt;3),"Angaben fehlen","Wirksam"))))</f>
        <v/>
      </c>
      <c r="L92" s="8">
        <f>IF(K92="Wirksam",SUM(G92:H92)-I92,IF(K92="","","n.a."))</f>
        <v/>
      </c>
    </row>
    <row r="93" ht="21" customHeight="1">
      <c r="C93" s="14" t="n"/>
      <c r="D93" s="14" t="n"/>
      <c r="E93" s="14" t="n"/>
      <c r="F93" s="14" t="n"/>
      <c r="G93" s="16" t="n"/>
      <c r="H93" s="16" t="n"/>
      <c r="I93" s="16" t="n"/>
      <c r="J93" s="14" t="n"/>
      <c r="K93" s="10">
        <f>IF(COUNTA(C93:J93)=0,"",IF(OR(C93&lt;&gt;Steuerung!$F$6,D93&lt;1,D93&gt;12),"Periode prüfen",IF(D93&lt;=Steuerung!$F$8,"IST gesperrt",IF(OR(E93="",F93="",COUNT(G93:I93)&lt;&gt;3),"Angaben fehlen","Wirksam"))))</f>
        <v/>
      </c>
      <c r="L93" s="8">
        <f>IF(K93="Wirksam",SUM(G93:H93)-I93,IF(K93="","","n.a."))</f>
        <v/>
      </c>
    </row>
    <row r="94" ht="21" customHeight="1">
      <c r="C94" s="14" t="n"/>
      <c r="D94" s="14" t="n"/>
      <c r="E94" s="14" t="n"/>
      <c r="F94" s="14" t="n"/>
      <c r="G94" s="16" t="n"/>
      <c r="H94" s="16" t="n"/>
      <c r="I94" s="16" t="n"/>
      <c r="J94" s="14" t="n"/>
      <c r="K94" s="10">
        <f>IF(COUNTA(C94:J94)=0,"",IF(OR(C94&lt;&gt;Steuerung!$F$6,D94&lt;1,D94&gt;12),"Periode prüfen",IF(D94&lt;=Steuerung!$F$8,"IST gesperrt",IF(OR(E94="",F94="",COUNT(G94:I94)&lt;&gt;3),"Angaben fehlen","Wirksam"))))</f>
        <v/>
      </c>
      <c r="L94" s="8">
        <f>IF(K94="Wirksam",SUM(G94:H94)-I94,IF(K94="","","n.a."))</f>
        <v/>
      </c>
    </row>
    <row r="95" ht="21" customHeight="1">
      <c r="C95" s="14" t="n"/>
      <c r="D95" s="14" t="n"/>
      <c r="E95" s="14" t="n"/>
      <c r="F95" s="14" t="n"/>
      <c r="G95" s="16" t="n"/>
      <c r="H95" s="16" t="n"/>
      <c r="I95" s="16" t="n"/>
      <c r="J95" s="14" t="n"/>
      <c r="K95" s="10">
        <f>IF(COUNTA(C95:J95)=0,"",IF(OR(C95&lt;&gt;Steuerung!$F$6,D95&lt;1,D95&gt;12),"Periode prüfen",IF(D95&lt;=Steuerung!$F$8,"IST gesperrt",IF(OR(E95="",F95="",COUNT(G95:I95)&lt;&gt;3),"Angaben fehlen","Wirksam"))))</f>
        <v/>
      </c>
      <c r="L95" s="8">
        <f>IF(K95="Wirksam",SUM(G95:H95)-I95,IF(K95="","","n.a."))</f>
        <v/>
      </c>
    </row>
    <row r="96" ht="21" customHeight="1">
      <c r="C96" s="14" t="n"/>
      <c r="D96" s="14" t="n"/>
      <c r="E96" s="14" t="n"/>
      <c r="F96" s="14" t="n"/>
      <c r="G96" s="16" t="n"/>
      <c r="H96" s="16" t="n"/>
      <c r="I96" s="16" t="n"/>
      <c r="J96" s="14" t="n"/>
      <c r="K96" s="10">
        <f>IF(COUNTA(C96:J96)=0,"",IF(OR(C96&lt;&gt;Steuerung!$F$6,D96&lt;1,D96&gt;12),"Periode prüfen",IF(D96&lt;=Steuerung!$F$8,"IST gesperrt",IF(OR(E96="",F96="",COUNT(G96:I96)&lt;&gt;3),"Angaben fehlen","Wirksam"))))</f>
        <v/>
      </c>
      <c r="L96" s="8">
        <f>IF(K96="Wirksam",SUM(G96:H96)-I96,IF(K96="","","n.a."))</f>
        <v/>
      </c>
    </row>
    <row r="97" ht="21" customHeight="1">
      <c r="C97" s="14" t="n"/>
      <c r="D97" s="14" t="n"/>
      <c r="E97" s="14" t="n"/>
      <c r="F97" s="14" t="n"/>
      <c r="G97" s="16" t="n"/>
      <c r="H97" s="16" t="n"/>
      <c r="I97" s="16" t="n"/>
      <c r="J97" s="14" t="n"/>
      <c r="K97" s="10">
        <f>IF(COUNTA(C97:J97)=0,"",IF(OR(C97&lt;&gt;Steuerung!$F$6,D97&lt;1,D97&gt;12),"Periode prüfen",IF(D97&lt;=Steuerung!$F$8,"IST gesperrt",IF(OR(E97="",F97="",COUNT(G97:I97)&lt;&gt;3),"Angaben fehlen","Wirksam"))))</f>
        <v/>
      </c>
      <c r="L97" s="8">
        <f>IF(K97="Wirksam",SUM(G97:H97)-I97,IF(K97="","","n.a."))</f>
        <v/>
      </c>
    </row>
    <row r="98" ht="21" customHeight="1">
      <c r="C98" s="14" t="n"/>
      <c r="D98" s="14" t="n"/>
      <c r="E98" s="14" t="n"/>
      <c r="F98" s="14" t="n"/>
      <c r="G98" s="16" t="n"/>
      <c r="H98" s="16" t="n"/>
      <c r="I98" s="16" t="n"/>
      <c r="J98" s="14" t="n"/>
      <c r="K98" s="10">
        <f>IF(COUNTA(C98:J98)=0,"",IF(OR(C98&lt;&gt;Steuerung!$F$6,D98&lt;1,D98&gt;12),"Periode prüfen",IF(D98&lt;=Steuerung!$F$8,"IST gesperrt",IF(OR(E98="",F98="",COUNT(G98:I98)&lt;&gt;3),"Angaben fehlen","Wirksam"))))</f>
        <v/>
      </c>
      <c r="L98" s="8">
        <f>IF(K98="Wirksam",SUM(G98:H98)-I98,IF(K98="","","n.a."))</f>
        <v/>
      </c>
    </row>
    <row r="99" ht="21" customHeight="1">
      <c r="C99" s="14" t="n"/>
      <c r="D99" s="14" t="n"/>
      <c r="E99" s="14" t="n"/>
      <c r="F99" s="14" t="n"/>
      <c r="G99" s="16" t="n"/>
      <c r="H99" s="16" t="n"/>
      <c r="I99" s="16" t="n"/>
      <c r="J99" s="14" t="n"/>
      <c r="K99" s="10">
        <f>IF(COUNTA(C99:J99)=0,"",IF(OR(C99&lt;&gt;Steuerung!$F$6,D99&lt;1,D99&gt;12),"Periode prüfen",IF(D99&lt;=Steuerung!$F$8,"IST gesperrt",IF(OR(E99="",F99="",COUNT(G99:I99)&lt;&gt;3),"Angaben fehlen","Wirksam"))))</f>
        <v/>
      </c>
      <c r="L99" s="8">
        <f>IF(K99="Wirksam",SUM(G99:H99)-I99,IF(K99="","","n.a."))</f>
        <v/>
      </c>
    </row>
    <row r="100" ht="21" customHeight="1">
      <c r="C100" s="14" t="n"/>
      <c r="D100" s="14" t="n"/>
      <c r="E100" s="14" t="n"/>
      <c r="F100" s="14" t="n"/>
      <c r="G100" s="16" t="n"/>
      <c r="H100" s="16" t="n"/>
      <c r="I100" s="16" t="n"/>
      <c r="J100" s="14" t="n"/>
      <c r="K100" s="10">
        <f>IF(COUNTA(C100:J100)=0,"",IF(OR(C100&lt;&gt;Steuerung!$F$6,D100&lt;1,D100&gt;12),"Periode prüfen",IF(D100&lt;=Steuerung!$F$8,"IST gesperrt",IF(OR(E100="",F100="",COUNT(G100:I100)&lt;&gt;3),"Angaben fehlen","Wirksam"))))</f>
        <v/>
      </c>
      <c r="L100" s="8">
        <f>IF(K100="Wirksam",SUM(G100:H100)-I100,IF(K100="","","n.a."))</f>
        <v/>
      </c>
    </row>
    <row r="101" ht="21" customHeight="1">
      <c r="C101" s="14" t="n"/>
      <c r="D101" s="14" t="n"/>
      <c r="E101" s="14" t="n"/>
      <c r="F101" s="14" t="n"/>
      <c r="G101" s="16" t="n"/>
      <c r="H101" s="16" t="n"/>
      <c r="I101" s="16" t="n"/>
      <c r="J101" s="14" t="n"/>
      <c r="K101" s="10">
        <f>IF(COUNTA(C101:J101)=0,"",IF(OR(C101&lt;&gt;Steuerung!$F$6,D101&lt;1,D101&gt;12),"Periode prüfen",IF(D101&lt;=Steuerung!$F$8,"IST gesperrt",IF(OR(E101="",F101="",COUNT(G101:I101)&lt;&gt;3),"Angaben fehlen","Wirksam"))))</f>
        <v/>
      </c>
      <c r="L101" s="8">
        <f>IF(K101="Wirksam",SUM(G101:H101)-I101,IF(K101="","","n.a."))</f>
        <v/>
      </c>
    </row>
    <row r="102" ht="21" customHeight="1">
      <c r="C102" s="14" t="n"/>
      <c r="D102" s="14" t="n"/>
      <c r="E102" s="14" t="n"/>
      <c r="F102" s="14" t="n"/>
      <c r="G102" s="16" t="n"/>
      <c r="H102" s="16" t="n"/>
      <c r="I102" s="16" t="n"/>
      <c r="J102" s="14" t="n"/>
      <c r="K102" s="10">
        <f>IF(COUNTA(C102:J102)=0,"",IF(OR(C102&lt;&gt;Steuerung!$F$6,D102&lt;1,D102&gt;12),"Periode prüfen",IF(D102&lt;=Steuerung!$F$8,"IST gesperrt",IF(OR(E102="",F102="",COUNT(G102:I102)&lt;&gt;3),"Angaben fehlen","Wirksam"))))</f>
        <v/>
      </c>
      <c r="L102" s="8">
        <f>IF(K102="Wirksam",SUM(G102:H102)-I102,IF(K102="","","n.a."))</f>
        <v/>
      </c>
    </row>
    <row r="103" ht="21" customHeight="1">
      <c r="C103" s="14" t="n"/>
      <c r="D103" s="14" t="n"/>
      <c r="E103" s="14" t="n"/>
      <c r="F103" s="14" t="n"/>
      <c r="G103" s="16" t="n"/>
      <c r="H103" s="16" t="n"/>
      <c r="I103" s="16" t="n"/>
      <c r="J103" s="14" t="n"/>
      <c r="K103" s="10">
        <f>IF(COUNTA(C103:J103)=0,"",IF(OR(C103&lt;&gt;Steuerung!$F$6,D103&lt;1,D103&gt;12),"Periode prüfen",IF(D103&lt;=Steuerung!$F$8,"IST gesperrt",IF(OR(E103="",F103="",COUNT(G103:I103)&lt;&gt;3),"Angaben fehlen","Wirksam"))))</f>
        <v/>
      </c>
      <c r="L103" s="8">
        <f>IF(K103="Wirksam",SUM(G103:H103)-I103,IF(K103="","","n.a."))</f>
        <v/>
      </c>
    </row>
    <row r="104" ht="21" customHeight="1">
      <c r="C104" s="14" t="n"/>
      <c r="D104" s="14" t="n"/>
      <c r="E104" s="14" t="n"/>
      <c r="F104" s="14" t="n"/>
      <c r="G104" s="16" t="n"/>
      <c r="H104" s="16" t="n"/>
      <c r="I104" s="16" t="n"/>
      <c r="J104" s="14" t="n"/>
      <c r="K104" s="10">
        <f>IF(COUNTA(C104:J104)=0,"",IF(OR(C104&lt;&gt;Steuerung!$F$6,D104&lt;1,D104&gt;12),"Periode prüfen",IF(D104&lt;=Steuerung!$F$8,"IST gesperrt",IF(OR(E104="",F104="",COUNT(G104:I104)&lt;&gt;3),"Angaben fehlen","Wirksam"))))</f>
        <v/>
      </c>
      <c r="L104" s="8">
        <f>IF(K104="Wirksam",SUM(G104:H104)-I104,IF(K104="","","n.a."))</f>
        <v/>
      </c>
    </row>
    <row r="105" ht="21" customHeight="1">
      <c r="C105" s="14" t="n"/>
      <c r="D105" s="14" t="n"/>
      <c r="E105" s="14" t="n"/>
      <c r="F105" s="14" t="n"/>
      <c r="G105" s="16" t="n"/>
      <c r="H105" s="16" t="n"/>
      <c r="I105" s="16" t="n"/>
      <c r="J105" s="14" t="n"/>
      <c r="K105" s="10">
        <f>IF(COUNTA(C105:J105)=0,"",IF(OR(C105&lt;&gt;Steuerung!$F$6,D105&lt;1,D105&gt;12),"Periode prüfen",IF(D105&lt;=Steuerung!$F$8,"IST gesperrt",IF(OR(E105="",F105="",COUNT(G105:I105)&lt;&gt;3),"Angaben fehlen","Wirksam"))))</f>
        <v/>
      </c>
      <c r="L105" s="8">
        <f>IF(K105="Wirksam",SUM(G105:H105)-I105,IF(K105="","","n.a."))</f>
        <v/>
      </c>
    </row>
    <row r="106" ht="21" customHeight="1">
      <c r="C106" s="14" t="n"/>
      <c r="D106" s="14" t="n"/>
      <c r="E106" s="14" t="n"/>
      <c r="F106" s="14" t="n"/>
      <c r="G106" s="16" t="n"/>
      <c r="H106" s="16" t="n"/>
      <c r="I106" s="16" t="n"/>
      <c r="J106" s="14" t="n"/>
      <c r="K106" s="10">
        <f>IF(COUNTA(C106:J106)=0,"",IF(OR(C106&lt;&gt;Steuerung!$F$6,D106&lt;1,D106&gt;12),"Periode prüfen",IF(D106&lt;=Steuerung!$F$8,"IST gesperrt",IF(OR(E106="",F106="",COUNT(G106:I106)&lt;&gt;3),"Angaben fehlen","Wirksam"))))</f>
        <v/>
      </c>
      <c r="L106" s="8">
        <f>IF(K106="Wirksam",SUM(G106:H106)-I106,IF(K106="","","n.a."))</f>
        <v/>
      </c>
    </row>
    <row r="107" ht="21" customHeight="1">
      <c r="C107" s="14" t="n"/>
      <c r="D107" s="14" t="n"/>
      <c r="E107" s="14" t="n"/>
      <c r="F107" s="14" t="n"/>
      <c r="G107" s="16" t="n"/>
      <c r="H107" s="16" t="n"/>
      <c r="I107" s="16" t="n"/>
      <c r="J107" s="14" t="n"/>
      <c r="K107" s="10">
        <f>IF(COUNTA(C107:J107)=0,"",IF(OR(C107&lt;&gt;Steuerung!$F$6,D107&lt;1,D107&gt;12),"Periode prüfen",IF(D107&lt;=Steuerung!$F$8,"IST gesperrt",IF(OR(E107="",F107="",COUNT(G107:I107)&lt;&gt;3),"Angaben fehlen","Wirksam"))))</f>
        <v/>
      </c>
      <c r="L107" s="8">
        <f>IF(K107="Wirksam",SUM(G107:H107)-I107,IF(K107="","","n.a."))</f>
        <v/>
      </c>
    </row>
    <row r="108" ht="21" customHeight="1">
      <c r="C108" s="14" t="n"/>
      <c r="D108" s="14" t="n"/>
      <c r="E108" s="14" t="n"/>
      <c r="F108" s="14" t="n"/>
      <c r="G108" s="16" t="n"/>
      <c r="H108" s="16" t="n"/>
      <c r="I108" s="16" t="n"/>
      <c r="J108" s="14" t="n"/>
      <c r="K108" s="10">
        <f>IF(COUNTA(C108:J108)=0,"",IF(OR(C108&lt;&gt;Steuerung!$F$6,D108&lt;1,D108&gt;12),"Periode prüfen",IF(D108&lt;=Steuerung!$F$8,"IST gesperrt",IF(OR(E108="",F108="",COUNT(G108:I108)&lt;&gt;3),"Angaben fehlen","Wirksam"))))</f>
        <v/>
      </c>
      <c r="L108" s="8">
        <f>IF(K108="Wirksam",SUM(G108:H108)-I108,IF(K108="","","n.a."))</f>
        <v/>
      </c>
    </row>
    <row r="109" ht="21" customHeight="1">
      <c r="C109" s="14" t="n"/>
      <c r="D109" s="14" t="n"/>
      <c r="E109" s="14" t="n"/>
      <c r="F109" s="14" t="n"/>
      <c r="G109" s="16" t="n"/>
      <c r="H109" s="16" t="n"/>
      <c r="I109" s="16" t="n"/>
      <c r="J109" s="14" t="n"/>
      <c r="K109" s="10">
        <f>IF(COUNTA(C109:J109)=0,"",IF(OR(C109&lt;&gt;Steuerung!$F$6,D109&lt;1,D109&gt;12),"Periode prüfen",IF(D109&lt;=Steuerung!$F$8,"IST gesperrt",IF(OR(E109="",F109="",COUNT(G109:I109)&lt;&gt;3),"Angaben fehlen","Wirksam"))))</f>
        <v/>
      </c>
      <c r="L109" s="8">
        <f>IF(K109="Wirksam",SUM(G109:H109)-I109,IF(K109="","","n.a."))</f>
        <v/>
      </c>
    </row>
    <row r="110" ht="21" customHeight="1">
      <c r="C110" s="14" t="n"/>
      <c r="D110" s="14" t="n"/>
      <c r="E110" s="14" t="n"/>
      <c r="F110" s="14" t="n"/>
      <c r="G110" s="16" t="n"/>
      <c r="H110" s="16" t="n"/>
      <c r="I110" s="16" t="n"/>
      <c r="J110" s="14" t="n"/>
      <c r="K110" s="10">
        <f>IF(COUNTA(C110:J110)=0,"",IF(OR(C110&lt;&gt;Steuerung!$F$6,D110&lt;1,D110&gt;12),"Periode prüfen",IF(D110&lt;=Steuerung!$F$8,"IST gesperrt",IF(OR(E110="",F110="",COUNT(G110:I110)&lt;&gt;3),"Angaben fehlen","Wirksam"))))</f>
        <v/>
      </c>
      <c r="L110" s="8">
        <f>IF(K110="Wirksam",SUM(G110:H110)-I110,IF(K110="","","n.a."))</f>
        <v/>
      </c>
    </row>
    <row r="111" ht="21" customHeight="1">
      <c r="C111" s="14" t="n"/>
      <c r="D111" s="14" t="n"/>
      <c r="E111" s="14" t="n"/>
      <c r="F111" s="14" t="n"/>
      <c r="G111" s="16" t="n"/>
      <c r="H111" s="16" t="n"/>
      <c r="I111" s="16" t="n"/>
      <c r="J111" s="14" t="n"/>
      <c r="K111" s="10">
        <f>IF(COUNTA(C111:J111)=0,"",IF(OR(C111&lt;&gt;Steuerung!$F$6,D111&lt;1,D111&gt;12),"Periode prüfen",IF(D111&lt;=Steuerung!$F$8,"IST gesperrt",IF(OR(E111="",F111="",COUNT(G111:I111)&lt;&gt;3),"Angaben fehlen","Wirksam"))))</f>
        <v/>
      </c>
      <c r="L111" s="8">
        <f>IF(K111="Wirksam",SUM(G111:H111)-I111,IF(K111="","","n.a."))</f>
        <v/>
      </c>
    </row>
    <row r="112" ht="21" customHeight="1">
      <c r="C112" s="14" t="n"/>
      <c r="D112" s="14" t="n"/>
      <c r="E112" s="14" t="n"/>
      <c r="F112" s="14" t="n"/>
      <c r="G112" s="16" t="n"/>
      <c r="H112" s="16" t="n"/>
      <c r="I112" s="16" t="n"/>
      <c r="J112" s="14" t="n"/>
      <c r="K112" s="10">
        <f>IF(COUNTA(C112:J112)=0,"",IF(OR(C112&lt;&gt;Steuerung!$F$6,D112&lt;1,D112&gt;12),"Periode prüfen",IF(D112&lt;=Steuerung!$F$8,"IST gesperrt",IF(OR(E112="",F112="",COUNT(G112:I112)&lt;&gt;3),"Angaben fehlen","Wirksam"))))</f>
        <v/>
      </c>
      <c r="L112" s="8">
        <f>IF(K112="Wirksam",SUM(G112:H112)-I112,IF(K112="","","n.a."))</f>
        <v/>
      </c>
    </row>
    <row r="113" ht="21" customHeight="1">
      <c r="C113" s="14" t="n"/>
      <c r="D113" s="14" t="n"/>
      <c r="E113" s="14" t="n"/>
      <c r="F113" s="14" t="n"/>
      <c r="G113" s="16" t="n"/>
      <c r="H113" s="16" t="n"/>
      <c r="I113" s="16" t="n"/>
      <c r="J113" s="14" t="n"/>
      <c r="K113" s="10">
        <f>IF(COUNTA(C113:J113)=0,"",IF(OR(C113&lt;&gt;Steuerung!$F$6,D113&lt;1,D113&gt;12),"Periode prüfen",IF(D113&lt;=Steuerung!$F$8,"IST gesperrt",IF(OR(E113="",F113="",COUNT(G113:I113)&lt;&gt;3),"Angaben fehlen","Wirksam"))))</f>
        <v/>
      </c>
      <c r="L113" s="8">
        <f>IF(K113="Wirksam",SUM(G113:H113)-I113,IF(K113="","","n.a."))</f>
        <v/>
      </c>
    </row>
    <row r="114" ht="21" customHeight="1">
      <c r="C114" s="14" t="n"/>
      <c r="D114" s="14" t="n"/>
      <c r="E114" s="14" t="n"/>
      <c r="F114" s="14" t="n"/>
      <c r="G114" s="16" t="n"/>
      <c r="H114" s="16" t="n"/>
      <c r="I114" s="16" t="n"/>
      <c r="J114" s="14" t="n"/>
      <c r="K114" s="10">
        <f>IF(COUNTA(C114:J114)=0,"",IF(OR(C114&lt;&gt;Steuerung!$F$6,D114&lt;1,D114&gt;12),"Periode prüfen",IF(D114&lt;=Steuerung!$F$8,"IST gesperrt",IF(OR(E114="",F114="",COUNT(G114:I114)&lt;&gt;3),"Angaben fehlen","Wirksam"))))</f>
        <v/>
      </c>
      <c r="L114" s="8">
        <f>IF(K114="Wirksam",SUM(G114:H114)-I114,IF(K114="","","n.a."))</f>
        <v/>
      </c>
    </row>
    <row r="115" ht="21" customHeight="1">
      <c r="C115" s="14" t="n"/>
      <c r="D115" s="14" t="n"/>
      <c r="E115" s="14" t="n"/>
      <c r="F115" s="14" t="n"/>
      <c r="G115" s="16" t="n"/>
      <c r="H115" s="16" t="n"/>
      <c r="I115" s="16" t="n"/>
      <c r="J115" s="14" t="n"/>
      <c r="K115" s="10">
        <f>IF(COUNTA(C115:J115)=0,"",IF(OR(C115&lt;&gt;Steuerung!$F$6,D115&lt;1,D115&gt;12),"Periode prüfen",IF(D115&lt;=Steuerung!$F$8,"IST gesperrt",IF(OR(E115="",F115="",COUNT(G115:I115)&lt;&gt;3),"Angaben fehlen","Wirksam"))))</f>
        <v/>
      </c>
      <c r="L115" s="8">
        <f>IF(K115="Wirksam",SUM(G115:H115)-I115,IF(K115="","","n.a."))</f>
        <v/>
      </c>
    </row>
    <row r="116" ht="21" customHeight="1">
      <c r="C116" s="14" t="n"/>
      <c r="D116" s="14" t="n"/>
      <c r="E116" s="14" t="n"/>
      <c r="F116" s="14" t="n"/>
      <c r="G116" s="16" t="n"/>
      <c r="H116" s="16" t="n"/>
      <c r="I116" s="16" t="n"/>
      <c r="J116" s="14" t="n"/>
      <c r="K116" s="10">
        <f>IF(COUNTA(C116:J116)=0,"",IF(OR(C116&lt;&gt;Steuerung!$F$6,D116&lt;1,D116&gt;12),"Periode prüfen",IF(D116&lt;=Steuerung!$F$8,"IST gesperrt",IF(OR(E116="",F116="",COUNT(G116:I116)&lt;&gt;3),"Angaben fehlen","Wirksam"))))</f>
        <v/>
      </c>
      <c r="L116" s="8">
        <f>IF(K116="Wirksam",SUM(G116:H116)-I116,IF(K116="","","n.a."))</f>
        <v/>
      </c>
    </row>
    <row r="117" ht="21" customHeight="1">
      <c r="C117" s="14" t="n"/>
      <c r="D117" s="14" t="n"/>
      <c r="E117" s="14" t="n"/>
      <c r="F117" s="14" t="n"/>
      <c r="G117" s="16" t="n"/>
      <c r="H117" s="16" t="n"/>
      <c r="I117" s="16" t="n"/>
      <c r="J117" s="14" t="n"/>
      <c r="K117" s="10">
        <f>IF(COUNTA(C117:J117)=0,"",IF(OR(C117&lt;&gt;Steuerung!$F$6,D117&lt;1,D117&gt;12),"Periode prüfen",IF(D117&lt;=Steuerung!$F$8,"IST gesperrt",IF(OR(E117="",F117="",COUNT(G117:I117)&lt;&gt;3),"Angaben fehlen","Wirksam"))))</f>
        <v/>
      </c>
      <c r="L117" s="8">
        <f>IF(K117="Wirksam",SUM(G117:H117)-I117,IF(K117="","","n.a."))</f>
        <v/>
      </c>
    </row>
    <row r="118" ht="21" customHeight="1">
      <c r="C118" s="14" t="n"/>
      <c r="D118" s="14" t="n"/>
      <c r="E118" s="14" t="n"/>
      <c r="F118" s="14" t="n"/>
      <c r="G118" s="16" t="n"/>
      <c r="H118" s="16" t="n"/>
      <c r="I118" s="16" t="n"/>
      <c r="J118" s="14" t="n"/>
      <c r="K118" s="10">
        <f>IF(COUNTA(C118:J118)=0,"",IF(OR(C118&lt;&gt;Steuerung!$F$6,D118&lt;1,D118&gt;12),"Periode prüfen",IF(D118&lt;=Steuerung!$F$8,"IST gesperrt",IF(OR(E118="",F118="",COUNT(G118:I118)&lt;&gt;3),"Angaben fehlen","Wirksam"))))</f>
        <v/>
      </c>
      <c r="L118" s="8">
        <f>IF(K118="Wirksam",SUM(G118:H118)-I118,IF(K118="","","n.a."))</f>
        <v/>
      </c>
    </row>
    <row r="119" ht="21" customHeight="1">
      <c r="C119" s="14" t="n"/>
      <c r="D119" s="14" t="n"/>
      <c r="E119" s="14" t="n"/>
      <c r="F119" s="14" t="n"/>
      <c r="G119" s="16" t="n"/>
      <c r="H119" s="16" t="n"/>
      <c r="I119" s="16" t="n"/>
      <c r="J119" s="14" t="n"/>
      <c r="K119" s="10">
        <f>IF(COUNTA(C119:J119)=0,"",IF(OR(C119&lt;&gt;Steuerung!$F$6,D119&lt;1,D119&gt;12),"Periode prüfen",IF(D119&lt;=Steuerung!$F$8,"IST gesperrt",IF(OR(E119="",F119="",COUNT(G119:I119)&lt;&gt;3),"Angaben fehlen","Wirksam"))))</f>
        <v/>
      </c>
      <c r="L119" s="8">
        <f>IF(K119="Wirksam",SUM(G119:H119)-I119,IF(K119="","","n.a."))</f>
        <v/>
      </c>
    </row>
    <row r="120" ht="21" customHeight="1">
      <c r="C120" s="14" t="n"/>
      <c r="D120" s="14" t="n"/>
      <c r="E120" s="14" t="n"/>
      <c r="F120" s="14" t="n"/>
      <c r="G120" s="16" t="n"/>
      <c r="H120" s="16" t="n"/>
      <c r="I120" s="16" t="n"/>
      <c r="J120" s="14" t="n"/>
      <c r="K120" s="10">
        <f>IF(COUNTA(C120:J120)=0,"",IF(OR(C120&lt;&gt;Steuerung!$F$6,D120&lt;1,D120&gt;12),"Periode prüfen",IF(D120&lt;=Steuerung!$F$8,"IST gesperrt",IF(OR(E120="",F120="",COUNT(G120:I120)&lt;&gt;3),"Angaben fehlen","Wirksam"))))</f>
        <v/>
      </c>
      <c r="L120" s="8">
        <f>IF(K120="Wirksam",SUM(G120:H120)-I120,IF(K120="","","n.a."))</f>
        <v/>
      </c>
    </row>
    <row r="121" ht="21" customHeight="1">
      <c r="C121" s="14" t="n"/>
      <c r="D121" s="14" t="n"/>
      <c r="E121" s="14" t="n"/>
      <c r="F121" s="14" t="n"/>
      <c r="G121" s="16" t="n"/>
      <c r="H121" s="16" t="n"/>
      <c r="I121" s="16" t="n"/>
      <c r="J121" s="14" t="n"/>
      <c r="K121" s="10">
        <f>IF(COUNTA(C121:J121)=0,"",IF(OR(C121&lt;&gt;Steuerung!$F$6,D121&lt;1,D121&gt;12),"Periode prüfen",IF(D121&lt;=Steuerung!$F$8,"IST gesperrt",IF(OR(E121="",F121="",COUNT(G121:I121)&lt;&gt;3),"Angaben fehlen","Wirksam"))))</f>
        <v/>
      </c>
      <c r="L121" s="8">
        <f>IF(K121="Wirksam",SUM(G121:H121)-I121,IF(K121="","","n.a."))</f>
        <v/>
      </c>
    </row>
    <row r="122" ht="21" customHeight="1">
      <c r="C122" s="14" t="n"/>
      <c r="D122" s="14" t="n"/>
      <c r="E122" s="14" t="n"/>
      <c r="F122" s="14" t="n"/>
      <c r="G122" s="16" t="n"/>
      <c r="H122" s="16" t="n"/>
      <c r="I122" s="16" t="n"/>
      <c r="J122" s="14" t="n"/>
      <c r="K122" s="10">
        <f>IF(COUNTA(C122:J122)=0,"",IF(OR(C122&lt;&gt;Steuerung!$F$6,D122&lt;1,D122&gt;12),"Periode prüfen",IF(D122&lt;=Steuerung!$F$8,"IST gesperrt",IF(OR(E122="",F122="",COUNT(G122:I122)&lt;&gt;3),"Angaben fehlen","Wirksam"))))</f>
        <v/>
      </c>
      <c r="L122" s="8">
        <f>IF(K122="Wirksam",SUM(G122:H122)-I122,IF(K122="","","n.a."))</f>
        <v/>
      </c>
    </row>
    <row r="123" ht="21" customHeight="1">
      <c r="C123" s="14" t="n"/>
      <c r="D123" s="14" t="n"/>
      <c r="E123" s="14" t="n"/>
      <c r="F123" s="14" t="n"/>
      <c r="G123" s="16" t="n"/>
      <c r="H123" s="16" t="n"/>
      <c r="I123" s="16" t="n"/>
      <c r="J123" s="14" t="n"/>
      <c r="K123" s="10">
        <f>IF(COUNTA(C123:J123)=0,"",IF(OR(C123&lt;&gt;Steuerung!$F$6,D123&lt;1,D123&gt;12),"Periode prüfen",IF(D123&lt;=Steuerung!$F$8,"IST gesperrt",IF(OR(E123="",F123="",COUNT(G123:I123)&lt;&gt;3),"Angaben fehlen","Wirksam"))))</f>
        <v/>
      </c>
      <c r="L123" s="8">
        <f>IF(K123="Wirksam",SUM(G123:H123)-I123,IF(K123="","","n.a."))</f>
        <v/>
      </c>
    </row>
    <row r="124" ht="21" customHeight="1">
      <c r="C124" s="14" t="n"/>
      <c r="D124" s="14" t="n"/>
      <c r="E124" s="14" t="n"/>
      <c r="F124" s="14" t="n"/>
      <c r="G124" s="16" t="n"/>
      <c r="H124" s="16" t="n"/>
      <c r="I124" s="16" t="n"/>
      <c r="J124" s="14" t="n"/>
      <c r="K124" s="10">
        <f>IF(COUNTA(C124:J124)=0,"",IF(OR(C124&lt;&gt;Steuerung!$F$6,D124&lt;1,D124&gt;12),"Periode prüfen",IF(D124&lt;=Steuerung!$F$8,"IST gesperrt",IF(OR(E124="",F124="",COUNT(G124:I124)&lt;&gt;3),"Angaben fehlen","Wirksam"))))</f>
        <v/>
      </c>
      <c r="L124" s="8">
        <f>IF(K124="Wirksam",SUM(G124:H124)-I124,IF(K124="","","n.a."))</f>
        <v/>
      </c>
    </row>
    <row r="125" ht="21" customHeight="1">
      <c r="C125" s="14" t="n"/>
      <c r="D125" s="14" t="n"/>
      <c r="E125" s="14" t="n"/>
      <c r="F125" s="14" t="n"/>
      <c r="G125" s="16" t="n"/>
      <c r="H125" s="16" t="n"/>
      <c r="I125" s="16" t="n"/>
      <c r="J125" s="14" t="n"/>
      <c r="K125" s="10">
        <f>IF(COUNTA(C125:J125)=0,"",IF(OR(C125&lt;&gt;Steuerung!$F$6,D125&lt;1,D125&gt;12),"Periode prüfen",IF(D125&lt;=Steuerung!$F$8,"IST gesperrt",IF(OR(E125="",F125="",COUNT(G125:I125)&lt;&gt;3),"Angaben fehlen","Wirksam"))))</f>
        <v/>
      </c>
      <c r="L125" s="8">
        <f>IF(K125="Wirksam",SUM(G125:H125)-I125,IF(K125="","","n.a."))</f>
        <v/>
      </c>
    </row>
    <row r="126" ht="21" customHeight="1">
      <c r="C126" s="14" t="n"/>
      <c r="D126" s="14" t="n"/>
      <c r="E126" s="14" t="n"/>
      <c r="F126" s="14" t="n"/>
      <c r="G126" s="16" t="n"/>
      <c r="H126" s="16" t="n"/>
      <c r="I126" s="16" t="n"/>
      <c r="J126" s="14" t="n"/>
      <c r="K126" s="10">
        <f>IF(COUNTA(C126:J126)=0,"",IF(OR(C126&lt;&gt;Steuerung!$F$6,D126&lt;1,D126&gt;12),"Periode prüfen",IF(D126&lt;=Steuerung!$F$8,"IST gesperrt",IF(OR(E126="",F126="",COUNT(G126:I126)&lt;&gt;3),"Angaben fehlen","Wirksam"))))</f>
        <v/>
      </c>
      <c r="L126" s="8">
        <f>IF(K126="Wirksam",SUM(G126:H126)-I126,IF(K126="","","n.a."))</f>
        <v/>
      </c>
    </row>
    <row r="127" ht="21" customHeight="1">
      <c r="C127" s="14" t="n"/>
      <c r="D127" s="14" t="n"/>
      <c r="E127" s="14" t="n"/>
      <c r="F127" s="14" t="n"/>
      <c r="G127" s="16" t="n"/>
      <c r="H127" s="16" t="n"/>
      <c r="I127" s="16" t="n"/>
      <c r="J127" s="14" t="n"/>
      <c r="K127" s="10">
        <f>IF(COUNTA(C127:J127)=0,"",IF(OR(C127&lt;&gt;Steuerung!$F$6,D127&lt;1,D127&gt;12),"Periode prüfen",IF(D127&lt;=Steuerung!$F$8,"IST gesperrt",IF(OR(E127="",F127="",COUNT(G127:I127)&lt;&gt;3),"Angaben fehlen","Wirksam"))))</f>
        <v/>
      </c>
      <c r="L127" s="8">
        <f>IF(K127="Wirksam",SUM(G127:H127)-I127,IF(K127="","","n.a."))</f>
        <v/>
      </c>
    </row>
    <row r="128" ht="21" customHeight="1">
      <c r="C128" s="14" t="n"/>
      <c r="D128" s="14" t="n"/>
      <c r="E128" s="14" t="n"/>
      <c r="F128" s="14" t="n"/>
      <c r="G128" s="16" t="n"/>
      <c r="H128" s="16" t="n"/>
      <c r="I128" s="16" t="n"/>
      <c r="J128" s="14" t="n"/>
      <c r="K128" s="10">
        <f>IF(COUNTA(C128:J128)=0,"",IF(OR(C128&lt;&gt;Steuerung!$F$6,D128&lt;1,D128&gt;12),"Periode prüfen",IF(D128&lt;=Steuerung!$F$8,"IST gesperrt",IF(OR(E128="",F128="",COUNT(G128:I128)&lt;&gt;3),"Angaben fehlen","Wirksam"))))</f>
        <v/>
      </c>
      <c r="L128" s="8">
        <f>IF(K128="Wirksam",SUM(G128:H128)-I128,IF(K128="","","n.a."))</f>
        <v/>
      </c>
    </row>
    <row r="129" ht="21" customHeight="1">
      <c r="C129" s="14" t="n"/>
      <c r="D129" s="14" t="n"/>
      <c r="E129" s="14" t="n"/>
      <c r="F129" s="14" t="n"/>
      <c r="G129" s="16" t="n"/>
      <c r="H129" s="16" t="n"/>
      <c r="I129" s="16" t="n"/>
      <c r="J129" s="14" t="n"/>
      <c r="K129" s="10">
        <f>IF(COUNTA(C129:J129)=0,"",IF(OR(C129&lt;&gt;Steuerung!$F$6,D129&lt;1,D129&gt;12),"Periode prüfen",IF(D129&lt;=Steuerung!$F$8,"IST gesperrt",IF(OR(E129="",F129="",COUNT(G129:I129)&lt;&gt;3),"Angaben fehlen","Wirksam"))))</f>
        <v/>
      </c>
      <c r="L129" s="8">
        <f>IF(K129="Wirksam",SUM(G129:H129)-I129,IF(K129="","","n.a."))</f>
        <v/>
      </c>
    </row>
    <row r="130" ht="21" customHeight="1">
      <c r="C130" s="14" t="n"/>
      <c r="D130" s="14" t="n"/>
      <c r="E130" s="14" t="n"/>
      <c r="F130" s="14" t="n"/>
      <c r="G130" s="16" t="n"/>
      <c r="H130" s="16" t="n"/>
      <c r="I130" s="16" t="n"/>
      <c r="J130" s="14" t="n"/>
      <c r="K130" s="10">
        <f>IF(COUNTA(C130:J130)=0,"",IF(OR(C130&lt;&gt;Steuerung!$F$6,D130&lt;1,D130&gt;12),"Periode prüfen",IF(D130&lt;=Steuerung!$F$8,"IST gesperrt",IF(OR(E130="",F130="",COUNT(G130:I130)&lt;&gt;3),"Angaben fehlen","Wirksam"))))</f>
        <v/>
      </c>
      <c r="L130" s="8">
        <f>IF(K130="Wirksam",SUM(G130:H130)-I130,IF(K130="","","n.a."))</f>
        <v/>
      </c>
    </row>
    <row r="131" ht="21" customHeight="1">
      <c r="C131" s="14" t="n"/>
      <c r="D131" s="14" t="n"/>
      <c r="E131" s="14" t="n"/>
      <c r="F131" s="14" t="n"/>
      <c r="G131" s="16" t="n"/>
      <c r="H131" s="16" t="n"/>
      <c r="I131" s="16" t="n"/>
      <c r="J131" s="14" t="n"/>
      <c r="K131" s="10">
        <f>IF(COUNTA(C131:J131)=0,"",IF(OR(C131&lt;&gt;Steuerung!$F$6,D131&lt;1,D131&gt;12),"Periode prüfen",IF(D131&lt;=Steuerung!$F$8,"IST gesperrt",IF(OR(E131="",F131="",COUNT(G131:I131)&lt;&gt;3),"Angaben fehlen","Wirksam"))))</f>
        <v/>
      </c>
      <c r="L131" s="8">
        <f>IF(K131="Wirksam",SUM(G131:H131)-I131,IF(K131="","","n.a."))</f>
        <v/>
      </c>
    </row>
    <row r="132" ht="21" customHeight="1">
      <c r="C132" s="14" t="n"/>
      <c r="D132" s="14" t="n"/>
      <c r="E132" s="14" t="n"/>
      <c r="F132" s="14" t="n"/>
      <c r="G132" s="16" t="n"/>
      <c r="H132" s="16" t="n"/>
      <c r="I132" s="16" t="n"/>
      <c r="J132" s="14" t="n"/>
      <c r="K132" s="10">
        <f>IF(COUNTA(C132:J132)=0,"",IF(OR(C132&lt;&gt;Steuerung!$F$6,D132&lt;1,D132&gt;12),"Periode prüfen",IF(D132&lt;=Steuerung!$F$8,"IST gesperrt",IF(OR(E132="",F132="",COUNT(G132:I132)&lt;&gt;3),"Angaben fehlen","Wirksam"))))</f>
        <v/>
      </c>
      <c r="L132" s="8">
        <f>IF(K132="Wirksam",SUM(G132:H132)-I132,IF(K132="","","n.a."))</f>
        <v/>
      </c>
    </row>
    <row r="133" ht="21" customHeight="1">
      <c r="C133" s="14" t="n"/>
      <c r="D133" s="14" t="n"/>
      <c r="E133" s="14" t="n"/>
      <c r="F133" s="14" t="n"/>
      <c r="G133" s="16" t="n"/>
      <c r="H133" s="16" t="n"/>
      <c r="I133" s="16" t="n"/>
      <c r="J133" s="14" t="n"/>
      <c r="K133" s="10">
        <f>IF(COUNTA(C133:J133)=0,"",IF(OR(C133&lt;&gt;Steuerung!$F$6,D133&lt;1,D133&gt;12),"Periode prüfen",IF(D133&lt;=Steuerung!$F$8,"IST gesperrt",IF(OR(E133="",F133="",COUNT(G133:I133)&lt;&gt;3),"Angaben fehlen","Wirksam"))))</f>
        <v/>
      </c>
      <c r="L133" s="8">
        <f>IF(K133="Wirksam",SUM(G133:H133)-I133,IF(K133="","","n.a."))</f>
        <v/>
      </c>
    </row>
    <row r="134" ht="21" customHeight="1">
      <c r="C134" s="14" t="n"/>
      <c r="D134" s="14" t="n"/>
      <c r="E134" s="14" t="n"/>
      <c r="F134" s="14" t="n"/>
      <c r="G134" s="16" t="n"/>
      <c r="H134" s="16" t="n"/>
      <c r="I134" s="16" t="n"/>
      <c r="J134" s="14" t="n"/>
      <c r="K134" s="10">
        <f>IF(COUNTA(C134:J134)=0,"",IF(OR(C134&lt;&gt;Steuerung!$F$6,D134&lt;1,D134&gt;12),"Periode prüfen",IF(D134&lt;=Steuerung!$F$8,"IST gesperrt",IF(OR(E134="",F134="",COUNT(G134:I134)&lt;&gt;3),"Angaben fehlen","Wirksam"))))</f>
        <v/>
      </c>
      <c r="L134" s="8">
        <f>IF(K134="Wirksam",SUM(G134:H134)-I134,IF(K134="","","n.a."))</f>
        <v/>
      </c>
    </row>
    <row r="135" ht="21" customHeight="1">
      <c r="C135" s="14" t="n"/>
      <c r="D135" s="14" t="n"/>
      <c r="E135" s="14" t="n"/>
      <c r="F135" s="14" t="n"/>
      <c r="G135" s="16" t="n"/>
      <c r="H135" s="16" t="n"/>
      <c r="I135" s="16" t="n"/>
      <c r="J135" s="14" t="n"/>
      <c r="K135" s="10">
        <f>IF(COUNTA(C135:J135)=0,"",IF(OR(C135&lt;&gt;Steuerung!$F$6,D135&lt;1,D135&gt;12),"Periode prüfen",IF(D135&lt;=Steuerung!$F$8,"IST gesperrt",IF(OR(E135="",F135="",COUNT(G135:I135)&lt;&gt;3),"Angaben fehlen","Wirksam"))))</f>
        <v/>
      </c>
      <c r="L135" s="8">
        <f>IF(K135="Wirksam",SUM(G135:H135)-I135,IF(K135="","","n.a."))</f>
        <v/>
      </c>
    </row>
    <row r="136" ht="21" customHeight="1">
      <c r="C136" s="14" t="n"/>
      <c r="D136" s="14" t="n"/>
      <c r="E136" s="14" t="n"/>
      <c r="F136" s="14" t="n"/>
      <c r="G136" s="16" t="n"/>
      <c r="H136" s="16" t="n"/>
      <c r="I136" s="16" t="n"/>
      <c r="J136" s="14" t="n"/>
      <c r="K136" s="10">
        <f>IF(COUNTA(C136:J136)=0,"",IF(OR(C136&lt;&gt;Steuerung!$F$6,D136&lt;1,D136&gt;12),"Periode prüfen",IF(D136&lt;=Steuerung!$F$8,"IST gesperrt",IF(OR(E136="",F136="",COUNT(G136:I136)&lt;&gt;3),"Angaben fehlen","Wirksam"))))</f>
        <v/>
      </c>
      <c r="L136" s="8">
        <f>IF(K136="Wirksam",SUM(G136:H136)-I136,IF(K136="","","n.a."))</f>
        <v/>
      </c>
    </row>
    <row r="137" ht="21" customHeight="1">
      <c r="C137" s="14" t="n"/>
      <c r="D137" s="14" t="n"/>
      <c r="E137" s="14" t="n"/>
      <c r="F137" s="14" t="n"/>
      <c r="G137" s="16" t="n"/>
      <c r="H137" s="16" t="n"/>
      <c r="I137" s="16" t="n"/>
      <c r="J137" s="14" t="n"/>
      <c r="K137" s="10">
        <f>IF(COUNTA(C137:J137)=0,"",IF(OR(C137&lt;&gt;Steuerung!$F$6,D137&lt;1,D137&gt;12),"Periode prüfen",IF(D137&lt;=Steuerung!$F$8,"IST gesperrt",IF(OR(E137="",F137="",COUNT(G137:I137)&lt;&gt;3),"Angaben fehlen","Wirksam"))))</f>
        <v/>
      </c>
      <c r="L137" s="8">
        <f>IF(K137="Wirksam",SUM(G137:H137)-I137,IF(K137="","","n.a."))</f>
        <v/>
      </c>
    </row>
    <row r="138" ht="21" customHeight="1">
      <c r="C138" s="14" t="n"/>
      <c r="D138" s="14" t="n"/>
      <c r="E138" s="14" t="n"/>
      <c r="F138" s="14" t="n"/>
      <c r="G138" s="16" t="n"/>
      <c r="H138" s="16" t="n"/>
      <c r="I138" s="16" t="n"/>
      <c r="J138" s="14" t="n"/>
      <c r="K138" s="10">
        <f>IF(COUNTA(C138:J138)=0,"",IF(OR(C138&lt;&gt;Steuerung!$F$6,D138&lt;1,D138&gt;12),"Periode prüfen",IF(D138&lt;=Steuerung!$F$8,"IST gesperrt",IF(OR(E138="",F138="",COUNT(G138:I138)&lt;&gt;3),"Angaben fehlen","Wirksam"))))</f>
        <v/>
      </c>
      <c r="L138" s="8">
        <f>IF(K138="Wirksam",SUM(G138:H138)-I138,IF(K138="","","n.a."))</f>
        <v/>
      </c>
    </row>
    <row r="139" ht="21" customHeight="1">
      <c r="C139" s="14" t="n"/>
      <c r="D139" s="14" t="n"/>
      <c r="E139" s="14" t="n"/>
      <c r="F139" s="14" t="n"/>
      <c r="G139" s="16" t="n"/>
      <c r="H139" s="16" t="n"/>
      <c r="I139" s="16" t="n"/>
      <c r="J139" s="14" t="n"/>
      <c r="K139" s="10">
        <f>IF(COUNTA(C139:J139)=0,"",IF(OR(C139&lt;&gt;Steuerung!$F$6,D139&lt;1,D139&gt;12),"Periode prüfen",IF(D139&lt;=Steuerung!$F$8,"IST gesperrt",IF(OR(E139="",F139="",COUNT(G139:I139)&lt;&gt;3),"Angaben fehlen","Wirksam"))))</f>
        <v/>
      </c>
      <c r="L139" s="8">
        <f>IF(K139="Wirksam",SUM(G139:H139)-I139,IF(K139="","","n.a."))</f>
        <v/>
      </c>
    </row>
    <row r="140" ht="21" customHeight="1">
      <c r="C140" s="14" t="n"/>
      <c r="D140" s="14" t="n"/>
      <c r="E140" s="14" t="n"/>
      <c r="F140" s="14" t="n"/>
      <c r="G140" s="16" t="n"/>
      <c r="H140" s="16" t="n"/>
      <c r="I140" s="16" t="n"/>
      <c r="J140" s="14" t="n"/>
      <c r="K140" s="10">
        <f>IF(COUNTA(C140:J140)=0,"",IF(OR(C140&lt;&gt;Steuerung!$F$6,D140&lt;1,D140&gt;12),"Periode prüfen",IF(D140&lt;=Steuerung!$F$8,"IST gesperrt",IF(OR(E140="",F140="",COUNT(G140:I140)&lt;&gt;3),"Angaben fehlen","Wirksam"))))</f>
        <v/>
      </c>
      <c r="L140" s="8">
        <f>IF(K140="Wirksam",SUM(G140:H140)-I140,IF(K140="","","n.a."))</f>
        <v/>
      </c>
    </row>
    <row r="141" ht="21" customHeight="1">
      <c r="C141" s="14" t="n"/>
      <c r="D141" s="14" t="n"/>
      <c r="E141" s="14" t="n"/>
      <c r="F141" s="14" t="n"/>
      <c r="G141" s="16" t="n"/>
      <c r="H141" s="16" t="n"/>
      <c r="I141" s="16" t="n"/>
      <c r="J141" s="14" t="n"/>
      <c r="K141" s="10">
        <f>IF(COUNTA(C141:J141)=0,"",IF(OR(C141&lt;&gt;Steuerung!$F$6,D141&lt;1,D141&gt;12),"Periode prüfen",IF(D141&lt;=Steuerung!$F$8,"IST gesperrt",IF(OR(E141="",F141="",COUNT(G141:I141)&lt;&gt;3),"Angaben fehlen","Wirksam"))))</f>
        <v/>
      </c>
      <c r="L141" s="8">
        <f>IF(K141="Wirksam",SUM(G141:H141)-I141,IF(K141="","","n.a."))</f>
        <v/>
      </c>
    </row>
    <row r="142" ht="21" customHeight="1">
      <c r="C142" s="14" t="n"/>
      <c r="D142" s="14" t="n"/>
      <c r="E142" s="14" t="n"/>
      <c r="F142" s="14" t="n"/>
      <c r="G142" s="16" t="n"/>
      <c r="H142" s="16" t="n"/>
      <c r="I142" s="16" t="n"/>
      <c r="J142" s="14" t="n"/>
      <c r="K142" s="10">
        <f>IF(COUNTA(C142:J142)=0,"",IF(OR(C142&lt;&gt;Steuerung!$F$6,D142&lt;1,D142&gt;12),"Periode prüfen",IF(D142&lt;=Steuerung!$F$8,"IST gesperrt",IF(OR(E142="",F142="",COUNT(G142:I142)&lt;&gt;3),"Angaben fehlen","Wirksam"))))</f>
        <v/>
      </c>
      <c r="L142" s="8">
        <f>IF(K142="Wirksam",SUM(G142:H142)-I142,IF(K142="","","n.a."))</f>
        <v/>
      </c>
    </row>
    <row r="143" ht="21" customHeight="1">
      <c r="C143" s="14" t="n"/>
      <c r="D143" s="14" t="n"/>
      <c r="E143" s="14" t="n"/>
      <c r="F143" s="14" t="n"/>
      <c r="G143" s="16" t="n"/>
      <c r="H143" s="16" t="n"/>
      <c r="I143" s="16" t="n"/>
      <c r="J143" s="14" t="n"/>
      <c r="K143" s="10">
        <f>IF(COUNTA(C143:J143)=0,"",IF(OR(C143&lt;&gt;Steuerung!$F$6,D143&lt;1,D143&gt;12),"Periode prüfen",IF(D143&lt;=Steuerung!$F$8,"IST gesperrt",IF(OR(E143="",F143="",COUNT(G143:I143)&lt;&gt;3),"Angaben fehlen","Wirksam"))))</f>
        <v/>
      </c>
      <c r="L143" s="8">
        <f>IF(K143="Wirksam",SUM(G143:H143)-I143,IF(K143="","","n.a."))</f>
        <v/>
      </c>
    </row>
    <row r="144" ht="21" customHeight="1">
      <c r="C144" s="14" t="n"/>
      <c r="D144" s="14" t="n"/>
      <c r="E144" s="14" t="n"/>
      <c r="F144" s="14" t="n"/>
      <c r="G144" s="16" t="n"/>
      <c r="H144" s="16" t="n"/>
      <c r="I144" s="16" t="n"/>
      <c r="J144" s="14" t="n"/>
      <c r="K144" s="10">
        <f>IF(COUNTA(C144:J144)=0,"",IF(OR(C144&lt;&gt;Steuerung!$F$6,D144&lt;1,D144&gt;12),"Periode prüfen",IF(D144&lt;=Steuerung!$F$8,"IST gesperrt",IF(OR(E144="",F144="",COUNT(G144:I144)&lt;&gt;3),"Angaben fehlen","Wirksam"))))</f>
        <v/>
      </c>
      <c r="L144" s="8">
        <f>IF(K144="Wirksam",SUM(G144:H144)-I144,IF(K144="","","n.a."))</f>
        <v/>
      </c>
    </row>
    <row r="145" ht="21" customHeight="1">
      <c r="C145" s="14" t="n"/>
      <c r="D145" s="14" t="n"/>
      <c r="E145" s="14" t="n"/>
      <c r="F145" s="14" t="n"/>
      <c r="G145" s="16" t="n"/>
      <c r="H145" s="16" t="n"/>
      <c r="I145" s="16" t="n"/>
      <c r="J145" s="14" t="n"/>
      <c r="K145" s="10">
        <f>IF(COUNTA(C145:J145)=0,"",IF(OR(C145&lt;&gt;Steuerung!$F$6,D145&lt;1,D145&gt;12),"Periode prüfen",IF(D145&lt;=Steuerung!$F$8,"IST gesperrt",IF(OR(E145="",F145="",COUNT(G145:I145)&lt;&gt;3),"Angaben fehlen","Wirksam"))))</f>
        <v/>
      </c>
      <c r="L145" s="8">
        <f>IF(K145="Wirksam",SUM(G145:H145)-I145,IF(K145="","","n.a."))</f>
        <v/>
      </c>
    </row>
    <row r="146" ht="21" customHeight="1">
      <c r="C146" s="14" t="n"/>
      <c r="D146" s="14" t="n"/>
      <c r="E146" s="14" t="n"/>
      <c r="F146" s="14" t="n"/>
      <c r="G146" s="16" t="n"/>
      <c r="H146" s="16" t="n"/>
      <c r="I146" s="16" t="n"/>
      <c r="J146" s="14" t="n"/>
      <c r="K146" s="10">
        <f>IF(COUNTA(C146:J146)=0,"",IF(OR(C146&lt;&gt;Steuerung!$F$6,D146&lt;1,D146&gt;12),"Periode prüfen",IF(D146&lt;=Steuerung!$F$8,"IST gesperrt",IF(OR(E146="",F146="",COUNT(G146:I146)&lt;&gt;3),"Angaben fehlen","Wirksam"))))</f>
        <v/>
      </c>
      <c r="L146" s="8">
        <f>IF(K146="Wirksam",SUM(G146:H146)-I146,IF(K146="","","n.a."))</f>
        <v/>
      </c>
    </row>
    <row r="147" ht="21" customHeight="1">
      <c r="C147" s="14" t="n"/>
      <c r="D147" s="14" t="n"/>
      <c r="E147" s="14" t="n"/>
      <c r="F147" s="14" t="n"/>
      <c r="G147" s="16" t="n"/>
      <c r="H147" s="16" t="n"/>
      <c r="I147" s="16" t="n"/>
      <c r="J147" s="14" t="n"/>
      <c r="K147" s="10">
        <f>IF(COUNTA(C147:J147)=0,"",IF(OR(C147&lt;&gt;Steuerung!$F$6,D147&lt;1,D147&gt;12),"Periode prüfen",IF(D147&lt;=Steuerung!$F$8,"IST gesperrt",IF(OR(E147="",F147="",COUNT(G147:I147)&lt;&gt;3),"Angaben fehlen","Wirksam"))))</f>
        <v/>
      </c>
      <c r="L147" s="8">
        <f>IF(K147="Wirksam",SUM(G147:H147)-I147,IF(K147="","","n.a."))</f>
        <v/>
      </c>
    </row>
    <row r="148" ht="21" customHeight="1">
      <c r="C148" s="14" t="n"/>
      <c r="D148" s="14" t="n"/>
      <c r="E148" s="14" t="n"/>
      <c r="F148" s="14" t="n"/>
      <c r="G148" s="16" t="n"/>
      <c r="H148" s="16" t="n"/>
      <c r="I148" s="16" t="n"/>
      <c r="J148" s="14" t="n"/>
      <c r="K148" s="10">
        <f>IF(COUNTA(C148:J148)=0,"",IF(OR(C148&lt;&gt;Steuerung!$F$6,D148&lt;1,D148&gt;12),"Periode prüfen",IF(D148&lt;=Steuerung!$F$8,"IST gesperrt",IF(OR(E148="",F148="",COUNT(G148:I148)&lt;&gt;3),"Angaben fehlen","Wirksam"))))</f>
        <v/>
      </c>
      <c r="L148" s="8">
        <f>IF(K148="Wirksam",SUM(G148:H148)-I148,IF(K148="","","n.a."))</f>
        <v/>
      </c>
    </row>
    <row r="149" ht="21" customHeight="1">
      <c r="C149" s="14" t="n"/>
      <c r="D149" s="14" t="n"/>
      <c r="E149" s="14" t="n"/>
      <c r="F149" s="14" t="n"/>
      <c r="G149" s="16" t="n"/>
      <c r="H149" s="16" t="n"/>
      <c r="I149" s="16" t="n"/>
      <c r="J149" s="14" t="n"/>
      <c r="K149" s="10">
        <f>IF(COUNTA(C149:J149)=0,"",IF(OR(C149&lt;&gt;Steuerung!$F$6,D149&lt;1,D149&gt;12),"Periode prüfen",IF(D149&lt;=Steuerung!$F$8,"IST gesperrt",IF(OR(E149="",F149="",COUNT(G149:I149)&lt;&gt;3),"Angaben fehlen","Wirksam"))))</f>
        <v/>
      </c>
      <c r="L149" s="8">
        <f>IF(K149="Wirksam",SUM(G149:H149)-I149,IF(K149="","","n.a."))</f>
        <v/>
      </c>
    </row>
    <row r="150" ht="21" customHeight="1">
      <c r="C150" s="14" t="n"/>
      <c r="D150" s="14" t="n"/>
      <c r="E150" s="14" t="n"/>
      <c r="F150" s="14" t="n"/>
      <c r="G150" s="16" t="n"/>
      <c r="H150" s="16" t="n"/>
      <c r="I150" s="16" t="n"/>
      <c r="J150" s="14" t="n"/>
      <c r="K150" s="10">
        <f>IF(COUNTA(C150:J150)=0,"",IF(OR(C150&lt;&gt;Steuerung!$F$6,D150&lt;1,D150&gt;12),"Periode prüfen",IF(D150&lt;=Steuerung!$F$8,"IST gesperrt",IF(OR(E150="",F150="",COUNT(G150:I150)&lt;&gt;3),"Angaben fehlen","Wirksam"))))</f>
        <v/>
      </c>
      <c r="L150" s="8">
        <f>IF(K150="Wirksam",SUM(G150:H150)-I150,IF(K150="","","n.a."))</f>
        <v/>
      </c>
    </row>
    <row r="151" ht="21" customHeight="1">
      <c r="C151" s="14" t="n"/>
      <c r="D151" s="14" t="n"/>
      <c r="E151" s="14" t="n"/>
      <c r="F151" s="14" t="n"/>
      <c r="G151" s="16" t="n"/>
      <c r="H151" s="16" t="n"/>
      <c r="I151" s="16" t="n"/>
      <c r="J151" s="14" t="n"/>
      <c r="K151" s="10">
        <f>IF(COUNTA(C151:J151)=0,"",IF(OR(C151&lt;&gt;Steuerung!$F$6,D151&lt;1,D151&gt;12),"Periode prüfen",IF(D151&lt;=Steuerung!$F$8,"IST gesperrt",IF(OR(E151="",F151="",COUNT(G151:I151)&lt;&gt;3),"Angaben fehlen","Wirksam"))))</f>
        <v/>
      </c>
      <c r="L151" s="8">
        <f>IF(K151="Wirksam",SUM(G151:H151)-I151,IF(K151="","","n.a."))</f>
        <v/>
      </c>
    </row>
    <row r="152" ht="21" customHeight="1">
      <c r="C152" s="14" t="n"/>
      <c r="D152" s="14" t="n"/>
      <c r="E152" s="14" t="n"/>
      <c r="F152" s="14" t="n"/>
      <c r="G152" s="16" t="n"/>
      <c r="H152" s="16" t="n"/>
      <c r="I152" s="16" t="n"/>
      <c r="J152" s="14" t="n"/>
      <c r="K152" s="10">
        <f>IF(COUNTA(C152:J152)=0,"",IF(OR(C152&lt;&gt;Steuerung!$F$6,D152&lt;1,D152&gt;12),"Periode prüfen",IF(D152&lt;=Steuerung!$F$8,"IST gesperrt",IF(OR(E152="",F152="",COUNT(G152:I152)&lt;&gt;3),"Angaben fehlen","Wirksam"))))</f>
        <v/>
      </c>
      <c r="L152" s="8">
        <f>IF(K152="Wirksam",SUM(G152:H152)-I152,IF(K152="","","n.a."))</f>
        <v/>
      </c>
    </row>
    <row r="153" ht="21" customHeight="1">
      <c r="C153" s="14" t="n"/>
      <c r="D153" s="14" t="n"/>
      <c r="E153" s="14" t="n"/>
      <c r="F153" s="14" t="n"/>
      <c r="G153" s="16" t="n"/>
      <c r="H153" s="16" t="n"/>
      <c r="I153" s="16" t="n"/>
      <c r="J153" s="14" t="n"/>
      <c r="K153" s="10">
        <f>IF(COUNTA(C153:J153)=0,"",IF(OR(C153&lt;&gt;Steuerung!$F$6,D153&lt;1,D153&gt;12),"Periode prüfen",IF(D153&lt;=Steuerung!$F$8,"IST gesperrt",IF(OR(E153="",F153="",COUNT(G153:I153)&lt;&gt;3),"Angaben fehlen","Wirksam"))))</f>
        <v/>
      </c>
      <c r="L153" s="8">
        <f>IF(K153="Wirksam",SUM(G153:H153)-I153,IF(K153="","","n.a."))</f>
        <v/>
      </c>
    </row>
    <row r="154" ht="21" customHeight="1">
      <c r="C154" s="14" t="n"/>
      <c r="D154" s="14" t="n"/>
      <c r="E154" s="14" t="n"/>
      <c r="F154" s="14" t="n"/>
      <c r="G154" s="16" t="n"/>
      <c r="H154" s="16" t="n"/>
      <c r="I154" s="16" t="n"/>
      <c r="J154" s="14" t="n"/>
      <c r="K154" s="10">
        <f>IF(COUNTA(C154:J154)=0,"",IF(OR(C154&lt;&gt;Steuerung!$F$6,D154&lt;1,D154&gt;12),"Periode prüfen",IF(D154&lt;=Steuerung!$F$8,"IST gesperrt",IF(OR(E154="",F154="",COUNT(G154:I154)&lt;&gt;3),"Angaben fehlen","Wirksam"))))</f>
        <v/>
      </c>
      <c r="L154" s="8">
        <f>IF(K154="Wirksam",SUM(G154:H154)-I154,IF(K154="","","n.a."))</f>
        <v/>
      </c>
    </row>
    <row r="155" ht="21" customHeight="1">
      <c r="C155" s="14" t="n"/>
      <c r="D155" s="14" t="n"/>
      <c r="E155" s="14" t="n"/>
      <c r="F155" s="14" t="n"/>
      <c r="G155" s="16" t="n"/>
      <c r="H155" s="16" t="n"/>
      <c r="I155" s="16" t="n"/>
      <c r="J155" s="14" t="n"/>
      <c r="K155" s="10">
        <f>IF(COUNTA(C155:J155)=0,"",IF(OR(C155&lt;&gt;Steuerung!$F$6,D155&lt;1,D155&gt;12),"Periode prüfen",IF(D155&lt;=Steuerung!$F$8,"IST gesperrt",IF(OR(E155="",F155="",COUNT(G155:I155)&lt;&gt;3),"Angaben fehlen","Wirksam"))))</f>
        <v/>
      </c>
      <c r="L155" s="8">
        <f>IF(K155="Wirksam",SUM(G155:H155)-I155,IF(K155="","","n.a."))</f>
        <v/>
      </c>
    </row>
    <row r="156" ht="21" customHeight="1">
      <c r="C156" s="14" t="n"/>
      <c r="D156" s="14" t="n"/>
      <c r="E156" s="14" t="n"/>
      <c r="F156" s="14" t="n"/>
      <c r="G156" s="16" t="n"/>
      <c r="H156" s="16" t="n"/>
      <c r="I156" s="16" t="n"/>
      <c r="J156" s="14" t="n"/>
      <c r="K156" s="10">
        <f>IF(COUNTA(C156:J156)=0,"",IF(OR(C156&lt;&gt;Steuerung!$F$6,D156&lt;1,D156&gt;12),"Periode prüfen",IF(D156&lt;=Steuerung!$F$8,"IST gesperrt",IF(OR(E156="",F156="",COUNT(G156:I156)&lt;&gt;3),"Angaben fehlen","Wirksam"))))</f>
        <v/>
      </c>
      <c r="L156" s="8">
        <f>IF(K156="Wirksam",SUM(G156:H156)-I156,IF(K156="","","n.a."))</f>
        <v/>
      </c>
    </row>
    <row r="157" ht="21" customHeight="1">
      <c r="C157" s="14" t="n"/>
      <c r="D157" s="14" t="n"/>
      <c r="E157" s="14" t="n"/>
      <c r="F157" s="14" t="n"/>
      <c r="G157" s="16" t="n"/>
      <c r="H157" s="16" t="n"/>
      <c r="I157" s="16" t="n"/>
      <c r="J157" s="14" t="n"/>
      <c r="K157" s="10">
        <f>IF(COUNTA(C157:J157)=0,"",IF(OR(C157&lt;&gt;Steuerung!$F$6,D157&lt;1,D157&gt;12),"Periode prüfen",IF(D157&lt;=Steuerung!$F$8,"IST gesperrt",IF(OR(E157="",F157="",COUNT(G157:I157)&lt;&gt;3),"Angaben fehlen","Wirksam"))))</f>
        <v/>
      </c>
      <c r="L157" s="8">
        <f>IF(K157="Wirksam",SUM(G157:H157)-I157,IF(K157="","","n.a."))</f>
        <v/>
      </c>
    </row>
    <row r="158" ht="21" customHeight="1">
      <c r="C158" s="14" t="n"/>
      <c r="D158" s="14" t="n"/>
      <c r="E158" s="14" t="n"/>
      <c r="F158" s="14" t="n"/>
      <c r="G158" s="16" t="n"/>
      <c r="H158" s="16" t="n"/>
      <c r="I158" s="16" t="n"/>
      <c r="J158" s="14" t="n"/>
      <c r="K158" s="10">
        <f>IF(COUNTA(C158:J158)=0,"",IF(OR(C158&lt;&gt;Steuerung!$F$6,D158&lt;1,D158&gt;12),"Periode prüfen",IF(D158&lt;=Steuerung!$F$8,"IST gesperrt",IF(OR(E158="",F158="",COUNT(G158:I158)&lt;&gt;3),"Angaben fehlen","Wirksam"))))</f>
        <v/>
      </c>
      <c r="L158" s="8">
        <f>IF(K158="Wirksam",SUM(G158:H158)-I158,IF(K158="","","n.a."))</f>
        <v/>
      </c>
    </row>
    <row r="159" ht="21" customHeight="1">
      <c r="C159" s="14" t="n"/>
      <c r="D159" s="14" t="n"/>
      <c r="E159" s="14" t="n"/>
      <c r="F159" s="14" t="n"/>
      <c r="G159" s="16" t="n"/>
      <c r="H159" s="16" t="n"/>
      <c r="I159" s="16" t="n"/>
      <c r="J159" s="14" t="n"/>
      <c r="K159" s="10">
        <f>IF(COUNTA(C159:J159)=0,"",IF(OR(C159&lt;&gt;Steuerung!$F$6,D159&lt;1,D159&gt;12),"Periode prüfen",IF(D159&lt;=Steuerung!$F$8,"IST gesperrt",IF(OR(E159="",F159="",COUNT(G159:I159)&lt;&gt;3),"Angaben fehlen","Wirksam"))))</f>
        <v/>
      </c>
      <c r="L159" s="8">
        <f>IF(K159="Wirksam",SUM(G159:H159)-I159,IF(K159="","","n.a."))</f>
        <v/>
      </c>
    </row>
    <row r="160" ht="21" customHeight="1">
      <c r="C160" s="14" t="n"/>
      <c r="D160" s="14" t="n"/>
      <c r="E160" s="14" t="n"/>
      <c r="F160" s="14" t="n"/>
      <c r="G160" s="16" t="n"/>
      <c r="H160" s="16" t="n"/>
      <c r="I160" s="16" t="n"/>
      <c r="J160" s="14" t="n"/>
      <c r="K160" s="10">
        <f>IF(COUNTA(C160:J160)=0,"",IF(OR(C160&lt;&gt;Steuerung!$F$6,D160&lt;1,D160&gt;12),"Periode prüfen",IF(D160&lt;=Steuerung!$F$8,"IST gesperrt",IF(OR(E160="",F160="",COUNT(G160:I160)&lt;&gt;3),"Angaben fehlen","Wirksam"))))</f>
        <v/>
      </c>
      <c r="L160" s="8">
        <f>IF(K160="Wirksam",SUM(G160:H160)-I160,IF(K160="","","n.a."))</f>
        <v/>
      </c>
    </row>
    <row r="161" ht="21" customHeight="1">
      <c r="C161" s="14" t="n"/>
      <c r="D161" s="14" t="n"/>
      <c r="E161" s="14" t="n"/>
      <c r="F161" s="14" t="n"/>
      <c r="G161" s="16" t="n"/>
      <c r="H161" s="16" t="n"/>
      <c r="I161" s="16" t="n"/>
      <c r="J161" s="14" t="n"/>
      <c r="K161" s="10">
        <f>IF(COUNTA(C161:J161)=0,"",IF(OR(C161&lt;&gt;Steuerung!$F$6,D161&lt;1,D161&gt;12),"Periode prüfen",IF(D161&lt;=Steuerung!$F$8,"IST gesperrt",IF(OR(E161="",F161="",COUNT(G161:I161)&lt;&gt;3),"Angaben fehlen","Wirksam"))))</f>
        <v/>
      </c>
      <c r="L161" s="8">
        <f>IF(K161="Wirksam",SUM(G161:H161)-I161,IF(K161="","","n.a."))</f>
        <v/>
      </c>
    </row>
    <row r="162" ht="21" customHeight="1">
      <c r="C162" s="14" t="n"/>
      <c r="D162" s="14" t="n"/>
      <c r="E162" s="14" t="n"/>
      <c r="F162" s="14" t="n"/>
      <c r="G162" s="16" t="n"/>
      <c r="H162" s="16" t="n"/>
      <c r="I162" s="16" t="n"/>
      <c r="J162" s="14" t="n"/>
      <c r="K162" s="10">
        <f>IF(COUNTA(C162:J162)=0,"",IF(OR(C162&lt;&gt;Steuerung!$F$6,D162&lt;1,D162&gt;12),"Periode prüfen",IF(D162&lt;=Steuerung!$F$8,"IST gesperrt",IF(OR(E162="",F162="",COUNT(G162:I162)&lt;&gt;3),"Angaben fehlen","Wirksam"))))</f>
        <v/>
      </c>
      <c r="L162" s="8">
        <f>IF(K162="Wirksam",SUM(G162:H162)-I162,IF(K162="","","n.a."))</f>
        <v/>
      </c>
    </row>
    <row r="163" ht="21" customHeight="1">
      <c r="C163" s="14" t="n"/>
      <c r="D163" s="14" t="n"/>
      <c r="E163" s="14" t="n"/>
      <c r="F163" s="14" t="n"/>
      <c r="G163" s="16" t="n"/>
      <c r="H163" s="16" t="n"/>
      <c r="I163" s="16" t="n"/>
      <c r="J163" s="14" t="n"/>
      <c r="K163" s="10">
        <f>IF(COUNTA(C163:J163)=0,"",IF(OR(C163&lt;&gt;Steuerung!$F$6,D163&lt;1,D163&gt;12),"Periode prüfen",IF(D163&lt;=Steuerung!$F$8,"IST gesperrt",IF(OR(E163="",F163="",COUNT(G163:I163)&lt;&gt;3),"Angaben fehlen","Wirksam"))))</f>
        <v/>
      </c>
      <c r="L163" s="8">
        <f>IF(K163="Wirksam",SUM(G163:H163)-I163,IF(K163="","","n.a."))</f>
        <v/>
      </c>
    </row>
    <row r="164" ht="21" customHeight="1">
      <c r="C164" s="14" t="n"/>
      <c r="D164" s="14" t="n"/>
      <c r="E164" s="14" t="n"/>
      <c r="F164" s="14" t="n"/>
      <c r="G164" s="16" t="n"/>
      <c r="H164" s="16" t="n"/>
      <c r="I164" s="16" t="n"/>
      <c r="J164" s="14" t="n"/>
      <c r="K164" s="10">
        <f>IF(COUNTA(C164:J164)=0,"",IF(OR(C164&lt;&gt;Steuerung!$F$6,D164&lt;1,D164&gt;12),"Periode prüfen",IF(D164&lt;=Steuerung!$F$8,"IST gesperrt",IF(OR(E164="",F164="",COUNT(G164:I164)&lt;&gt;3),"Angaben fehlen","Wirksam"))))</f>
        <v/>
      </c>
      <c r="L164" s="8">
        <f>IF(K164="Wirksam",SUM(G164:H164)-I164,IF(K164="","","n.a."))</f>
        <v/>
      </c>
    </row>
    <row r="165" ht="21" customHeight="1">
      <c r="C165" s="14" t="n"/>
      <c r="D165" s="14" t="n"/>
      <c r="E165" s="14" t="n"/>
      <c r="F165" s="14" t="n"/>
      <c r="G165" s="16" t="n"/>
      <c r="H165" s="16" t="n"/>
      <c r="I165" s="16" t="n"/>
      <c r="J165" s="14" t="n"/>
      <c r="K165" s="10">
        <f>IF(COUNTA(C165:J165)=0,"",IF(OR(C165&lt;&gt;Steuerung!$F$6,D165&lt;1,D165&gt;12),"Periode prüfen",IF(D165&lt;=Steuerung!$F$8,"IST gesperrt",IF(OR(E165="",F165="",COUNT(G165:I165)&lt;&gt;3),"Angaben fehlen","Wirksam"))))</f>
        <v/>
      </c>
      <c r="L165" s="8">
        <f>IF(K165="Wirksam",SUM(G165:H165)-I165,IF(K165="","","n.a."))</f>
        <v/>
      </c>
    </row>
    <row r="166" ht="21" customHeight="1">
      <c r="C166" s="14" t="n"/>
      <c r="D166" s="14" t="n"/>
      <c r="E166" s="14" t="n"/>
      <c r="F166" s="14" t="n"/>
      <c r="G166" s="16" t="n"/>
      <c r="H166" s="16" t="n"/>
      <c r="I166" s="16" t="n"/>
      <c r="J166" s="14" t="n"/>
      <c r="K166" s="10">
        <f>IF(COUNTA(C166:J166)=0,"",IF(OR(C166&lt;&gt;Steuerung!$F$6,D166&lt;1,D166&gt;12),"Periode prüfen",IF(D166&lt;=Steuerung!$F$8,"IST gesperrt",IF(OR(E166="",F166="",COUNT(G166:I166)&lt;&gt;3),"Angaben fehlen","Wirksam"))))</f>
        <v/>
      </c>
      <c r="L166" s="8">
        <f>IF(K166="Wirksam",SUM(G166:H166)-I166,IF(K166="","","n.a."))</f>
        <v/>
      </c>
    </row>
    <row r="167" ht="21" customHeight="1">
      <c r="C167" s="14" t="n"/>
      <c r="D167" s="14" t="n"/>
      <c r="E167" s="14" t="n"/>
      <c r="F167" s="14" t="n"/>
      <c r="G167" s="16" t="n"/>
      <c r="H167" s="16" t="n"/>
      <c r="I167" s="16" t="n"/>
      <c r="J167" s="14" t="n"/>
      <c r="K167" s="10">
        <f>IF(COUNTA(C167:J167)=0,"",IF(OR(C167&lt;&gt;Steuerung!$F$6,D167&lt;1,D167&gt;12),"Periode prüfen",IF(D167&lt;=Steuerung!$F$8,"IST gesperrt",IF(OR(E167="",F167="",COUNT(G167:I167)&lt;&gt;3),"Angaben fehlen","Wirksam"))))</f>
        <v/>
      </c>
      <c r="L167" s="8">
        <f>IF(K167="Wirksam",SUM(G167:H167)-I167,IF(K167="","","n.a."))</f>
        <v/>
      </c>
    </row>
    <row r="168" ht="21" customHeight="1">
      <c r="C168" s="14" t="n"/>
      <c r="D168" s="14" t="n"/>
      <c r="E168" s="14" t="n"/>
      <c r="F168" s="14" t="n"/>
      <c r="G168" s="16" t="n"/>
      <c r="H168" s="16" t="n"/>
      <c r="I168" s="16" t="n"/>
      <c r="J168" s="14" t="n"/>
      <c r="K168" s="10">
        <f>IF(COUNTA(C168:J168)=0,"",IF(OR(C168&lt;&gt;Steuerung!$F$6,D168&lt;1,D168&gt;12),"Periode prüfen",IF(D168&lt;=Steuerung!$F$8,"IST gesperrt",IF(OR(E168="",F168="",COUNT(G168:I168)&lt;&gt;3),"Angaben fehlen","Wirksam"))))</f>
        <v/>
      </c>
      <c r="L168" s="8">
        <f>IF(K168="Wirksam",SUM(G168:H168)-I168,IF(K168="","","n.a."))</f>
        <v/>
      </c>
    </row>
    <row r="169" ht="21" customHeight="1">
      <c r="C169" s="14" t="n"/>
      <c r="D169" s="14" t="n"/>
      <c r="E169" s="14" t="n"/>
      <c r="F169" s="14" t="n"/>
      <c r="G169" s="16" t="n"/>
      <c r="H169" s="16" t="n"/>
      <c r="I169" s="16" t="n"/>
      <c r="J169" s="14" t="n"/>
      <c r="K169" s="10">
        <f>IF(COUNTA(C169:J169)=0,"",IF(OR(C169&lt;&gt;Steuerung!$F$6,D169&lt;1,D169&gt;12),"Periode prüfen",IF(D169&lt;=Steuerung!$F$8,"IST gesperrt",IF(OR(E169="",F169="",COUNT(G169:I169)&lt;&gt;3),"Angaben fehlen","Wirksam"))))</f>
        <v/>
      </c>
      <c r="L169" s="8">
        <f>IF(K169="Wirksam",SUM(G169:H169)-I169,IF(K169="","","n.a."))</f>
        <v/>
      </c>
    </row>
    <row r="170" ht="21" customHeight="1">
      <c r="C170" s="14" t="n"/>
      <c r="D170" s="14" t="n"/>
      <c r="E170" s="14" t="n"/>
      <c r="F170" s="14" t="n"/>
      <c r="G170" s="16" t="n"/>
      <c r="H170" s="16" t="n"/>
      <c r="I170" s="16" t="n"/>
      <c r="J170" s="14" t="n"/>
      <c r="K170" s="10">
        <f>IF(COUNTA(C170:J170)=0,"",IF(OR(C170&lt;&gt;Steuerung!$F$6,D170&lt;1,D170&gt;12),"Periode prüfen",IF(D170&lt;=Steuerung!$F$8,"IST gesperrt",IF(OR(E170="",F170="",COUNT(G170:I170)&lt;&gt;3),"Angaben fehlen","Wirksam"))))</f>
        <v/>
      </c>
      <c r="L170" s="8">
        <f>IF(K170="Wirksam",SUM(G170:H170)-I170,IF(K170="","","n.a."))</f>
        <v/>
      </c>
    </row>
    <row r="171" ht="21" customHeight="1">
      <c r="C171" s="14" t="n"/>
      <c r="D171" s="14" t="n"/>
      <c r="E171" s="14" t="n"/>
      <c r="F171" s="14" t="n"/>
      <c r="G171" s="16" t="n"/>
      <c r="H171" s="16" t="n"/>
      <c r="I171" s="16" t="n"/>
      <c r="J171" s="14" t="n"/>
      <c r="K171" s="10">
        <f>IF(COUNTA(C171:J171)=0,"",IF(OR(C171&lt;&gt;Steuerung!$F$6,D171&lt;1,D171&gt;12),"Periode prüfen",IF(D171&lt;=Steuerung!$F$8,"IST gesperrt",IF(OR(E171="",F171="",COUNT(G171:I171)&lt;&gt;3),"Angaben fehlen","Wirksam"))))</f>
        <v/>
      </c>
      <c r="L171" s="8">
        <f>IF(K171="Wirksam",SUM(G171:H171)-I171,IF(K171="","","n.a."))</f>
        <v/>
      </c>
    </row>
    <row r="172" ht="21" customHeight="1">
      <c r="C172" s="14" t="n"/>
      <c r="D172" s="14" t="n"/>
      <c r="E172" s="14" t="n"/>
      <c r="F172" s="14" t="n"/>
      <c r="G172" s="16" t="n"/>
      <c r="H172" s="16" t="n"/>
      <c r="I172" s="16" t="n"/>
      <c r="J172" s="14" t="n"/>
      <c r="K172" s="10">
        <f>IF(COUNTA(C172:J172)=0,"",IF(OR(C172&lt;&gt;Steuerung!$F$6,D172&lt;1,D172&gt;12),"Periode prüfen",IF(D172&lt;=Steuerung!$F$8,"IST gesperrt",IF(OR(E172="",F172="",COUNT(G172:I172)&lt;&gt;3),"Angaben fehlen","Wirksam"))))</f>
        <v/>
      </c>
      <c r="L172" s="8">
        <f>IF(K172="Wirksam",SUM(G172:H172)-I172,IF(K172="","","n.a."))</f>
        <v/>
      </c>
    </row>
    <row r="173" ht="21" customHeight="1">
      <c r="C173" s="14" t="n"/>
      <c r="D173" s="14" t="n"/>
      <c r="E173" s="14" t="n"/>
      <c r="F173" s="14" t="n"/>
      <c r="G173" s="16" t="n"/>
      <c r="H173" s="16" t="n"/>
      <c r="I173" s="16" t="n"/>
      <c r="J173" s="14" t="n"/>
      <c r="K173" s="10">
        <f>IF(COUNTA(C173:J173)=0,"",IF(OR(C173&lt;&gt;Steuerung!$F$6,D173&lt;1,D173&gt;12),"Periode prüfen",IF(D173&lt;=Steuerung!$F$8,"IST gesperrt",IF(OR(E173="",F173="",COUNT(G173:I173)&lt;&gt;3),"Angaben fehlen","Wirksam"))))</f>
        <v/>
      </c>
      <c r="L173" s="8">
        <f>IF(K173="Wirksam",SUM(G173:H173)-I173,IF(K173="","","n.a."))</f>
        <v/>
      </c>
    </row>
    <row r="174" ht="21" customHeight="1">
      <c r="C174" s="14" t="n"/>
      <c r="D174" s="14" t="n"/>
      <c r="E174" s="14" t="n"/>
      <c r="F174" s="14" t="n"/>
      <c r="G174" s="16" t="n"/>
      <c r="H174" s="16" t="n"/>
      <c r="I174" s="16" t="n"/>
      <c r="J174" s="14" t="n"/>
      <c r="K174" s="10">
        <f>IF(COUNTA(C174:J174)=0,"",IF(OR(C174&lt;&gt;Steuerung!$F$6,D174&lt;1,D174&gt;12),"Periode prüfen",IF(D174&lt;=Steuerung!$F$8,"IST gesperrt",IF(OR(E174="",F174="",COUNT(G174:I174)&lt;&gt;3),"Angaben fehlen","Wirksam"))))</f>
        <v/>
      </c>
      <c r="L174" s="8">
        <f>IF(K174="Wirksam",SUM(G174:H174)-I174,IF(K174="","","n.a."))</f>
        <v/>
      </c>
    </row>
    <row r="175" ht="21" customHeight="1">
      <c r="C175" s="14" t="n"/>
      <c r="D175" s="14" t="n"/>
      <c r="E175" s="14" t="n"/>
      <c r="F175" s="14" t="n"/>
      <c r="G175" s="16" t="n"/>
      <c r="H175" s="16" t="n"/>
      <c r="I175" s="16" t="n"/>
      <c r="J175" s="14" t="n"/>
      <c r="K175" s="10">
        <f>IF(COUNTA(C175:J175)=0,"",IF(OR(C175&lt;&gt;Steuerung!$F$6,D175&lt;1,D175&gt;12),"Periode prüfen",IF(D175&lt;=Steuerung!$F$8,"IST gesperrt",IF(OR(E175="",F175="",COUNT(G175:I175)&lt;&gt;3),"Angaben fehlen","Wirksam"))))</f>
        <v/>
      </c>
      <c r="L175" s="8">
        <f>IF(K175="Wirksam",SUM(G175:H175)-I175,IF(K175="","","n.a."))</f>
        <v/>
      </c>
    </row>
    <row r="176" ht="21" customHeight="1">
      <c r="C176" s="14" t="n"/>
      <c r="D176" s="14" t="n"/>
      <c r="E176" s="14" t="n"/>
      <c r="F176" s="14" t="n"/>
      <c r="G176" s="16" t="n"/>
      <c r="H176" s="16" t="n"/>
      <c r="I176" s="16" t="n"/>
      <c r="J176" s="14" t="n"/>
      <c r="K176" s="10">
        <f>IF(COUNTA(C176:J176)=0,"",IF(OR(C176&lt;&gt;Steuerung!$F$6,D176&lt;1,D176&gt;12),"Periode prüfen",IF(D176&lt;=Steuerung!$F$8,"IST gesperrt",IF(OR(E176="",F176="",COUNT(G176:I176)&lt;&gt;3),"Angaben fehlen","Wirksam"))))</f>
        <v/>
      </c>
      <c r="L176" s="8">
        <f>IF(K176="Wirksam",SUM(G176:H176)-I176,IF(K176="","","n.a."))</f>
        <v/>
      </c>
    </row>
    <row r="177" ht="21" customHeight="1">
      <c r="C177" s="14" t="n"/>
      <c r="D177" s="14" t="n"/>
      <c r="E177" s="14" t="n"/>
      <c r="F177" s="14" t="n"/>
      <c r="G177" s="16" t="n"/>
      <c r="H177" s="16" t="n"/>
      <c r="I177" s="16" t="n"/>
      <c r="J177" s="14" t="n"/>
      <c r="K177" s="10">
        <f>IF(COUNTA(C177:J177)=0,"",IF(OR(C177&lt;&gt;Steuerung!$F$6,D177&lt;1,D177&gt;12),"Periode prüfen",IF(D177&lt;=Steuerung!$F$8,"IST gesperrt",IF(OR(E177="",F177="",COUNT(G177:I177)&lt;&gt;3),"Angaben fehlen","Wirksam"))))</f>
        <v/>
      </c>
      <c r="L177" s="8">
        <f>IF(K177="Wirksam",SUM(G177:H177)-I177,IF(K177="","","n.a."))</f>
        <v/>
      </c>
    </row>
    <row r="178" ht="21" customHeight="1">
      <c r="C178" s="14" t="n"/>
      <c r="D178" s="14" t="n"/>
      <c r="E178" s="14" t="n"/>
      <c r="F178" s="14" t="n"/>
      <c r="G178" s="16" t="n"/>
      <c r="H178" s="16" t="n"/>
      <c r="I178" s="16" t="n"/>
      <c r="J178" s="14" t="n"/>
      <c r="K178" s="10">
        <f>IF(COUNTA(C178:J178)=0,"",IF(OR(C178&lt;&gt;Steuerung!$F$6,D178&lt;1,D178&gt;12),"Periode prüfen",IF(D178&lt;=Steuerung!$F$8,"IST gesperrt",IF(OR(E178="",F178="",COUNT(G178:I178)&lt;&gt;3),"Angaben fehlen","Wirksam"))))</f>
        <v/>
      </c>
      <c r="L178" s="8">
        <f>IF(K178="Wirksam",SUM(G178:H178)-I178,IF(K178="","","n.a."))</f>
        <v/>
      </c>
    </row>
    <row r="179" ht="21" customHeight="1">
      <c r="C179" s="14" t="n"/>
      <c r="D179" s="14" t="n"/>
      <c r="E179" s="14" t="n"/>
      <c r="F179" s="14" t="n"/>
      <c r="G179" s="16" t="n"/>
      <c r="H179" s="16" t="n"/>
      <c r="I179" s="16" t="n"/>
      <c r="J179" s="14" t="n"/>
      <c r="K179" s="10">
        <f>IF(COUNTA(C179:J179)=0,"",IF(OR(C179&lt;&gt;Steuerung!$F$6,D179&lt;1,D179&gt;12),"Periode prüfen",IF(D179&lt;=Steuerung!$F$8,"IST gesperrt",IF(OR(E179="",F179="",COUNT(G179:I179)&lt;&gt;3),"Angaben fehlen","Wirksam"))))</f>
        <v/>
      </c>
      <c r="L179" s="8">
        <f>IF(K179="Wirksam",SUM(G179:H179)-I179,IF(K179="","","n.a."))</f>
        <v/>
      </c>
    </row>
    <row r="180" ht="21" customHeight="1">
      <c r="C180" s="14" t="n"/>
      <c r="D180" s="14" t="n"/>
      <c r="E180" s="14" t="n"/>
      <c r="F180" s="14" t="n"/>
      <c r="G180" s="16" t="n"/>
      <c r="H180" s="16" t="n"/>
      <c r="I180" s="16" t="n"/>
      <c r="J180" s="14" t="n"/>
      <c r="K180" s="10">
        <f>IF(COUNTA(C180:J180)=0,"",IF(OR(C180&lt;&gt;Steuerung!$F$6,D180&lt;1,D180&gt;12),"Periode prüfen",IF(D180&lt;=Steuerung!$F$8,"IST gesperrt",IF(OR(E180="",F180="",COUNT(G180:I180)&lt;&gt;3),"Angaben fehlen","Wirksam"))))</f>
        <v/>
      </c>
      <c r="L180" s="8">
        <f>IF(K180="Wirksam",SUM(G180:H180)-I180,IF(K180="","","n.a."))</f>
        <v/>
      </c>
    </row>
    <row r="181" ht="21" customHeight="1">
      <c r="C181" s="14" t="n"/>
      <c r="D181" s="14" t="n"/>
      <c r="E181" s="14" t="n"/>
      <c r="F181" s="14" t="n"/>
      <c r="G181" s="16" t="n"/>
      <c r="H181" s="16" t="n"/>
      <c r="I181" s="16" t="n"/>
      <c r="J181" s="14" t="n"/>
      <c r="K181" s="10">
        <f>IF(COUNTA(C181:J181)=0,"",IF(OR(C181&lt;&gt;Steuerung!$F$6,D181&lt;1,D181&gt;12),"Periode prüfen",IF(D181&lt;=Steuerung!$F$8,"IST gesperrt",IF(OR(E181="",F181="",COUNT(G181:I181)&lt;&gt;3),"Angaben fehlen","Wirksam"))))</f>
        <v/>
      </c>
      <c r="L181" s="8">
        <f>IF(K181="Wirksam",SUM(G181:H181)-I181,IF(K181="","","n.a."))</f>
        <v/>
      </c>
    </row>
    <row r="182" ht="21" customHeight="1">
      <c r="C182" s="14" t="n"/>
      <c r="D182" s="14" t="n"/>
      <c r="E182" s="14" t="n"/>
      <c r="F182" s="14" t="n"/>
      <c r="G182" s="16" t="n"/>
      <c r="H182" s="16" t="n"/>
      <c r="I182" s="16" t="n"/>
      <c r="J182" s="14" t="n"/>
      <c r="K182" s="10">
        <f>IF(COUNTA(C182:J182)=0,"",IF(OR(C182&lt;&gt;Steuerung!$F$6,D182&lt;1,D182&gt;12),"Periode prüfen",IF(D182&lt;=Steuerung!$F$8,"IST gesperrt",IF(OR(E182="",F182="",COUNT(G182:I182)&lt;&gt;3),"Angaben fehlen","Wirksam"))))</f>
        <v/>
      </c>
      <c r="L182" s="8">
        <f>IF(K182="Wirksam",SUM(G182:H182)-I182,IF(K182="","","n.a."))</f>
        <v/>
      </c>
    </row>
    <row r="183" ht="21" customHeight="1">
      <c r="C183" s="14" t="n"/>
      <c r="D183" s="14" t="n"/>
      <c r="E183" s="14" t="n"/>
      <c r="F183" s="14" t="n"/>
      <c r="G183" s="16" t="n"/>
      <c r="H183" s="16" t="n"/>
      <c r="I183" s="16" t="n"/>
      <c r="J183" s="14" t="n"/>
      <c r="K183" s="10">
        <f>IF(COUNTA(C183:J183)=0,"",IF(OR(C183&lt;&gt;Steuerung!$F$6,D183&lt;1,D183&gt;12),"Periode prüfen",IF(D183&lt;=Steuerung!$F$8,"IST gesperrt",IF(OR(E183="",F183="",COUNT(G183:I183)&lt;&gt;3),"Angaben fehlen","Wirksam"))))</f>
        <v/>
      </c>
      <c r="L183" s="8">
        <f>IF(K183="Wirksam",SUM(G183:H183)-I183,IF(K183="","","n.a."))</f>
        <v/>
      </c>
    </row>
    <row r="184" ht="21" customHeight="1">
      <c r="C184" s="14" t="n"/>
      <c r="D184" s="14" t="n"/>
      <c r="E184" s="14" t="n"/>
      <c r="F184" s="14" t="n"/>
      <c r="G184" s="16" t="n"/>
      <c r="H184" s="16" t="n"/>
      <c r="I184" s="16" t="n"/>
      <c r="J184" s="14" t="n"/>
      <c r="K184" s="10">
        <f>IF(COUNTA(C184:J184)=0,"",IF(OR(C184&lt;&gt;Steuerung!$F$6,D184&lt;1,D184&gt;12),"Periode prüfen",IF(D184&lt;=Steuerung!$F$8,"IST gesperrt",IF(OR(E184="",F184="",COUNT(G184:I184)&lt;&gt;3),"Angaben fehlen","Wirksam"))))</f>
        <v/>
      </c>
      <c r="L184" s="8">
        <f>IF(K184="Wirksam",SUM(G184:H184)-I184,IF(K184="","","n.a."))</f>
        <v/>
      </c>
    </row>
    <row r="185" ht="21" customHeight="1">
      <c r="C185" s="14" t="n"/>
      <c r="D185" s="14" t="n"/>
      <c r="E185" s="14" t="n"/>
      <c r="F185" s="14" t="n"/>
      <c r="G185" s="16" t="n"/>
      <c r="H185" s="16" t="n"/>
      <c r="I185" s="16" t="n"/>
      <c r="J185" s="14" t="n"/>
      <c r="K185" s="10">
        <f>IF(COUNTA(C185:J185)=0,"",IF(OR(C185&lt;&gt;Steuerung!$F$6,D185&lt;1,D185&gt;12),"Periode prüfen",IF(D185&lt;=Steuerung!$F$8,"IST gesperrt",IF(OR(E185="",F185="",COUNT(G185:I185)&lt;&gt;3),"Angaben fehlen","Wirksam"))))</f>
        <v/>
      </c>
      <c r="L185" s="8">
        <f>IF(K185="Wirksam",SUM(G185:H185)-I185,IF(K185="","","n.a."))</f>
        <v/>
      </c>
    </row>
    <row r="186" ht="21" customHeight="1">
      <c r="C186" s="14" t="n"/>
      <c r="D186" s="14" t="n"/>
      <c r="E186" s="14" t="n"/>
      <c r="F186" s="14" t="n"/>
      <c r="G186" s="16" t="n"/>
      <c r="H186" s="16" t="n"/>
      <c r="I186" s="16" t="n"/>
      <c r="J186" s="14" t="n"/>
      <c r="K186" s="10">
        <f>IF(COUNTA(C186:J186)=0,"",IF(OR(C186&lt;&gt;Steuerung!$F$6,D186&lt;1,D186&gt;12),"Periode prüfen",IF(D186&lt;=Steuerung!$F$8,"IST gesperrt",IF(OR(E186="",F186="",COUNT(G186:I186)&lt;&gt;3),"Angaben fehlen","Wirksam"))))</f>
        <v/>
      </c>
      <c r="L186" s="8">
        <f>IF(K186="Wirksam",SUM(G186:H186)-I186,IF(K186="","","n.a."))</f>
        <v/>
      </c>
    </row>
    <row r="187" ht="21" customHeight="1">
      <c r="C187" s="14" t="n"/>
      <c r="D187" s="14" t="n"/>
      <c r="E187" s="14" t="n"/>
      <c r="F187" s="14" t="n"/>
      <c r="G187" s="16" t="n"/>
      <c r="H187" s="16" t="n"/>
      <c r="I187" s="16" t="n"/>
      <c r="J187" s="14" t="n"/>
      <c r="K187" s="10">
        <f>IF(COUNTA(C187:J187)=0,"",IF(OR(C187&lt;&gt;Steuerung!$F$6,D187&lt;1,D187&gt;12),"Periode prüfen",IF(D187&lt;=Steuerung!$F$8,"IST gesperrt",IF(OR(E187="",F187="",COUNT(G187:I187)&lt;&gt;3),"Angaben fehlen","Wirksam"))))</f>
        <v/>
      </c>
      <c r="L187" s="8">
        <f>IF(K187="Wirksam",SUM(G187:H187)-I187,IF(K187="","","n.a."))</f>
        <v/>
      </c>
    </row>
    <row r="188" ht="21" customHeight="1">
      <c r="C188" s="14" t="n"/>
      <c r="D188" s="14" t="n"/>
      <c r="E188" s="14" t="n"/>
      <c r="F188" s="14" t="n"/>
      <c r="G188" s="16" t="n"/>
      <c r="H188" s="16" t="n"/>
      <c r="I188" s="16" t="n"/>
      <c r="J188" s="14" t="n"/>
      <c r="K188" s="10">
        <f>IF(COUNTA(C188:J188)=0,"",IF(OR(C188&lt;&gt;Steuerung!$F$6,D188&lt;1,D188&gt;12),"Periode prüfen",IF(D188&lt;=Steuerung!$F$8,"IST gesperrt",IF(OR(E188="",F188="",COUNT(G188:I188)&lt;&gt;3),"Angaben fehlen","Wirksam"))))</f>
        <v/>
      </c>
      <c r="L188" s="8">
        <f>IF(K188="Wirksam",SUM(G188:H188)-I188,IF(K188="","","n.a."))</f>
        <v/>
      </c>
    </row>
    <row r="189" ht="21" customHeight="1">
      <c r="C189" s="14" t="n"/>
      <c r="D189" s="14" t="n"/>
      <c r="E189" s="14" t="n"/>
      <c r="F189" s="14" t="n"/>
      <c r="G189" s="16" t="n"/>
      <c r="H189" s="16" t="n"/>
      <c r="I189" s="16" t="n"/>
      <c r="J189" s="14" t="n"/>
      <c r="K189" s="10">
        <f>IF(COUNTA(C189:J189)=0,"",IF(OR(C189&lt;&gt;Steuerung!$F$6,D189&lt;1,D189&gt;12),"Periode prüfen",IF(D189&lt;=Steuerung!$F$8,"IST gesperrt",IF(OR(E189="",F189="",COUNT(G189:I189)&lt;&gt;3),"Angaben fehlen","Wirksam"))))</f>
        <v/>
      </c>
      <c r="L189" s="8">
        <f>IF(K189="Wirksam",SUM(G189:H189)-I189,IF(K189="","","n.a."))</f>
        <v/>
      </c>
    </row>
    <row r="190" ht="21" customHeight="1">
      <c r="C190" s="14" t="n"/>
      <c r="D190" s="14" t="n"/>
      <c r="E190" s="14" t="n"/>
      <c r="F190" s="14" t="n"/>
      <c r="G190" s="16" t="n"/>
      <c r="H190" s="16" t="n"/>
      <c r="I190" s="16" t="n"/>
      <c r="J190" s="14" t="n"/>
      <c r="K190" s="10">
        <f>IF(COUNTA(C190:J190)=0,"",IF(OR(C190&lt;&gt;Steuerung!$F$6,D190&lt;1,D190&gt;12),"Periode prüfen",IF(D190&lt;=Steuerung!$F$8,"IST gesperrt",IF(OR(E190="",F190="",COUNT(G190:I190)&lt;&gt;3),"Angaben fehlen","Wirksam"))))</f>
        <v/>
      </c>
      <c r="L190" s="8">
        <f>IF(K190="Wirksam",SUM(G190:H190)-I190,IF(K190="","","n.a."))</f>
        <v/>
      </c>
    </row>
    <row r="191" ht="21" customHeight="1">
      <c r="C191" s="14" t="n"/>
      <c r="D191" s="14" t="n"/>
      <c r="E191" s="14" t="n"/>
      <c r="F191" s="14" t="n"/>
      <c r="G191" s="16" t="n"/>
      <c r="H191" s="16" t="n"/>
      <c r="I191" s="16" t="n"/>
      <c r="J191" s="14" t="n"/>
      <c r="K191" s="10">
        <f>IF(COUNTA(C191:J191)=0,"",IF(OR(C191&lt;&gt;Steuerung!$F$6,D191&lt;1,D191&gt;12),"Periode prüfen",IF(D191&lt;=Steuerung!$F$8,"IST gesperrt",IF(OR(E191="",F191="",COUNT(G191:I191)&lt;&gt;3),"Angaben fehlen","Wirksam"))))</f>
        <v/>
      </c>
      <c r="L191" s="8">
        <f>IF(K191="Wirksam",SUM(G191:H191)-I191,IF(K191="","","n.a."))</f>
        <v/>
      </c>
    </row>
    <row r="192" ht="21" customHeight="1">
      <c r="C192" s="14" t="n"/>
      <c r="D192" s="14" t="n"/>
      <c r="E192" s="14" t="n"/>
      <c r="F192" s="14" t="n"/>
      <c r="G192" s="16" t="n"/>
      <c r="H192" s="16" t="n"/>
      <c r="I192" s="16" t="n"/>
      <c r="J192" s="14" t="n"/>
      <c r="K192" s="10">
        <f>IF(COUNTA(C192:J192)=0,"",IF(OR(C192&lt;&gt;Steuerung!$F$6,D192&lt;1,D192&gt;12),"Periode prüfen",IF(D192&lt;=Steuerung!$F$8,"IST gesperrt",IF(OR(E192="",F192="",COUNT(G192:I192)&lt;&gt;3),"Angaben fehlen","Wirksam"))))</f>
        <v/>
      </c>
      <c r="L192" s="8">
        <f>IF(K192="Wirksam",SUM(G192:H192)-I192,IF(K192="","","n.a."))</f>
        <v/>
      </c>
    </row>
    <row r="193" ht="21" customHeight="1">
      <c r="C193" s="14" t="n"/>
      <c r="D193" s="14" t="n"/>
      <c r="E193" s="14" t="n"/>
      <c r="F193" s="14" t="n"/>
      <c r="G193" s="16" t="n"/>
      <c r="H193" s="16" t="n"/>
      <c r="I193" s="16" t="n"/>
      <c r="J193" s="14" t="n"/>
      <c r="K193" s="10">
        <f>IF(COUNTA(C193:J193)=0,"",IF(OR(C193&lt;&gt;Steuerung!$F$6,D193&lt;1,D193&gt;12),"Periode prüfen",IF(D193&lt;=Steuerung!$F$8,"IST gesperrt",IF(OR(E193="",F193="",COUNT(G193:I193)&lt;&gt;3),"Angaben fehlen","Wirksam"))))</f>
        <v/>
      </c>
      <c r="L193" s="8">
        <f>IF(K193="Wirksam",SUM(G193:H193)-I193,IF(K193="","","n.a."))</f>
        <v/>
      </c>
    </row>
    <row r="194" ht="21" customHeight="1">
      <c r="C194" s="14" t="n"/>
      <c r="D194" s="14" t="n"/>
      <c r="E194" s="14" t="n"/>
      <c r="F194" s="14" t="n"/>
      <c r="G194" s="16" t="n"/>
      <c r="H194" s="16" t="n"/>
      <c r="I194" s="16" t="n"/>
      <c r="J194" s="14" t="n"/>
      <c r="K194" s="10">
        <f>IF(COUNTA(C194:J194)=0,"",IF(OR(C194&lt;&gt;Steuerung!$F$6,D194&lt;1,D194&gt;12),"Periode prüfen",IF(D194&lt;=Steuerung!$F$8,"IST gesperrt",IF(OR(E194="",F194="",COUNT(G194:I194)&lt;&gt;3),"Angaben fehlen","Wirksam"))))</f>
        <v/>
      </c>
      <c r="L194" s="8">
        <f>IF(K194="Wirksam",SUM(G194:H194)-I194,IF(K194="","","n.a."))</f>
        <v/>
      </c>
    </row>
    <row r="195" ht="21" customHeight="1">
      <c r="C195" s="14" t="n"/>
      <c r="D195" s="14" t="n"/>
      <c r="E195" s="14" t="n"/>
      <c r="F195" s="14" t="n"/>
      <c r="G195" s="16" t="n"/>
      <c r="H195" s="16" t="n"/>
      <c r="I195" s="16" t="n"/>
      <c r="J195" s="14" t="n"/>
      <c r="K195" s="10">
        <f>IF(COUNTA(C195:J195)=0,"",IF(OR(C195&lt;&gt;Steuerung!$F$6,D195&lt;1,D195&gt;12),"Periode prüfen",IF(D195&lt;=Steuerung!$F$8,"IST gesperrt",IF(OR(E195="",F195="",COUNT(G195:I195)&lt;&gt;3),"Angaben fehlen","Wirksam"))))</f>
        <v/>
      </c>
      <c r="L195" s="8">
        <f>IF(K195="Wirksam",SUM(G195:H195)-I195,IF(K195="","","n.a."))</f>
        <v/>
      </c>
    </row>
    <row r="196" ht="21" customHeight="1">
      <c r="C196" s="14" t="n"/>
      <c r="D196" s="14" t="n"/>
      <c r="E196" s="14" t="n"/>
      <c r="F196" s="14" t="n"/>
      <c r="G196" s="16" t="n"/>
      <c r="H196" s="16" t="n"/>
      <c r="I196" s="16" t="n"/>
      <c r="J196" s="14" t="n"/>
      <c r="K196" s="10">
        <f>IF(COUNTA(C196:J196)=0,"",IF(OR(C196&lt;&gt;Steuerung!$F$6,D196&lt;1,D196&gt;12),"Periode prüfen",IF(D196&lt;=Steuerung!$F$8,"IST gesperrt",IF(OR(E196="",F196="",COUNT(G196:I196)&lt;&gt;3),"Angaben fehlen","Wirksam"))))</f>
        <v/>
      </c>
      <c r="L196" s="8">
        <f>IF(K196="Wirksam",SUM(G196:H196)-I196,IF(K196="","","n.a."))</f>
        <v/>
      </c>
    </row>
    <row r="197" ht="21" customHeight="1">
      <c r="C197" s="14" t="n"/>
      <c r="D197" s="14" t="n"/>
      <c r="E197" s="14" t="n"/>
      <c r="F197" s="14" t="n"/>
      <c r="G197" s="16" t="n"/>
      <c r="H197" s="16" t="n"/>
      <c r="I197" s="16" t="n"/>
      <c r="J197" s="14" t="n"/>
      <c r="K197" s="10">
        <f>IF(COUNTA(C197:J197)=0,"",IF(OR(C197&lt;&gt;Steuerung!$F$6,D197&lt;1,D197&gt;12),"Periode prüfen",IF(D197&lt;=Steuerung!$F$8,"IST gesperrt",IF(OR(E197="",F197="",COUNT(G197:I197)&lt;&gt;3),"Angaben fehlen","Wirksam"))))</f>
        <v/>
      </c>
      <c r="L197" s="8">
        <f>IF(K197="Wirksam",SUM(G197:H197)-I197,IF(K197="","","n.a."))</f>
        <v/>
      </c>
    </row>
    <row r="198" ht="21" customHeight="1">
      <c r="C198" s="14" t="n"/>
      <c r="D198" s="14" t="n"/>
      <c r="E198" s="14" t="n"/>
      <c r="F198" s="14" t="n"/>
      <c r="G198" s="16" t="n"/>
      <c r="H198" s="16" t="n"/>
      <c r="I198" s="16" t="n"/>
      <c r="J198" s="14" t="n"/>
      <c r="K198" s="10">
        <f>IF(COUNTA(C198:J198)=0,"",IF(OR(C198&lt;&gt;Steuerung!$F$6,D198&lt;1,D198&gt;12),"Periode prüfen",IF(D198&lt;=Steuerung!$F$8,"IST gesperrt",IF(OR(E198="",F198="",COUNT(G198:I198)&lt;&gt;3),"Angaben fehlen","Wirksam"))))</f>
        <v/>
      </c>
      <c r="L198" s="8">
        <f>IF(K198="Wirksam",SUM(G198:H198)-I198,IF(K198="","","n.a."))</f>
        <v/>
      </c>
    </row>
    <row r="199" ht="21" customHeight="1">
      <c r="C199" s="14" t="n"/>
      <c r="D199" s="14" t="n"/>
      <c r="E199" s="14" t="n"/>
      <c r="F199" s="14" t="n"/>
      <c r="G199" s="16" t="n"/>
      <c r="H199" s="16" t="n"/>
      <c r="I199" s="16" t="n"/>
      <c r="J199" s="14" t="n"/>
      <c r="K199" s="10">
        <f>IF(COUNTA(C199:J199)=0,"",IF(OR(C199&lt;&gt;Steuerung!$F$6,D199&lt;1,D199&gt;12),"Periode prüfen",IF(D199&lt;=Steuerung!$F$8,"IST gesperrt",IF(OR(E199="",F199="",COUNT(G199:I199)&lt;&gt;3),"Angaben fehlen","Wirksam"))))</f>
        <v/>
      </c>
      <c r="L199" s="8">
        <f>IF(K199="Wirksam",SUM(G199:H199)-I199,IF(K199="","","n.a."))</f>
        <v/>
      </c>
    </row>
    <row r="200" ht="21" customHeight="1">
      <c r="C200" s="14" t="n"/>
      <c r="D200" s="14" t="n"/>
      <c r="E200" s="14" t="n"/>
      <c r="F200" s="14" t="n"/>
      <c r="G200" s="16" t="n"/>
      <c r="H200" s="16" t="n"/>
      <c r="I200" s="16" t="n"/>
      <c r="J200" s="14" t="n"/>
      <c r="K200" s="10">
        <f>IF(COUNTA(C200:J200)=0,"",IF(OR(C200&lt;&gt;Steuerung!$F$6,D200&lt;1,D200&gt;12),"Periode prüfen",IF(D200&lt;=Steuerung!$F$8,"IST gesperrt",IF(OR(E200="",F200="",COUNT(G200:I200)&lt;&gt;3),"Angaben fehlen","Wirksam"))))</f>
        <v/>
      </c>
      <c r="L200" s="8">
        <f>IF(K200="Wirksam",SUM(G200:H200)-I200,IF(K200="","","n.a."))</f>
        <v/>
      </c>
    </row>
    <row r="201" ht="21" customHeight="1">
      <c r="C201" s="14" t="n"/>
      <c r="D201" s="14" t="n"/>
      <c r="E201" s="14" t="n"/>
      <c r="F201" s="14" t="n"/>
      <c r="G201" s="16" t="n"/>
      <c r="H201" s="16" t="n"/>
      <c r="I201" s="16" t="n"/>
      <c r="J201" s="14" t="n"/>
      <c r="K201" s="10">
        <f>IF(COUNTA(C201:J201)=0,"",IF(OR(C201&lt;&gt;Steuerung!$F$6,D201&lt;1,D201&gt;12),"Periode prüfen",IF(D201&lt;=Steuerung!$F$8,"IST gesperrt",IF(OR(E201="",F201="",COUNT(G201:I201)&lt;&gt;3),"Angaben fehlen","Wirksam"))))</f>
        <v/>
      </c>
      <c r="L201" s="8">
        <f>IF(K201="Wirksam",SUM(G201:H201)-I201,IF(K201="","","n.a."))</f>
        <v/>
      </c>
    </row>
    <row r="202" ht="21" customHeight="1">
      <c r="C202" s="14" t="n"/>
      <c r="D202" s="14" t="n"/>
      <c r="E202" s="14" t="n"/>
      <c r="F202" s="14" t="n"/>
      <c r="G202" s="16" t="n"/>
      <c r="H202" s="16" t="n"/>
      <c r="I202" s="16" t="n"/>
      <c r="J202" s="14" t="n"/>
      <c r="K202" s="10">
        <f>IF(COUNTA(C202:J202)=0,"",IF(OR(C202&lt;&gt;Steuerung!$F$6,D202&lt;1,D202&gt;12),"Periode prüfen",IF(D202&lt;=Steuerung!$F$8,"IST gesperrt",IF(OR(E202="",F202="",COUNT(G202:I202)&lt;&gt;3),"Angaben fehlen","Wirksam"))))</f>
        <v/>
      </c>
      <c r="L202" s="8">
        <f>IF(K202="Wirksam",SUM(G202:H202)-I202,IF(K202="","","n.a."))</f>
        <v/>
      </c>
    </row>
    <row r="203" ht="21" customHeight="1">
      <c r="C203" s="14" t="n"/>
      <c r="D203" s="14" t="n"/>
      <c r="E203" s="14" t="n"/>
      <c r="F203" s="14" t="n"/>
      <c r="G203" s="16" t="n"/>
      <c r="H203" s="16" t="n"/>
      <c r="I203" s="16" t="n"/>
      <c r="J203" s="14" t="n"/>
      <c r="K203" s="10">
        <f>IF(COUNTA(C203:J203)=0,"",IF(OR(C203&lt;&gt;Steuerung!$F$6,D203&lt;1,D203&gt;12),"Periode prüfen",IF(D203&lt;=Steuerung!$F$8,"IST gesperrt",IF(OR(E203="",F203="",COUNT(G203:I203)&lt;&gt;3),"Angaben fehlen","Wirksam"))))</f>
        <v/>
      </c>
      <c r="L203" s="8">
        <f>IF(K203="Wirksam",SUM(G203:H203)-I203,IF(K203="","","n.a."))</f>
        <v/>
      </c>
    </row>
    <row r="204" ht="21" customHeight="1">
      <c r="C204" s="14" t="n"/>
      <c r="D204" s="14" t="n"/>
      <c r="E204" s="14" t="n"/>
      <c r="F204" s="14" t="n"/>
      <c r="G204" s="16" t="n"/>
      <c r="H204" s="16" t="n"/>
      <c r="I204" s="16" t="n"/>
      <c r="J204" s="14" t="n"/>
      <c r="K204" s="10">
        <f>IF(COUNTA(C204:J204)=0,"",IF(OR(C204&lt;&gt;Steuerung!$F$6,D204&lt;1,D204&gt;12),"Periode prüfen",IF(D204&lt;=Steuerung!$F$8,"IST gesperrt",IF(OR(E204="",F204="",COUNT(G204:I204)&lt;&gt;3),"Angaben fehlen","Wirksam"))))</f>
        <v/>
      </c>
      <c r="L204" s="8">
        <f>IF(K204="Wirksam",SUM(G204:H204)-I204,IF(K204="","","n.a."))</f>
        <v/>
      </c>
    </row>
    <row r="205" ht="21" customHeight="1">
      <c r="C205" s="14" t="n"/>
      <c r="D205" s="14" t="n"/>
      <c r="E205" s="14" t="n"/>
      <c r="F205" s="14" t="n"/>
      <c r="G205" s="16" t="n"/>
      <c r="H205" s="16" t="n"/>
      <c r="I205" s="16" t="n"/>
      <c r="J205" s="14" t="n"/>
      <c r="K205" s="10">
        <f>IF(COUNTA(C205:J205)=0,"",IF(OR(C205&lt;&gt;Steuerung!$F$6,D205&lt;1,D205&gt;12),"Periode prüfen",IF(D205&lt;=Steuerung!$F$8,"IST gesperrt",IF(OR(E205="",F205="",COUNT(G205:I205)&lt;&gt;3),"Angaben fehlen","Wirksam"))))</f>
        <v/>
      </c>
      <c r="L205" s="8">
        <f>IF(K205="Wirksam",SUM(G205:H205)-I205,IF(K205="","","n.a."))</f>
        <v/>
      </c>
    </row>
    <row r="206" ht="21" customHeight="1">
      <c r="C206" s="14" t="n"/>
      <c r="D206" s="14" t="n"/>
      <c r="E206" s="14" t="n"/>
      <c r="F206" s="14" t="n"/>
      <c r="G206" s="16" t="n"/>
      <c r="H206" s="16" t="n"/>
      <c r="I206" s="16" t="n"/>
      <c r="J206" s="14" t="n"/>
      <c r="K206" s="10">
        <f>IF(COUNTA(C206:J206)=0,"",IF(OR(C206&lt;&gt;Steuerung!$F$6,D206&lt;1,D206&gt;12),"Periode prüfen",IF(D206&lt;=Steuerung!$F$8,"IST gesperrt",IF(OR(E206="",F206="",COUNT(G206:I206)&lt;&gt;3),"Angaben fehlen","Wirksam"))))</f>
        <v/>
      </c>
      <c r="L206" s="8">
        <f>IF(K206="Wirksam",SUM(G206:H206)-I206,IF(K206="","","n.a."))</f>
        <v/>
      </c>
    </row>
    <row r="207" ht="21" customHeight="1">
      <c r="C207" s="14" t="n"/>
      <c r="D207" s="14" t="n"/>
      <c r="E207" s="14" t="n"/>
      <c r="F207" s="14" t="n"/>
      <c r="G207" s="16" t="n"/>
      <c r="H207" s="16" t="n"/>
      <c r="I207" s="16" t="n"/>
      <c r="J207" s="14" t="n"/>
      <c r="K207" s="10">
        <f>IF(COUNTA(C207:J207)=0,"",IF(OR(C207&lt;&gt;Steuerung!$F$6,D207&lt;1,D207&gt;12),"Periode prüfen",IF(D207&lt;=Steuerung!$F$8,"IST gesperrt",IF(OR(E207="",F207="",COUNT(G207:I207)&lt;&gt;3),"Angaben fehlen","Wirksam"))))</f>
        <v/>
      </c>
      <c r="L207" s="8">
        <f>IF(K207="Wirksam",SUM(G207:H207)-I207,IF(K207="","","n.a."))</f>
        <v/>
      </c>
    </row>
    <row r="208" ht="21" customHeight="1">
      <c r="C208" s="14" t="n"/>
      <c r="D208" s="14" t="n"/>
      <c r="E208" s="14" t="n"/>
      <c r="F208" s="14" t="n"/>
      <c r="G208" s="16" t="n"/>
      <c r="H208" s="16" t="n"/>
      <c r="I208" s="16" t="n"/>
      <c r="J208" s="14" t="n"/>
      <c r="K208" s="10">
        <f>IF(COUNTA(C208:J208)=0,"",IF(OR(C208&lt;&gt;Steuerung!$F$6,D208&lt;1,D208&gt;12),"Periode prüfen",IF(D208&lt;=Steuerung!$F$8,"IST gesperrt",IF(OR(E208="",F208="",COUNT(G208:I208)&lt;&gt;3),"Angaben fehlen","Wirksam"))))</f>
        <v/>
      </c>
      <c r="L208" s="8">
        <f>IF(K208="Wirksam",SUM(G208:H208)-I208,IF(K208="","","n.a."))</f>
        <v/>
      </c>
    </row>
    <row r="209" ht="21" customHeight="1">
      <c r="C209" s="14" t="n"/>
      <c r="D209" s="14" t="n"/>
      <c r="E209" s="14" t="n"/>
      <c r="F209" s="14" t="n"/>
      <c r="G209" s="16" t="n"/>
      <c r="H209" s="16" t="n"/>
      <c r="I209" s="16" t="n"/>
      <c r="J209" s="14" t="n"/>
      <c r="K209" s="10">
        <f>IF(COUNTA(C209:J209)=0,"",IF(OR(C209&lt;&gt;Steuerung!$F$6,D209&lt;1,D209&gt;12),"Periode prüfen",IF(D209&lt;=Steuerung!$F$8,"IST gesperrt",IF(OR(E209="",F209="",COUNT(G209:I209)&lt;&gt;3),"Angaben fehlen","Wirksam"))))</f>
        <v/>
      </c>
      <c r="L209" s="8">
        <f>IF(K209="Wirksam",SUM(G209:H209)-I209,IF(K209="","","n.a."))</f>
        <v/>
      </c>
    </row>
    <row r="210" ht="21" customHeight="1">
      <c r="C210" s="14" t="n"/>
      <c r="D210" s="14" t="n"/>
      <c r="E210" s="14" t="n"/>
      <c r="F210" s="14" t="n"/>
      <c r="G210" s="16" t="n"/>
      <c r="H210" s="16" t="n"/>
      <c r="I210" s="16" t="n"/>
      <c r="J210" s="14" t="n"/>
      <c r="K210" s="10">
        <f>IF(COUNTA(C210:J210)=0,"",IF(OR(C210&lt;&gt;Steuerung!$F$6,D210&lt;1,D210&gt;12),"Periode prüfen",IF(D210&lt;=Steuerung!$F$8,"IST gesperrt",IF(OR(E210="",F210="",COUNT(G210:I210)&lt;&gt;3),"Angaben fehlen","Wirksam"))))</f>
        <v/>
      </c>
      <c r="L210" s="8">
        <f>IF(K210="Wirksam",SUM(G210:H210)-I210,IF(K210="","","n.a."))</f>
        <v/>
      </c>
    </row>
    <row r="211" ht="21" customHeight="1">
      <c r="C211" s="14" t="n"/>
      <c r="D211" s="14" t="n"/>
      <c r="E211" s="14" t="n"/>
      <c r="F211" s="14" t="n"/>
      <c r="G211" s="16" t="n"/>
      <c r="H211" s="16" t="n"/>
      <c r="I211" s="16" t="n"/>
      <c r="J211" s="14" t="n"/>
      <c r="K211" s="10">
        <f>IF(COUNTA(C211:J211)=0,"",IF(OR(C211&lt;&gt;Steuerung!$F$6,D211&lt;1,D211&gt;12),"Periode prüfen",IF(D211&lt;=Steuerung!$F$8,"IST gesperrt",IF(OR(E211="",F211="",COUNT(G211:I211)&lt;&gt;3),"Angaben fehlen","Wirksam"))))</f>
        <v/>
      </c>
      <c r="L211" s="8">
        <f>IF(K211="Wirksam",SUM(G211:H211)-I211,IF(K211="","","n.a."))</f>
        <v/>
      </c>
    </row>
    <row r="212" ht="21" customHeight="1">
      <c r="C212" s="14" t="n"/>
      <c r="D212" s="14" t="n"/>
      <c r="E212" s="14" t="n"/>
      <c r="F212" s="14" t="n"/>
      <c r="G212" s="16" t="n"/>
      <c r="H212" s="16" t="n"/>
      <c r="I212" s="16" t="n"/>
      <c r="J212" s="14" t="n"/>
      <c r="K212" s="10">
        <f>IF(COUNTA(C212:J212)=0,"",IF(OR(C212&lt;&gt;Steuerung!$F$6,D212&lt;1,D212&gt;12),"Periode prüfen",IF(D212&lt;=Steuerung!$F$8,"IST gesperrt",IF(OR(E212="",F212="",COUNT(G212:I212)&lt;&gt;3),"Angaben fehlen","Wirksam"))))</f>
        <v/>
      </c>
      <c r="L212" s="8">
        <f>IF(K212="Wirksam",SUM(G212:H212)-I212,IF(K212="","","n.a."))</f>
        <v/>
      </c>
    </row>
    <row r="213" ht="21" customHeight="1">
      <c r="C213" s="14" t="n"/>
      <c r="D213" s="14" t="n"/>
      <c r="E213" s="14" t="n"/>
      <c r="F213" s="14" t="n"/>
      <c r="G213" s="16" t="n"/>
      <c r="H213" s="16" t="n"/>
      <c r="I213" s="16" t="n"/>
      <c r="J213" s="14" t="n"/>
      <c r="K213" s="10">
        <f>IF(COUNTA(C213:J213)=0,"",IF(OR(C213&lt;&gt;Steuerung!$F$6,D213&lt;1,D213&gt;12),"Periode prüfen",IF(D213&lt;=Steuerung!$F$8,"IST gesperrt",IF(OR(E213="",F213="",COUNT(G213:I213)&lt;&gt;3),"Angaben fehlen","Wirksam"))))</f>
        <v/>
      </c>
      <c r="L213" s="8">
        <f>IF(K213="Wirksam",SUM(G213:H213)-I213,IF(K213="","","n.a."))</f>
        <v/>
      </c>
    </row>
    <row r="214" ht="21" customHeight="1">
      <c r="C214" s="14" t="n"/>
      <c r="D214" s="14" t="n"/>
      <c r="E214" s="14" t="n"/>
      <c r="F214" s="14" t="n"/>
      <c r="G214" s="16" t="n"/>
      <c r="H214" s="16" t="n"/>
      <c r="I214" s="16" t="n"/>
      <c r="J214" s="14" t="n"/>
      <c r="K214" s="10">
        <f>IF(COUNTA(C214:J214)=0,"",IF(OR(C214&lt;&gt;Steuerung!$F$6,D214&lt;1,D214&gt;12),"Periode prüfen",IF(D214&lt;=Steuerung!$F$8,"IST gesperrt",IF(OR(E214="",F214="",COUNT(G214:I214)&lt;&gt;3),"Angaben fehlen","Wirksam"))))</f>
        <v/>
      </c>
      <c r="L214" s="8">
        <f>IF(K214="Wirksam",SUM(G214:H214)-I214,IF(K214="","","n.a."))</f>
        <v/>
      </c>
    </row>
    <row r="215" ht="21" customHeight="1">
      <c r="C215" s="14" t="n"/>
      <c r="D215" s="14" t="n"/>
      <c r="E215" s="14" t="n"/>
      <c r="F215" s="14" t="n"/>
      <c r="G215" s="16" t="n"/>
      <c r="H215" s="16" t="n"/>
      <c r="I215" s="16" t="n"/>
      <c r="J215" s="14" t="n"/>
      <c r="K215" s="10">
        <f>IF(COUNTA(C215:J215)=0,"",IF(OR(C215&lt;&gt;Steuerung!$F$6,D215&lt;1,D215&gt;12),"Periode prüfen",IF(D215&lt;=Steuerung!$F$8,"IST gesperrt",IF(OR(E215="",F215="",COUNT(G215:I215)&lt;&gt;3),"Angaben fehlen","Wirksam"))))</f>
        <v/>
      </c>
      <c r="L215" s="8">
        <f>IF(K215="Wirksam",SUM(G215:H215)-I215,IF(K215="","","n.a."))</f>
        <v/>
      </c>
    </row>
    <row r="216" ht="21" customHeight="1">
      <c r="C216" s="14" t="n"/>
      <c r="D216" s="14" t="n"/>
      <c r="E216" s="14" t="n"/>
      <c r="F216" s="14" t="n"/>
      <c r="G216" s="16" t="n"/>
      <c r="H216" s="16" t="n"/>
      <c r="I216" s="16" t="n"/>
      <c r="J216" s="14" t="n"/>
      <c r="K216" s="10">
        <f>IF(COUNTA(C216:J216)=0,"",IF(OR(C216&lt;&gt;Steuerung!$F$6,D216&lt;1,D216&gt;12),"Periode prüfen",IF(D216&lt;=Steuerung!$F$8,"IST gesperrt",IF(OR(E216="",F216="",COUNT(G216:I216)&lt;&gt;3),"Angaben fehlen","Wirksam"))))</f>
        <v/>
      </c>
      <c r="L216" s="8">
        <f>IF(K216="Wirksam",SUM(G216:H216)-I216,IF(K216="","","n.a."))</f>
        <v/>
      </c>
    </row>
    <row r="217" ht="21" customHeight="1">
      <c r="C217" s="14" t="n"/>
      <c r="D217" s="14" t="n"/>
      <c r="E217" s="14" t="n"/>
      <c r="F217" s="14" t="n"/>
      <c r="G217" s="16" t="n"/>
      <c r="H217" s="16" t="n"/>
      <c r="I217" s="16" t="n"/>
      <c r="J217" s="14" t="n"/>
      <c r="K217" s="10">
        <f>IF(COUNTA(C217:J217)=0,"",IF(OR(C217&lt;&gt;Steuerung!$F$6,D217&lt;1,D217&gt;12),"Periode prüfen",IF(D217&lt;=Steuerung!$F$8,"IST gesperrt",IF(OR(E217="",F217="",COUNT(G217:I217)&lt;&gt;3),"Angaben fehlen","Wirksam"))))</f>
        <v/>
      </c>
      <c r="L217" s="8">
        <f>IF(K217="Wirksam",SUM(G217:H217)-I217,IF(K217="","","n.a."))</f>
        <v/>
      </c>
    </row>
    <row r="218" ht="21" customHeight="1">
      <c r="C218" s="14" t="n"/>
      <c r="D218" s="14" t="n"/>
      <c r="E218" s="14" t="n"/>
      <c r="F218" s="14" t="n"/>
      <c r="G218" s="16" t="n"/>
      <c r="H218" s="16" t="n"/>
      <c r="I218" s="16" t="n"/>
      <c r="J218" s="14" t="n"/>
      <c r="K218" s="10">
        <f>IF(COUNTA(C218:J218)=0,"",IF(OR(C218&lt;&gt;Steuerung!$F$6,D218&lt;1,D218&gt;12),"Periode prüfen",IF(D218&lt;=Steuerung!$F$8,"IST gesperrt",IF(OR(E218="",F218="",COUNT(G218:I218)&lt;&gt;3),"Angaben fehlen","Wirksam"))))</f>
        <v/>
      </c>
      <c r="L218" s="8">
        <f>IF(K218="Wirksam",SUM(G218:H218)-I218,IF(K218="","","n.a."))</f>
        <v/>
      </c>
    </row>
    <row r="219" ht="21" customHeight="1">
      <c r="C219" s="14" t="n"/>
      <c r="D219" s="14" t="n"/>
      <c r="E219" s="14" t="n"/>
      <c r="F219" s="14" t="n"/>
      <c r="G219" s="16" t="n"/>
      <c r="H219" s="16" t="n"/>
      <c r="I219" s="16" t="n"/>
      <c r="J219" s="14" t="n"/>
      <c r="K219" s="10">
        <f>IF(COUNTA(C219:J219)=0,"",IF(OR(C219&lt;&gt;Steuerung!$F$6,D219&lt;1,D219&gt;12),"Periode prüfen",IF(D219&lt;=Steuerung!$F$8,"IST gesperrt",IF(OR(E219="",F219="",COUNT(G219:I219)&lt;&gt;3),"Angaben fehlen","Wirksam"))))</f>
        <v/>
      </c>
      <c r="L219" s="8">
        <f>IF(K219="Wirksam",SUM(G219:H219)-I219,IF(K219="","","n.a."))</f>
        <v/>
      </c>
    </row>
    <row r="220" ht="21" customHeight="1">
      <c r="C220" s="14" t="n"/>
      <c r="D220" s="14" t="n"/>
      <c r="E220" s="14" t="n"/>
      <c r="F220" s="14" t="n"/>
      <c r="G220" s="16" t="n"/>
      <c r="H220" s="16" t="n"/>
      <c r="I220" s="16" t="n"/>
      <c r="J220" s="14" t="n"/>
      <c r="K220" s="10">
        <f>IF(COUNTA(C220:J220)=0,"",IF(OR(C220&lt;&gt;Steuerung!$F$6,D220&lt;1,D220&gt;12),"Periode prüfen",IF(D220&lt;=Steuerung!$F$8,"IST gesperrt",IF(OR(E220="",F220="",COUNT(G220:I220)&lt;&gt;3),"Angaben fehlen","Wirksam"))))</f>
        <v/>
      </c>
      <c r="L220" s="8">
        <f>IF(K220="Wirksam",SUM(G220:H220)-I220,IF(K220="","","n.a."))</f>
        <v/>
      </c>
    </row>
    <row r="221" ht="21" customHeight="1">
      <c r="C221" s="14" t="n"/>
      <c r="D221" s="14" t="n"/>
      <c r="E221" s="14" t="n"/>
      <c r="F221" s="14" t="n"/>
      <c r="G221" s="16" t="n"/>
      <c r="H221" s="16" t="n"/>
      <c r="I221" s="16" t="n"/>
      <c r="J221" s="14" t="n"/>
      <c r="K221" s="10">
        <f>IF(COUNTA(C221:J221)=0,"",IF(OR(C221&lt;&gt;Steuerung!$F$6,D221&lt;1,D221&gt;12),"Periode prüfen",IF(D221&lt;=Steuerung!$F$8,"IST gesperrt",IF(OR(E221="",F221="",COUNT(G221:I221)&lt;&gt;3),"Angaben fehlen","Wirksam"))))</f>
        <v/>
      </c>
      <c r="L221" s="8">
        <f>IF(K221="Wirksam",SUM(G221:H221)-I221,IF(K221="","","n.a."))</f>
        <v/>
      </c>
    </row>
    <row r="222" ht="21" customHeight="1">
      <c r="C222" s="14" t="n"/>
      <c r="D222" s="14" t="n"/>
      <c r="E222" s="14" t="n"/>
      <c r="F222" s="14" t="n"/>
      <c r="G222" s="16" t="n"/>
      <c r="H222" s="16" t="n"/>
      <c r="I222" s="16" t="n"/>
      <c r="J222" s="14" t="n"/>
      <c r="K222" s="10">
        <f>IF(COUNTA(C222:J222)=0,"",IF(OR(C222&lt;&gt;Steuerung!$F$6,D222&lt;1,D222&gt;12),"Periode prüfen",IF(D222&lt;=Steuerung!$F$8,"IST gesperrt",IF(OR(E222="",F222="",COUNT(G222:I222)&lt;&gt;3),"Angaben fehlen","Wirksam"))))</f>
        <v/>
      </c>
      <c r="L222" s="8">
        <f>IF(K222="Wirksam",SUM(G222:H222)-I222,IF(K222="","","n.a."))</f>
        <v/>
      </c>
    </row>
    <row r="223" ht="21" customHeight="1">
      <c r="C223" s="14" t="n"/>
      <c r="D223" s="14" t="n"/>
      <c r="E223" s="14" t="n"/>
      <c r="F223" s="14" t="n"/>
      <c r="G223" s="16" t="n"/>
      <c r="H223" s="16" t="n"/>
      <c r="I223" s="16" t="n"/>
      <c r="J223" s="14" t="n"/>
      <c r="K223" s="10">
        <f>IF(COUNTA(C223:J223)=0,"",IF(OR(C223&lt;&gt;Steuerung!$F$6,D223&lt;1,D223&gt;12),"Periode prüfen",IF(D223&lt;=Steuerung!$F$8,"IST gesperrt",IF(OR(E223="",F223="",COUNT(G223:I223)&lt;&gt;3),"Angaben fehlen","Wirksam"))))</f>
        <v/>
      </c>
      <c r="L223" s="8">
        <f>IF(K223="Wirksam",SUM(G223:H223)-I223,IF(K223="","","n.a."))</f>
        <v/>
      </c>
    </row>
    <row r="224" ht="21" customHeight="1">
      <c r="C224" s="14" t="n"/>
      <c r="D224" s="14" t="n"/>
      <c r="E224" s="14" t="n"/>
      <c r="F224" s="14" t="n"/>
      <c r="G224" s="16" t="n"/>
      <c r="H224" s="16" t="n"/>
      <c r="I224" s="16" t="n"/>
      <c r="J224" s="14" t="n"/>
      <c r="K224" s="10">
        <f>IF(COUNTA(C224:J224)=0,"",IF(OR(C224&lt;&gt;Steuerung!$F$6,D224&lt;1,D224&gt;12),"Periode prüfen",IF(D224&lt;=Steuerung!$F$8,"IST gesperrt",IF(OR(E224="",F224="",COUNT(G224:I224)&lt;&gt;3),"Angaben fehlen","Wirksam"))))</f>
        <v/>
      </c>
      <c r="L224" s="8">
        <f>IF(K224="Wirksam",SUM(G224:H224)-I224,IF(K224="","","n.a."))</f>
        <v/>
      </c>
    </row>
    <row r="225" ht="21" customHeight="1">
      <c r="C225" s="14" t="n"/>
      <c r="D225" s="14" t="n"/>
      <c r="E225" s="14" t="n"/>
      <c r="F225" s="14" t="n"/>
      <c r="G225" s="16" t="n"/>
      <c r="H225" s="16" t="n"/>
      <c r="I225" s="16" t="n"/>
      <c r="J225" s="14" t="n"/>
      <c r="K225" s="10">
        <f>IF(COUNTA(C225:J225)=0,"",IF(OR(C225&lt;&gt;Steuerung!$F$6,D225&lt;1,D225&gt;12),"Periode prüfen",IF(D225&lt;=Steuerung!$F$8,"IST gesperrt",IF(OR(E225="",F225="",COUNT(G225:I225)&lt;&gt;3),"Angaben fehlen","Wirksam"))))</f>
        <v/>
      </c>
      <c r="L225" s="8">
        <f>IF(K225="Wirksam",SUM(G225:H225)-I225,IF(K225="","","n.a."))</f>
        <v/>
      </c>
    </row>
    <row r="226" ht="21" customHeight="1">
      <c r="C226" s="14" t="n"/>
      <c r="D226" s="14" t="n"/>
      <c r="E226" s="14" t="n"/>
      <c r="F226" s="14" t="n"/>
      <c r="G226" s="16" t="n"/>
      <c r="H226" s="16" t="n"/>
      <c r="I226" s="16" t="n"/>
      <c r="J226" s="14" t="n"/>
      <c r="K226" s="10">
        <f>IF(COUNTA(C226:J226)=0,"",IF(OR(C226&lt;&gt;Steuerung!$F$6,D226&lt;1,D226&gt;12),"Periode prüfen",IF(D226&lt;=Steuerung!$F$8,"IST gesperrt",IF(OR(E226="",F226="",COUNT(G226:I226)&lt;&gt;3),"Angaben fehlen","Wirksam"))))</f>
        <v/>
      </c>
      <c r="L226" s="8">
        <f>IF(K226="Wirksam",SUM(G226:H226)-I226,IF(K226="","","n.a."))</f>
        <v/>
      </c>
    </row>
    <row r="227" ht="21" customHeight="1">
      <c r="C227" s="14" t="n"/>
      <c r="D227" s="14" t="n"/>
      <c r="E227" s="14" t="n"/>
      <c r="F227" s="14" t="n"/>
      <c r="G227" s="16" t="n"/>
      <c r="H227" s="16" t="n"/>
      <c r="I227" s="16" t="n"/>
      <c r="J227" s="14" t="n"/>
      <c r="K227" s="10">
        <f>IF(COUNTA(C227:J227)=0,"",IF(OR(C227&lt;&gt;Steuerung!$F$6,D227&lt;1,D227&gt;12),"Periode prüfen",IF(D227&lt;=Steuerung!$F$8,"IST gesperrt",IF(OR(E227="",F227="",COUNT(G227:I227)&lt;&gt;3),"Angaben fehlen","Wirksam"))))</f>
        <v/>
      </c>
      <c r="L227" s="8">
        <f>IF(K227="Wirksam",SUM(G227:H227)-I227,IF(K227="","","n.a."))</f>
        <v/>
      </c>
    </row>
    <row r="228" ht="21" customHeight="1">
      <c r="C228" s="14" t="n"/>
      <c r="D228" s="14" t="n"/>
      <c r="E228" s="14" t="n"/>
      <c r="F228" s="14" t="n"/>
      <c r="G228" s="16" t="n"/>
      <c r="H228" s="16" t="n"/>
      <c r="I228" s="16" t="n"/>
      <c r="J228" s="14" t="n"/>
      <c r="K228" s="10">
        <f>IF(COUNTA(C228:J228)=0,"",IF(OR(C228&lt;&gt;Steuerung!$F$6,D228&lt;1,D228&gt;12),"Periode prüfen",IF(D228&lt;=Steuerung!$F$8,"IST gesperrt",IF(OR(E228="",F228="",COUNT(G228:I228)&lt;&gt;3),"Angaben fehlen","Wirksam"))))</f>
        <v/>
      </c>
      <c r="L228" s="8">
        <f>IF(K228="Wirksam",SUM(G228:H228)-I228,IF(K228="","","n.a."))</f>
        <v/>
      </c>
    </row>
    <row r="229" ht="21" customHeight="1">
      <c r="C229" s="14" t="n"/>
      <c r="D229" s="14" t="n"/>
      <c r="E229" s="14" t="n"/>
      <c r="F229" s="14" t="n"/>
      <c r="G229" s="16" t="n"/>
      <c r="H229" s="16" t="n"/>
      <c r="I229" s="16" t="n"/>
      <c r="J229" s="14" t="n"/>
      <c r="K229" s="10">
        <f>IF(COUNTA(C229:J229)=0,"",IF(OR(C229&lt;&gt;Steuerung!$F$6,D229&lt;1,D229&gt;12),"Periode prüfen",IF(D229&lt;=Steuerung!$F$8,"IST gesperrt",IF(OR(E229="",F229="",COUNT(G229:I229)&lt;&gt;3),"Angaben fehlen","Wirksam"))))</f>
        <v/>
      </c>
      <c r="L229" s="8">
        <f>IF(K229="Wirksam",SUM(G229:H229)-I229,IF(K229="","","n.a."))</f>
        <v/>
      </c>
    </row>
    <row r="230" ht="21" customHeight="1">
      <c r="C230" s="14" t="n"/>
      <c r="D230" s="14" t="n"/>
      <c r="E230" s="14" t="n"/>
      <c r="F230" s="14" t="n"/>
      <c r="G230" s="16" t="n"/>
      <c r="H230" s="16" t="n"/>
      <c r="I230" s="16" t="n"/>
      <c r="J230" s="14" t="n"/>
      <c r="K230" s="10">
        <f>IF(COUNTA(C230:J230)=0,"",IF(OR(C230&lt;&gt;Steuerung!$F$6,D230&lt;1,D230&gt;12),"Periode prüfen",IF(D230&lt;=Steuerung!$F$8,"IST gesperrt",IF(OR(E230="",F230="",COUNT(G230:I230)&lt;&gt;3),"Angaben fehlen","Wirksam"))))</f>
        <v/>
      </c>
      <c r="L230" s="8">
        <f>IF(K230="Wirksam",SUM(G230:H230)-I230,IF(K230="","","n.a."))</f>
        <v/>
      </c>
    </row>
    <row r="231" ht="21" customHeight="1">
      <c r="C231" s="14" t="n"/>
      <c r="D231" s="14" t="n"/>
      <c r="E231" s="14" t="n"/>
      <c r="F231" s="14" t="n"/>
      <c r="G231" s="16" t="n"/>
      <c r="H231" s="16" t="n"/>
      <c r="I231" s="16" t="n"/>
      <c r="J231" s="14" t="n"/>
      <c r="K231" s="10">
        <f>IF(COUNTA(C231:J231)=0,"",IF(OR(C231&lt;&gt;Steuerung!$F$6,D231&lt;1,D231&gt;12),"Periode prüfen",IF(D231&lt;=Steuerung!$F$8,"IST gesperrt",IF(OR(E231="",F231="",COUNT(G231:I231)&lt;&gt;3),"Angaben fehlen","Wirksam"))))</f>
        <v/>
      </c>
      <c r="L231" s="8">
        <f>IF(K231="Wirksam",SUM(G231:H231)-I231,IF(K231="","","n.a."))</f>
        <v/>
      </c>
    </row>
    <row r="232" ht="21" customHeight="1">
      <c r="C232" s="14" t="n"/>
      <c r="D232" s="14" t="n"/>
      <c r="E232" s="14" t="n"/>
      <c r="F232" s="14" t="n"/>
      <c r="G232" s="16" t="n"/>
      <c r="H232" s="16" t="n"/>
      <c r="I232" s="16" t="n"/>
      <c r="J232" s="14" t="n"/>
      <c r="K232" s="10">
        <f>IF(COUNTA(C232:J232)=0,"",IF(OR(C232&lt;&gt;Steuerung!$F$6,D232&lt;1,D232&gt;12),"Periode prüfen",IF(D232&lt;=Steuerung!$F$8,"IST gesperrt",IF(OR(E232="",F232="",COUNT(G232:I232)&lt;&gt;3),"Angaben fehlen","Wirksam"))))</f>
        <v/>
      </c>
      <c r="L232" s="8">
        <f>IF(K232="Wirksam",SUM(G232:H232)-I232,IF(K232="","","n.a."))</f>
        <v/>
      </c>
    </row>
    <row r="233" ht="21" customHeight="1">
      <c r="C233" s="14" t="n"/>
      <c r="D233" s="14" t="n"/>
      <c r="E233" s="14" t="n"/>
      <c r="F233" s="14" t="n"/>
      <c r="G233" s="16" t="n"/>
      <c r="H233" s="16" t="n"/>
      <c r="I233" s="16" t="n"/>
      <c r="J233" s="14" t="n"/>
      <c r="K233" s="10">
        <f>IF(COUNTA(C233:J233)=0,"",IF(OR(C233&lt;&gt;Steuerung!$F$6,D233&lt;1,D233&gt;12),"Periode prüfen",IF(D233&lt;=Steuerung!$F$8,"IST gesperrt",IF(OR(E233="",F233="",COUNT(G233:I233)&lt;&gt;3),"Angaben fehlen","Wirksam"))))</f>
        <v/>
      </c>
      <c r="L233" s="8">
        <f>IF(K233="Wirksam",SUM(G233:H233)-I233,IF(K233="","","n.a."))</f>
        <v/>
      </c>
    </row>
    <row r="234" ht="21" customHeight="1">
      <c r="C234" s="14" t="n"/>
      <c r="D234" s="14" t="n"/>
      <c r="E234" s="14" t="n"/>
      <c r="F234" s="14" t="n"/>
      <c r="G234" s="16" t="n"/>
      <c r="H234" s="16" t="n"/>
      <c r="I234" s="16" t="n"/>
      <c r="J234" s="14" t="n"/>
      <c r="K234" s="10">
        <f>IF(COUNTA(C234:J234)=0,"",IF(OR(C234&lt;&gt;Steuerung!$F$6,D234&lt;1,D234&gt;12),"Periode prüfen",IF(D234&lt;=Steuerung!$F$8,"IST gesperrt",IF(OR(E234="",F234="",COUNT(G234:I234)&lt;&gt;3),"Angaben fehlen","Wirksam"))))</f>
        <v/>
      </c>
      <c r="L234" s="8">
        <f>IF(K234="Wirksam",SUM(G234:H234)-I234,IF(K234="","","n.a."))</f>
        <v/>
      </c>
    </row>
    <row r="235" ht="21" customHeight="1">
      <c r="C235" s="14" t="n"/>
      <c r="D235" s="14" t="n"/>
      <c r="E235" s="14" t="n"/>
      <c r="F235" s="14" t="n"/>
      <c r="G235" s="16" t="n"/>
      <c r="H235" s="16" t="n"/>
      <c r="I235" s="16" t="n"/>
      <c r="J235" s="14" t="n"/>
      <c r="K235" s="10">
        <f>IF(COUNTA(C235:J235)=0,"",IF(OR(C235&lt;&gt;Steuerung!$F$6,D235&lt;1,D235&gt;12),"Periode prüfen",IF(D235&lt;=Steuerung!$F$8,"IST gesperrt",IF(OR(E235="",F235="",COUNT(G235:I235)&lt;&gt;3),"Angaben fehlen","Wirksam"))))</f>
        <v/>
      </c>
      <c r="L235" s="8">
        <f>IF(K235="Wirksam",SUM(G235:H235)-I235,IF(K235="","","n.a."))</f>
        <v/>
      </c>
    </row>
    <row r="236" ht="21" customHeight="1">
      <c r="C236" s="14" t="n"/>
      <c r="D236" s="14" t="n"/>
      <c r="E236" s="14" t="n"/>
      <c r="F236" s="14" t="n"/>
      <c r="G236" s="16" t="n"/>
      <c r="H236" s="16" t="n"/>
      <c r="I236" s="16" t="n"/>
      <c r="J236" s="14" t="n"/>
      <c r="K236" s="10">
        <f>IF(COUNTA(C236:J236)=0,"",IF(OR(C236&lt;&gt;Steuerung!$F$6,D236&lt;1,D236&gt;12),"Periode prüfen",IF(D236&lt;=Steuerung!$F$8,"IST gesperrt",IF(OR(E236="",F236="",COUNT(G236:I236)&lt;&gt;3),"Angaben fehlen","Wirksam"))))</f>
        <v/>
      </c>
      <c r="L236" s="8">
        <f>IF(K236="Wirksam",SUM(G236:H236)-I236,IF(K236="","","n.a."))</f>
        <v/>
      </c>
    </row>
    <row r="237" ht="21" customHeight="1">
      <c r="C237" s="14" t="n"/>
      <c r="D237" s="14" t="n"/>
      <c r="E237" s="14" t="n"/>
      <c r="F237" s="14" t="n"/>
      <c r="G237" s="16" t="n"/>
      <c r="H237" s="16" t="n"/>
      <c r="I237" s="16" t="n"/>
      <c r="J237" s="14" t="n"/>
      <c r="K237" s="10">
        <f>IF(COUNTA(C237:J237)=0,"",IF(OR(C237&lt;&gt;Steuerung!$F$6,D237&lt;1,D237&gt;12),"Periode prüfen",IF(D237&lt;=Steuerung!$F$8,"IST gesperrt",IF(OR(E237="",F237="",COUNT(G237:I237)&lt;&gt;3),"Angaben fehlen","Wirksam"))))</f>
        <v/>
      </c>
      <c r="L237" s="8">
        <f>IF(K237="Wirksam",SUM(G237:H237)-I237,IF(K237="","","n.a."))</f>
        <v/>
      </c>
    </row>
    <row r="238" ht="21" customHeight="1">
      <c r="C238" s="14" t="n"/>
      <c r="D238" s="14" t="n"/>
      <c r="E238" s="14" t="n"/>
      <c r="F238" s="14" t="n"/>
      <c r="G238" s="16" t="n"/>
      <c r="H238" s="16" t="n"/>
      <c r="I238" s="16" t="n"/>
      <c r="J238" s="14" t="n"/>
      <c r="K238" s="10">
        <f>IF(COUNTA(C238:J238)=0,"",IF(OR(C238&lt;&gt;Steuerung!$F$6,D238&lt;1,D238&gt;12),"Periode prüfen",IF(D238&lt;=Steuerung!$F$8,"IST gesperrt",IF(OR(E238="",F238="",COUNT(G238:I238)&lt;&gt;3),"Angaben fehlen","Wirksam"))))</f>
        <v/>
      </c>
      <c r="L238" s="8">
        <f>IF(K238="Wirksam",SUM(G238:H238)-I238,IF(K238="","","n.a."))</f>
        <v/>
      </c>
    </row>
    <row r="239" ht="21" customHeight="1">
      <c r="C239" s="14" t="n"/>
      <c r="D239" s="14" t="n"/>
      <c r="E239" s="14" t="n"/>
      <c r="F239" s="14" t="n"/>
      <c r="G239" s="16" t="n"/>
      <c r="H239" s="16" t="n"/>
      <c r="I239" s="16" t="n"/>
      <c r="J239" s="14" t="n"/>
      <c r="K239" s="10">
        <f>IF(COUNTA(C239:J239)=0,"",IF(OR(C239&lt;&gt;Steuerung!$F$6,D239&lt;1,D239&gt;12),"Periode prüfen",IF(D239&lt;=Steuerung!$F$8,"IST gesperrt",IF(OR(E239="",F239="",COUNT(G239:I239)&lt;&gt;3),"Angaben fehlen","Wirksam"))))</f>
        <v/>
      </c>
      <c r="L239" s="8">
        <f>IF(K239="Wirksam",SUM(G239:H239)-I239,IF(K239="","","n.a."))</f>
        <v/>
      </c>
    </row>
    <row r="240" ht="21" customHeight="1">
      <c r="C240" s="14" t="n"/>
      <c r="D240" s="14" t="n"/>
      <c r="E240" s="14" t="n"/>
      <c r="F240" s="14" t="n"/>
      <c r="G240" s="16" t="n"/>
      <c r="H240" s="16" t="n"/>
      <c r="I240" s="16" t="n"/>
      <c r="J240" s="14" t="n"/>
      <c r="K240" s="10">
        <f>IF(COUNTA(C240:J240)=0,"",IF(OR(C240&lt;&gt;Steuerung!$F$6,D240&lt;1,D240&gt;12),"Periode prüfen",IF(D240&lt;=Steuerung!$F$8,"IST gesperrt",IF(OR(E240="",F240="",COUNT(G240:I240)&lt;&gt;3),"Angaben fehlen","Wirksam"))))</f>
        <v/>
      </c>
      <c r="L240" s="8">
        <f>IF(K240="Wirksam",SUM(G240:H240)-I240,IF(K240="","","n.a."))</f>
        <v/>
      </c>
    </row>
    <row r="241" ht="21" customHeight="1">
      <c r="C241" s="14" t="n"/>
      <c r="D241" s="14" t="n"/>
      <c r="E241" s="14" t="n"/>
      <c r="F241" s="14" t="n"/>
      <c r="G241" s="16" t="n"/>
      <c r="H241" s="16" t="n"/>
      <c r="I241" s="16" t="n"/>
      <c r="J241" s="14" t="n"/>
      <c r="K241" s="10">
        <f>IF(COUNTA(C241:J241)=0,"",IF(OR(C241&lt;&gt;Steuerung!$F$6,D241&lt;1,D241&gt;12),"Periode prüfen",IF(D241&lt;=Steuerung!$F$8,"IST gesperrt",IF(OR(E241="",F241="",COUNT(G241:I241)&lt;&gt;3),"Angaben fehlen","Wirksam"))))</f>
        <v/>
      </c>
      <c r="L241" s="8">
        <f>IF(K241="Wirksam",SUM(G241:H241)-I241,IF(K241="","","n.a."))</f>
        <v/>
      </c>
    </row>
    <row r="242" ht="21" customHeight="1">
      <c r="C242" s="14" t="n"/>
      <c r="D242" s="14" t="n"/>
      <c r="E242" s="14" t="n"/>
      <c r="F242" s="14" t="n"/>
      <c r="G242" s="16" t="n"/>
      <c r="H242" s="16" t="n"/>
      <c r="I242" s="16" t="n"/>
      <c r="J242" s="14" t="n"/>
      <c r="K242" s="10">
        <f>IF(COUNTA(C242:J242)=0,"",IF(OR(C242&lt;&gt;Steuerung!$F$6,D242&lt;1,D242&gt;12),"Periode prüfen",IF(D242&lt;=Steuerung!$F$8,"IST gesperrt",IF(OR(E242="",F242="",COUNT(G242:I242)&lt;&gt;3),"Angaben fehlen","Wirksam"))))</f>
        <v/>
      </c>
      <c r="L242" s="8">
        <f>IF(K242="Wirksam",SUM(G242:H242)-I242,IF(K242="","","n.a."))</f>
        <v/>
      </c>
    </row>
    <row r="243" ht="21" customHeight="1">
      <c r="C243" s="14" t="n"/>
      <c r="D243" s="14" t="n"/>
      <c r="E243" s="14" t="n"/>
      <c r="F243" s="14" t="n"/>
      <c r="G243" s="16" t="n"/>
      <c r="H243" s="16" t="n"/>
      <c r="I243" s="16" t="n"/>
      <c r="J243" s="14" t="n"/>
      <c r="K243" s="10">
        <f>IF(COUNTA(C243:J243)=0,"",IF(OR(C243&lt;&gt;Steuerung!$F$6,D243&lt;1,D243&gt;12),"Periode prüfen",IF(D243&lt;=Steuerung!$F$8,"IST gesperrt",IF(OR(E243="",F243="",COUNT(G243:I243)&lt;&gt;3),"Angaben fehlen","Wirksam"))))</f>
        <v/>
      </c>
      <c r="L243" s="8">
        <f>IF(K243="Wirksam",SUM(G243:H243)-I243,IF(K243="","","n.a."))</f>
        <v/>
      </c>
    </row>
    <row r="244" ht="21" customHeight="1">
      <c r="C244" s="14" t="n"/>
      <c r="D244" s="14" t="n"/>
      <c r="E244" s="14" t="n"/>
      <c r="F244" s="14" t="n"/>
      <c r="G244" s="16" t="n"/>
      <c r="H244" s="16" t="n"/>
      <c r="I244" s="16" t="n"/>
      <c r="J244" s="14" t="n"/>
      <c r="K244" s="10">
        <f>IF(COUNTA(C244:J244)=0,"",IF(OR(C244&lt;&gt;Steuerung!$F$6,D244&lt;1,D244&gt;12),"Periode prüfen",IF(D244&lt;=Steuerung!$F$8,"IST gesperrt",IF(OR(E244="",F244="",COUNT(G244:I244)&lt;&gt;3),"Angaben fehlen","Wirksam"))))</f>
        <v/>
      </c>
      <c r="L244" s="8">
        <f>IF(K244="Wirksam",SUM(G244:H244)-I244,IF(K244="","","n.a."))</f>
        <v/>
      </c>
    </row>
    <row r="245" ht="21" customHeight="1">
      <c r="C245" s="14" t="n"/>
      <c r="D245" s="14" t="n"/>
      <c r="E245" s="14" t="n"/>
      <c r="F245" s="14" t="n"/>
      <c r="G245" s="16" t="n"/>
      <c r="H245" s="16" t="n"/>
      <c r="I245" s="16" t="n"/>
      <c r="J245" s="14" t="n"/>
      <c r="K245" s="10">
        <f>IF(COUNTA(C245:J245)=0,"",IF(OR(C245&lt;&gt;Steuerung!$F$6,D245&lt;1,D245&gt;12),"Periode prüfen",IF(D245&lt;=Steuerung!$F$8,"IST gesperrt",IF(OR(E245="",F245="",COUNT(G245:I245)&lt;&gt;3),"Angaben fehlen","Wirksam"))))</f>
        <v/>
      </c>
      <c r="L245" s="8">
        <f>IF(K245="Wirksam",SUM(G245:H245)-I245,IF(K245="","","n.a."))</f>
        <v/>
      </c>
    </row>
    <row r="246" ht="21" customHeight="1">
      <c r="C246" s="14" t="n"/>
      <c r="D246" s="14" t="n"/>
      <c r="E246" s="14" t="n"/>
      <c r="F246" s="14" t="n"/>
      <c r="G246" s="16" t="n"/>
      <c r="H246" s="16" t="n"/>
      <c r="I246" s="16" t="n"/>
      <c r="J246" s="14" t="n"/>
      <c r="K246" s="10">
        <f>IF(COUNTA(C246:J246)=0,"",IF(OR(C246&lt;&gt;Steuerung!$F$6,D246&lt;1,D246&gt;12),"Periode prüfen",IF(D246&lt;=Steuerung!$F$8,"IST gesperrt",IF(OR(E246="",F246="",COUNT(G246:I246)&lt;&gt;3),"Angaben fehlen","Wirksam"))))</f>
        <v/>
      </c>
      <c r="L246" s="8">
        <f>IF(K246="Wirksam",SUM(G246:H246)-I246,IF(K246="","","n.a."))</f>
        <v/>
      </c>
    </row>
    <row r="247" ht="21" customHeight="1">
      <c r="C247" s="14" t="n"/>
      <c r="D247" s="14" t="n"/>
      <c r="E247" s="14" t="n"/>
      <c r="F247" s="14" t="n"/>
      <c r="G247" s="16" t="n"/>
      <c r="H247" s="16" t="n"/>
      <c r="I247" s="16" t="n"/>
      <c r="J247" s="14" t="n"/>
      <c r="K247" s="10">
        <f>IF(COUNTA(C247:J247)=0,"",IF(OR(C247&lt;&gt;Steuerung!$F$6,D247&lt;1,D247&gt;12),"Periode prüfen",IF(D247&lt;=Steuerung!$F$8,"IST gesperrt",IF(OR(E247="",F247="",COUNT(G247:I247)&lt;&gt;3),"Angaben fehlen","Wirksam"))))</f>
        <v/>
      </c>
      <c r="L247" s="8">
        <f>IF(K247="Wirksam",SUM(G247:H247)-I247,IF(K247="","","n.a."))</f>
        <v/>
      </c>
    </row>
    <row r="248" ht="21" customHeight="1">
      <c r="C248" s="14" t="n"/>
      <c r="D248" s="14" t="n"/>
      <c r="E248" s="14" t="n"/>
      <c r="F248" s="14" t="n"/>
      <c r="G248" s="16" t="n"/>
      <c r="H248" s="16" t="n"/>
      <c r="I248" s="16" t="n"/>
      <c r="J248" s="14" t="n"/>
      <c r="K248" s="10">
        <f>IF(COUNTA(C248:J248)=0,"",IF(OR(C248&lt;&gt;Steuerung!$F$6,D248&lt;1,D248&gt;12),"Periode prüfen",IF(D248&lt;=Steuerung!$F$8,"IST gesperrt",IF(OR(E248="",F248="",COUNT(G248:I248)&lt;&gt;3),"Angaben fehlen","Wirksam"))))</f>
        <v/>
      </c>
      <c r="L248" s="8">
        <f>IF(K248="Wirksam",SUM(G248:H248)-I248,IF(K248="","","n.a."))</f>
        <v/>
      </c>
    </row>
    <row r="249" ht="21" customHeight="1">
      <c r="C249" s="14" t="n"/>
      <c r="D249" s="14" t="n"/>
      <c r="E249" s="14" t="n"/>
      <c r="F249" s="14" t="n"/>
      <c r="G249" s="16" t="n"/>
      <c r="H249" s="16" t="n"/>
      <c r="I249" s="16" t="n"/>
      <c r="J249" s="14" t="n"/>
      <c r="K249" s="10">
        <f>IF(COUNTA(C249:J249)=0,"",IF(OR(C249&lt;&gt;Steuerung!$F$6,D249&lt;1,D249&gt;12),"Periode prüfen",IF(D249&lt;=Steuerung!$F$8,"IST gesperrt",IF(OR(E249="",F249="",COUNT(G249:I249)&lt;&gt;3),"Angaben fehlen","Wirksam"))))</f>
        <v/>
      </c>
      <c r="L249" s="8">
        <f>IF(K249="Wirksam",SUM(G249:H249)-I249,IF(K249="","","n.a."))</f>
        <v/>
      </c>
    </row>
    <row r="250" ht="21" customHeight="1">
      <c r="C250" s="14" t="n"/>
      <c r="D250" s="14" t="n"/>
      <c r="E250" s="14" t="n"/>
      <c r="F250" s="14" t="n"/>
      <c r="G250" s="16" t="n"/>
      <c r="H250" s="16" t="n"/>
      <c r="I250" s="16" t="n"/>
      <c r="J250" s="14" t="n"/>
      <c r="K250" s="10">
        <f>IF(COUNTA(C250:J250)=0,"",IF(OR(C250&lt;&gt;Steuerung!$F$6,D250&lt;1,D250&gt;12),"Periode prüfen",IF(D250&lt;=Steuerung!$F$8,"IST gesperrt",IF(OR(E250="",F250="",COUNT(G250:I250)&lt;&gt;3),"Angaben fehlen","Wirksam"))))</f>
        <v/>
      </c>
      <c r="L250" s="8">
        <f>IF(K250="Wirksam",SUM(G250:H250)-I250,IF(K250="","","n.a."))</f>
        <v/>
      </c>
    </row>
    <row r="251" ht="21" customHeight="1">
      <c r="C251" s="14" t="n"/>
      <c r="D251" s="14" t="n"/>
      <c r="E251" s="14" t="n"/>
      <c r="F251" s="14" t="n"/>
      <c r="G251" s="16" t="n"/>
      <c r="H251" s="16" t="n"/>
      <c r="I251" s="16" t="n"/>
      <c r="J251" s="14" t="n"/>
      <c r="K251" s="10">
        <f>IF(COUNTA(C251:J251)=0,"",IF(OR(C251&lt;&gt;Steuerung!$F$6,D251&lt;1,D251&gt;12),"Periode prüfen",IF(D251&lt;=Steuerung!$F$8,"IST gesperrt",IF(OR(E251="",F251="",COUNT(G251:I251)&lt;&gt;3),"Angaben fehlen","Wirksam"))))</f>
        <v/>
      </c>
      <c r="L251" s="8">
        <f>IF(K251="Wirksam",SUM(G251:H251)-I251,IF(K251="","","n.a."))</f>
        <v/>
      </c>
    </row>
    <row r="252" ht="21" customHeight="1">
      <c r="C252" s="14" t="n"/>
      <c r="D252" s="14" t="n"/>
      <c r="E252" s="14" t="n"/>
      <c r="F252" s="14" t="n"/>
      <c r="G252" s="16" t="n"/>
      <c r="H252" s="16" t="n"/>
      <c r="I252" s="16" t="n"/>
      <c r="J252" s="14" t="n"/>
      <c r="K252" s="10">
        <f>IF(COUNTA(C252:J252)=0,"",IF(OR(C252&lt;&gt;Steuerung!$F$6,D252&lt;1,D252&gt;12),"Periode prüfen",IF(D252&lt;=Steuerung!$F$8,"IST gesperrt",IF(OR(E252="",F252="",COUNT(G252:I252)&lt;&gt;3),"Angaben fehlen","Wirksam"))))</f>
        <v/>
      </c>
      <c r="L252" s="8">
        <f>IF(K252="Wirksam",SUM(G252:H252)-I252,IF(K252="","","n.a."))</f>
        <v/>
      </c>
    </row>
    <row r="253" ht="21" customHeight="1">
      <c r="C253" s="14" t="n"/>
      <c r="D253" s="14" t="n"/>
      <c r="E253" s="14" t="n"/>
      <c r="F253" s="14" t="n"/>
      <c r="G253" s="16" t="n"/>
      <c r="H253" s="16" t="n"/>
      <c r="I253" s="16" t="n"/>
      <c r="J253" s="14" t="n"/>
      <c r="K253" s="10">
        <f>IF(COUNTA(C253:J253)=0,"",IF(OR(C253&lt;&gt;Steuerung!$F$6,D253&lt;1,D253&gt;12),"Periode prüfen",IF(D253&lt;=Steuerung!$F$8,"IST gesperrt",IF(OR(E253="",F253="",COUNT(G253:I253)&lt;&gt;3),"Angaben fehlen","Wirksam"))))</f>
        <v/>
      </c>
      <c r="L253" s="8">
        <f>IF(K253="Wirksam",SUM(G253:H253)-I253,IF(K253="","","n.a."))</f>
        <v/>
      </c>
    </row>
    <row r="254" ht="21" customHeight="1">
      <c r="C254" s="14" t="n"/>
      <c r="D254" s="14" t="n"/>
      <c r="E254" s="14" t="n"/>
      <c r="F254" s="14" t="n"/>
      <c r="G254" s="16" t="n"/>
      <c r="H254" s="16" t="n"/>
      <c r="I254" s="16" t="n"/>
      <c r="J254" s="14" t="n"/>
      <c r="K254" s="10">
        <f>IF(COUNTA(C254:J254)=0,"",IF(OR(C254&lt;&gt;Steuerung!$F$6,D254&lt;1,D254&gt;12),"Periode prüfen",IF(D254&lt;=Steuerung!$F$8,"IST gesperrt",IF(OR(E254="",F254="",COUNT(G254:I254)&lt;&gt;3),"Angaben fehlen","Wirksam"))))</f>
        <v/>
      </c>
      <c r="L254" s="8">
        <f>IF(K254="Wirksam",SUM(G254:H254)-I254,IF(K254="","","n.a."))</f>
        <v/>
      </c>
    </row>
    <row r="255" ht="21" customHeight="1">
      <c r="C255" s="14" t="n"/>
      <c r="D255" s="14" t="n"/>
      <c r="E255" s="14" t="n"/>
      <c r="F255" s="14" t="n"/>
      <c r="G255" s="16" t="n"/>
      <c r="H255" s="16" t="n"/>
      <c r="I255" s="16" t="n"/>
      <c r="J255" s="14" t="n"/>
      <c r="K255" s="10">
        <f>IF(COUNTA(C255:J255)=0,"",IF(OR(C255&lt;&gt;Steuerung!$F$6,D255&lt;1,D255&gt;12),"Periode prüfen",IF(D255&lt;=Steuerung!$F$8,"IST gesperrt",IF(OR(E255="",F255="",COUNT(G255:I255)&lt;&gt;3),"Angaben fehlen","Wirksam"))))</f>
        <v/>
      </c>
      <c r="L255" s="8">
        <f>IF(K255="Wirksam",SUM(G255:H255)-I255,IF(K255="","","n.a."))</f>
        <v/>
      </c>
    </row>
    <row r="256" ht="21" customHeight="1">
      <c r="C256" s="14" t="n"/>
      <c r="D256" s="14" t="n"/>
      <c r="E256" s="14" t="n"/>
      <c r="F256" s="14" t="n"/>
      <c r="G256" s="16" t="n"/>
      <c r="H256" s="16" t="n"/>
      <c r="I256" s="16" t="n"/>
      <c r="J256" s="14" t="n"/>
      <c r="K256" s="10">
        <f>IF(COUNTA(C256:J256)=0,"",IF(OR(C256&lt;&gt;Steuerung!$F$6,D256&lt;1,D256&gt;12),"Periode prüfen",IF(D256&lt;=Steuerung!$F$8,"IST gesperrt",IF(OR(E256="",F256="",COUNT(G256:I256)&lt;&gt;3),"Angaben fehlen","Wirksam"))))</f>
        <v/>
      </c>
      <c r="L256" s="8">
        <f>IF(K256="Wirksam",SUM(G256:H256)-I256,IF(K256="","","n.a."))</f>
        <v/>
      </c>
    </row>
    <row r="257" ht="21" customHeight="1">
      <c r="C257" s="14" t="n"/>
      <c r="D257" s="14" t="n"/>
      <c r="E257" s="14" t="n"/>
      <c r="F257" s="14" t="n"/>
      <c r="G257" s="16" t="n"/>
      <c r="H257" s="16" t="n"/>
      <c r="I257" s="16" t="n"/>
      <c r="J257" s="14" t="n"/>
      <c r="K257" s="10">
        <f>IF(COUNTA(C257:J257)=0,"",IF(OR(C257&lt;&gt;Steuerung!$F$6,D257&lt;1,D257&gt;12),"Periode prüfen",IF(D257&lt;=Steuerung!$F$8,"IST gesperrt",IF(OR(E257="",F257="",COUNT(G257:I257)&lt;&gt;3),"Angaben fehlen","Wirksam"))))</f>
        <v/>
      </c>
      <c r="L257" s="8">
        <f>IF(K257="Wirksam",SUM(G257:H257)-I257,IF(K257="","","n.a."))</f>
        <v/>
      </c>
    </row>
    <row r="258" ht="21" customHeight="1">
      <c r="C258" s="14" t="n"/>
      <c r="D258" s="14" t="n"/>
      <c r="E258" s="14" t="n"/>
      <c r="F258" s="14" t="n"/>
      <c r="G258" s="16" t="n"/>
      <c r="H258" s="16" t="n"/>
      <c r="I258" s="16" t="n"/>
      <c r="J258" s="14" t="n"/>
      <c r="K258" s="10">
        <f>IF(COUNTA(C258:J258)=0,"",IF(OR(C258&lt;&gt;Steuerung!$F$6,D258&lt;1,D258&gt;12),"Periode prüfen",IF(D258&lt;=Steuerung!$F$8,"IST gesperrt",IF(OR(E258="",F258="",COUNT(G258:I258)&lt;&gt;3),"Angaben fehlen","Wirksam"))))</f>
        <v/>
      </c>
      <c r="L258" s="8">
        <f>IF(K258="Wirksam",SUM(G258:H258)-I258,IF(K258="","","n.a."))</f>
        <v/>
      </c>
    </row>
    <row r="259" ht="21" customHeight="1">
      <c r="C259" s="14" t="n"/>
      <c r="D259" s="14" t="n"/>
      <c r="E259" s="14" t="n"/>
      <c r="F259" s="14" t="n"/>
      <c r="G259" s="16" t="n"/>
      <c r="H259" s="16" t="n"/>
      <c r="I259" s="16" t="n"/>
      <c r="J259" s="14" t="n"/>
      <c r="K259" s="10">
        <f>IF(COUNTA(C259:J259)=0,"",IF(OR(C259&lt;&gt;Steuerung!$F$6,D259&lt;1,D259&gt;12),"Periode prüfen",IF(D259&lt;=Steuerung!$F$8,"IST gesperrt",IF(OR(E259="",F259="",COUNT(G259:I259)&lt;&gt;3),"Angaben fehlen","Wirksam"))))</f>
        <v/>
      </c>
      <c r="L259" s="8">
        <f>IF(K259="Wirksam",SUM(G259:H259)-I259,IF(K259="","","n.a."))</f>
        <v/>
      </c>
    </row>
    <row r="260" ht="21" customHeight="1">
      <c r="C260" s="14" t="n"/>
      <c r="D260" s="14" t="n"/>
      <c r="E260" s="14" t="n"/>
      <c r="F260" s="14" t="n"/>
      <c r="G260" s="16" t="n"/>
      <c r="H260" s="16" t="n"/>
      <c r="I260" s="16" t="n"/>
      <c r="J260" s="14" t="n"/>
      <c r="K260" s="10">
        <f>IF(COUNTA(C260:J260)=0,"",IF(OR(C260&lt;&gt;Steuerung!$F$6,D260&lt;1,D260&gt;12),"Periode prüfen",IF(D260&lt;=Steuerung!$F$8,"IST gesperrt",IF(OR(E260="",F260="",COUNT(G260:I260)&lt;&gt;3),"Angaben fehlen","Wirksam"))))</f>
        <v/>
      </c>
      <c r="L260" s="8">
        <f>IF(K260="Wirksam",SUM(G260:H260)-I260,IF(K260="","","n.a."))</f>
        <v/>
      </c>
    </row>
    <row r="261" ht="21" customHeight="1">
      <c r="C261" s="14" t="n"/>
      <c r="D261" s="14" t="n"/>
      <c r="E261" s="14" t="n"/>
      <c r="F261" s="14" t="n"/>
      <c r="G261" s="16" t="n"/>
      <c r="H261" s="16" t="n"/>
      <c r="I261" s="16" t="n"/>
      <c r="J261" s="14" t="n"/>
      <c r="K261" s="10">
        <f>IF(COUNTA(C261:J261)=0,"",IF(OR(C261&lt;&gt;Steuerung!$F$6,D261&lt;1,D261&gt;12),"Periode prüfen",IF(D261&lt;=Steuerung!$F$8,"IST gesperrt",IF(OR(E261="",F261="",COUNT(G261:I261)&lt;&gt;3),"Angaben fehlen","Wirksam"))))</f>
        <v/>
      </c>
      <c r="L261" s="8">
        <f>IF(K261="Wirksam",SUM(G261:H261)-I261,IF(K261="","","n.a."))</f>
        <v/>
      </c>
    </row>
    <row r="262" ht="21" customHeight="1">
      <c r="C262" s="14" t="n"/>
      <c r="D262" s="14" t="n"/>
      <c r="E262" s="14" t="n"/>
      <c r="F262" s="14" t="n"/>
      <c r="G262" s="16" t="n"/>
      <c r="H262" s="16" t="n"/>
      <c r="I262" s="16" t="n"/>
      <c r="J262" s="14" t="n"/>
      <c r="K262" s="10">
        <f>IF(COUNTA(C262:J262)=0,"",IF(OR(C262&lt;&gt;Steuerung!$F$6,D262&lt;1,D262&gt;12),"Periode prüfen",IF(D262&lt;=Steuerung!$F$8,"IST gesperrt",IF(OR(E262="",F262="",COUNT(G262:I262)&lt;&gt;3),"Angaben fehlen","Wirksam"))))</f>
        <v/>
      </c>
      <c r="L262" s="8">
        <f>IF(K262="Wirksam",SUM(G262:H262)-I262,IF(K262="","","n.a."))</f>
        <v/>
      </c>
    </row>
    <row r="263" ht="21" customHeight="1">
      <c r="C263" s="14" t="n"/>
      <c r="D263" s="14" t="n"/>
      <c r="E263" s="14" t="n"/>
      <c r="F263" s="14" t="n"/>
      <c r="G263" s="16" t="n"/>
      <c r="H263" s="16" t="n"/>
      <c r="I263" s="16" t="n"/>
      <c r="J263" s="14" t="n"/>
      <c r="K263" s="10">
        <f>IF(COUNTA(C263:J263)=0,"",IF(OR(C263&lt;&gt;Steuerung!$F$6,D263&lt;1,D263&gt;12),"Periode prüfen",IF(D263&lt;=Steuerung!$F$8,"IST gesperrt",IF(OR(E263="",F263="",COUNT(G263:I263)&lt;&gt;3),"Angaben fehlen","Wirksam"))))</f>
        <v/>
      </c>
      <c r="L263" s="8">
        <f>IF(K263="Wirksam",SUM(G263:H263)-I263,IF(K263="","","n.a."))</f>
        <v/>
      </c>
    </row>
    <row r="264" ht="21" customHeight="1">
      <c r="C264" s="14" t="n"/>
      <c r="D264" s="14" t="n"/>
      <c r="E264" s="14" t="n"/>
      <c r="F264" s="14" t="n"/>
      <c r="G264" s="16" t="n"/>
      <c r="H264" s="16" t="n"/>
      <c r="I264" s="16" t="n"/>
      <c r="J264" s="14" t="n"/>
      <c r="K264" s="10">
        <f>IF(COUNTA(C264:J264)=0,"",IF(OR(C264&lt;&gt;Steuerung!$F$6,D264&lt;1,D264&gt;12),"Periode prüfen",IF(D264&lt;=Steuerung!$F$8,"IST gesperrt",IF(OR(E264="",F264="",COUNT(G264:I264)&lt;&gt;3),"Angaben fehlen","Wirksam"))))</f>
        <v/>
      </c>
      <c r="L264" s="8">
        <f>IF(K264="Wirksam",SUM(G264:H264)-I264,IF(K264="","","n.a."))</f>
        <v/>
      </c>
    </row>
    <row r="265" ht="21" customHeight="1">
      <c r="C265" s="14" t="n"/>
      <c r="D265" s="14" t="n"/>
      <c r="E265" s="14" t="n"/>
      <c r="F265" s="14" t="n"/>
      <c r="G265" s="16" t="n"/>
      <c r="H265" s="16" t="n"/>
      <c r="I265" s="16" t="n"/>
      <c r="J265" s="14" t="n"/>
      <c r="K265" s="10">
        <f>IF(COUNTA(C265:J265)=0,"",IF(OR(C265&lt;&gt;Steuerung!$F$6,D265&lt;1,D265&gt;12),"Periode prüfen",IF(D265&lt;=Steuerung!$F$8,"IST gesperrt",IF(OR(E265="",F265="",COUNT(G265:I265)&lt;&gt;3),"Angaben fehlen","Wirksam"))))</f>
        <v/>
      </c>
      <c r="L265" s="8">
        <f>IF(K265="Wirksam",SUM(G265:H265)-I265,IF(K265="","","n.a."))</f>
        <v/>
      </c>
    </row>
    <row r="266" ht="21" customHeight="1">
      <c r="C266" s="14" t="n"/>
      <c r="D266" s="14" t="n"/>
      <c r="E266" s="14" t="n"/>
      <c r="F266" s="14" t="n"/>
      <c r="G266" s="16" t="n"/>
      <c r="H266" s="16" t="n"/>
      <c r="I266" s="16" t="n"/>
      <c r="J266" s="14" t="n"/>
      <c r="K266" s="10">
        <f>IF(COUNTA(C266:J266)=0,"",IF(OR(C266&lt;&gt;Steuerung!$F$6,D266&lt;1,D266&gt;12),"Periode prüfen",IF(D266&lt;=Steuerung!$F$8,"IST gesperrt",IF(OR(E266="",F266="",COUNT(G266:I266)&lt;&gt;3),"Angaben fehlen","Wirksam"))))</f>
        <v/>
      </c>
      <c r="L266" s="8">
        <f>IF(K266="Wirksam",SUM(G266:H266)-I266,IF(K266="","","n.a."))</f>
        <v/>
      </c>
    </row>
    <row r="267" ht="21" customHeight="1">
      <c r="C267" s="14" t="n"/>
      <c r="D267" s="14" t="n"/>
      <c r="E267" s="14" t="n"/>
      <c r="F267" s="14" t="n"/>
      <c r="G267" s="16" t="n"/>
      <c r="H267" s="16" t="n"/>
      <c r="I267" s="16" t="n"/>
      <c r="J267" s="14" t="n"/>
      <c r="K267" s="10">
        <f>IF(COUNTA(C267:J267)=0,"",IF(OR(C267&lt;&gt;Steuerung!$F$6,D267&lt;1,D267&gt;12),"Periode prüfen",IF(D267&lt;=Steuerung!$F$8,"IST gesperrt",IF(OR(E267="",F267="",COUNT(G267:I267)&lt;&gt;3),"Angaben fehlen","Wirksam"))))</f>
        <v/>
      </c>
      <c r="L267" s="8">
        <f>IF(K267="Wirksam",SUM(G267:H267)-I267,IF(K267="","","n.a."))</f>
        <v/>
      </c>
    </row>
    <row r="268" ht="21" customHeight="1">
      <c r="C268" s="14" t="n"/>
      <c r="D268" s="14" t="n"/>
      <c r="E268" s="14" t="n"/>
      <c r="F268" s="14" t="n"/>
      <c r="G268" s="16" t="n"/>
      <c r="H268" s="16" t="n"/>
      <c r="I268" s="16" t="n"/>
      <c r="J268" s="14" t="n"/>
      <c r="K268" s="10">
        <f>IF(COUNTA(C268:J268)=0,"",IF(OR(C268&lt;&gt;Steuerung!$F$6,D268&lt;1,D268&gt;12),"Periode prüfen",IF(D268&lt;=Steuerung!$F$8,"IST gesperrt",IF(OR(E268="",F268="",COUNT(G268:I268)&lt;&gt;3),"Angaben fehlen","Wirksam"))))</f>
        <v/>
      </c>
      <c r="L268" s="8">
        <f>IF(K268="Wirksam",SUM(G268:H268)-I268,IF(K268="","","n.a."))</f>
        <v/>
      </c>
    </row>
    <row r="269" ht="21" customHeight="1">
      <c r="C269" s="14" t="n"/>
      <c r="D269" s="14" t="n"/>
      <c r="E269" s="14" t="n"/>
      <c r="F269" s="14" t="n"/>
      <c r="G269" s="16" t="n"/>
      <c r="H269" s="16" t="n"/>
      <c r="I269" s="16" t="n"/>
      <c r="J269" s="14" t="n"/>
      <c r="K269" s="10">
        <f>IF(COUNTA(C269:J269)=0,"",IF(OR(C269&lt;&gt;Steuerung!$F$6,D269&lt;1,D269&gt;12),"Periode prüfen",IF(D269&lt;=Steuerung!$F$8,"IST gesperrt",IF(OR(E269="",F269="",COUNT(G269:I269)&lt;&gt;3),"Angaben fehlen","Wirksam"))))</f>
        <v/>
      </c>
      <c r="L269" s="8">
        <f>IF(K269="Wirksam",SUM(G269:H269)-I269,IF(K269="","","n.a."))</f>
        <v/>
      </c>
    </row>
    <row r="270" ht="21" customHeight="1">
      <c r="C270" s="14" t="n"/>
      <c r="D270" s="14" t="n"/>
      <c r="E270" s="14" t="n"/>
      <c r="F270" s="14" t="n"/>
      <c r="G270" s="16" t="n"/>
      <c r="H270" s="16" t="n"/>
      <c r="I270" s="16" t="n"/>
      <c r="J270" s="14" t="n"/>
      <c r="K270" s="10">
        <f>IF(COUNTA(C270:J270)=0,"",IF(OR(C270&lt;&gt;Steuerung!$F$6,D270&lt;1,D270&gt;12),"Periode prüfen",IF(D270&lt;=Steuerung!$F$8,"IST gesperrt",IF(OR(E270="",F270="",COUNT(G270:I270)&lt;&gt;3),"Angaben fehlen","Wirksam"))))</f>
        <v/>
      </c>
      <c r="L270" s="8">
        <f>IF(K270="Wirksam",SUM(G270:H270)-I270,IF(K270="","","n.a."))</f>
        <v/>
      </c>
    </row>
    <row r="271" ht="21" customHeight="1">
      <c r="C271" s="14" t="n"/>
      <c r="D271" s="14" t="n"/>
      <c r="E271" s="14" t="n"/>
      <c r="F271" s="14" t="n"/>
      <c r="G271" s="16" t="n"/>
      <c r="H271" s="16" t="n"/>
      <c r="I271" s="16" t="n"/>
      <c r="J271" s="14" t="n"/>
      <c r="K271" s="10">
        <f>IF(COUNTA(C271:J271)=0,"",IF(OR(C271&lt;&gt;Steuerung!$F$6,D271&lt;1,D271&gt;12),"Periode prüfen",IF(D271&lt;=Steuerung!$F$8,"IST gesperrt",IF(OR(E271="",F271="",COUNT(G271:I271)&lt;&gt;3),"Angaben fehlen","Wirksam"))))</f>
        <v/>
      </c>
      <c r="L271" s="8">
        <f>IF(K271="Wirksam",SUM(G271:H271)-I271,IF(K271="","","n.a."))</f>
        <v/>
      </c>
    </row>
    <row r="272" ht="21" customHeight="1">
      <c r="C272" s="14" t="n"/>
      <c r="D272" s="14" t="n"/>
      <c r="E272" s="14" t="n"/>
      <c r="F272" s="14" t="n"/>
      <c r="G272" s="16" t="n"/>
      <c r="H272" s="16" t="n"/>
      <c r="I272" s="16" t="n"/>
      <c r="J272" s="14" t="n"/>
      <c r="K272" s="10">
        <f>IF(COUNTA(C272:J272)=0,"",IF(OR(C272&lt;&gt;Steuerung!$F$6,D272&lt;1,D272&gt;12),"Periode prüfen",IF(D272&lt;=Steuerung!$F$8,"IST gesperrt",IF(OR(E272="",F272="",COUNT(G272:I272)&lt;&gt;3),"Angaben fehlen","Wirksam"))))</f>
        <v/>
      </c>
      <c r="L272" s="8">
        <f>IF(K272="Wirksam",SUM(G272:H272)-I272,IF(K272="","","n.a."))</f>
        <v/>
      </c>
    </row>
    <row r="273" ht="21" customHeight="1">
      <c r="C273" s="14" t="n"/>
      <c r="D273" s="14" t="n"/>
      <c r="E273" s="14" t="n"/>
      <c r="F273" s="14" t="n"/>
      <c r="G273" s="16" t="n"/>
      <c r="H273" s="16" t="n"/>
      <c r="I273" s="16" t="n"/>
      <c r="J273" s="14" t="n"/>
      <c r="K273" s="10">
        <f>IF(COUNTA(C273:J273)=0,"",IF(OR(C273&lt;&gt;Steuerung!$F$6,D273&lt;1,D273&gt;12),"Periode prüfen",IF(D273&lt;=Steuerung!$F$8,"IST gesperrt",IF(OR(E273="",F273="",COUNT(G273:I273)&lt;&gt;3),"Angaben fehlen","Wirksam"))))</f>
        <v/>
      </c>
      <c r="L273" s="8">
        <f>IF(K273="Wirksam",SUM(G273:H273)-I273,IF(K273="","","n.a."))</f>
        <v/>
      </c>
    </row>
    <row r="274" ht="21" customHeight="1">
      <c r="C274" s="14" t="n"/>
      <c r="D274" s="14" t="n"/>
      <c r="E274" s="14" t="n"/>
      <c r="F274" s="14" t="n"/>
      <c r="G274" s="16" t="n"/>
      <c r="H274" s="16" t="n"/>
      <c r="I274" s="16" t="n"/>
      <c r="J274" s="14" t="n"/>
      <c r="K274" s="10">
        <f>IF(COUNTA(C274:J274)=0,"",IF(OR(C274&lt;&gt;Steuerung!$F$6,D274&lt;1,D274&gt;12),"Periode prüfen",IF(D274&lt;=Steuerung!$F$8,"IST gesperrt",IF(OR(E274="",F274="",COUNT(G274:I274)&lt;&gt;3),"Angaben fehlen","Wirksam"))))</f>
        <v/>
      </c>
      <c r="L274" s="8">
        <f>IF(K274="Wirksam",SUM(G274:H274)-I274,IF(K274="","","n.a."))</f>
        <v/>
      </c>
    </row>
    <row r="275" ht="21" customHeight="1">
      <c r="C275" s="14" t="n"/>
      <c r="D275" s="14" t="n"/>
      <c r="E275" s="14" t="n"/>
      <c r="F275" s="14" t="n"/>
      <c r="G275" s="16" t="n"/>
      <c r="H275" s="16" t="n"/>
      <c r="I275" s="16" t="n"/>
      <c r="J275" s="14" t="n"/>
      <c r="K275" s="10">
        <f>IF(COUNTA(C275:J275)=0,"",IF(OR(C275&lt;&gt;Steuerung!$F$6,D275&lt;1,D275&gt;12),"Periode prüfen",IF(D275&lt;=Steuerung!$F$8,"IST gesperrt",IF(OR(E275="",F275="",COUNT(G275:I275)&lt;&gt;3),"Angaben fehlen","Wirksam"))))</f>
        <v/>
      </c>
      <c r="L275" s="8">
        <f>IF(K275="Wirksam",SUM(G275:H275)-I275,IF(K275="","","n.a."))</f>
        <v/>
      </c>
    </row>
    <row r="276" ht="21" customHeight="1">
      <c r="C276" s="14" t="n"/>
      <c r="D276" s="14" t="n"/>
      <c r="E276" s="14" t="n"/>
      <c r="F276" s="14" t="n"/>
      <c r="G276" s="16" t="n"/>
      <c r="H276" s="16" t="n"/>
      <c r="I276" s="16" t="n"/>
      <c r="J276" s="14" t="n"/>
      <c r="K276" s="10">
        <f>IF(COUNTA(C276:J276)=0,"",IF(OR(C276&lt;&gt;Steuerung!$F$6,D276&lt;1,D276&gt;12),"Periode prüfen",IF(D276&lt;=Steuerung!$F$8,"IST gesperrt",IF(OR(E276="",F276="",COUNT(G276:I276)&lt;&gt;3),"Angaben fehlen","Wirksam"))))</f>
        <v/>
      </c>
      <c r="L276" s="8">
        <f>IF(K276="Wirksam",SUM(G276:H276)-I276,IF(K276="","","n.a."))</f>
        <v/>
      </c>
    </row>
    <row r="277" ht="21" customHeight="1">
      <c r="C277" s="14" t="n"/>
      <c r="D277" s="14" t="n"/>
      <c r="E277" s="14" t="n"/>
      <c r="F277" s="14" t="n"/>
      <c r="G277" s="16" t="n"/>
      <c r="H277" s="16" t="n"/>
      <c r="I277" s="16" t="n"/>
      <c r="J277" s="14" t="n"/>
      <c r="K277" s="10">
        <f>IF(COUNTA(C277:J277)=0,"",IF(OR(C277&lt;&gt;Steuerung!$F$6,D277&lt;1,D277&gt;12),"Periode prüfen",IF(D277&lt;=Steuerung!$F$8,"IST gesperrt",IF(OR(E277="",F277="",COUNT(G277:I277)&lt;&gt;3),"Angaben fehlen","Wirksam"))))</f>
        <v/>
      </c>
      <c r="L277" s="8">
        <f>IF(K277="Wirksam",SUM(G277:H277)-I277,IF(K277="","","n.a."))</f>
        <v/>
      </c>
    </row>
    <row r="278" ht="21" customHeight="1">
      <c r="C278" s="14" t="n"/>
      <c r="D278" s="14" t="n"/>
      <c r="E278" s="14" t="n"/>
      <c r="F278" s="14" t="n"/>
      <c r="G278" s="16" t="n"/>
      <c r="H278" s="16" t="n"/>
      <c r="I278" s="16" t="n"/>
      <c r="J278" s="14" t="n"/>
      <c r="K278" s="10">
        <f>IF(COUNTA(C278:J278)=0,"",IF(OR(C278&lt;&gt;Steuerung!$F$6,D278&lt;1,D278&gt;12),"Periode prüfen",IF(D278&lt;=Steuerung!$F$8,"IST gesperrt",IF(OR(E278="",F278="",COUNT(G278:I278)&lt;&gt;3),"Angaben fehlen","Wirksam"))))</f>
        <v/>
      </c>
      <c r="L278" s="8">
        <f>IF(K278="Wirksam",SUM(G278:H278)-I278,IF(K278="","","n.a."))</f>
        <v/>
      </c>
    </row>
    <row r="279" ht="21" customHeight="1">
      <c r="C279" s="14" t="n"/>
      <c r="D279" s="14" t="n"/>
      <c r="E279" s="14" t="n"/>
      <c r="F279" s="14" t="n"/>
      <c r="G279" s="16" t="n"/>
      <c r="H279" s="16" t="n"/>
      <c r="I279" s="16" t="n"/>
      <c r="J279" s="14" t="n"/>
      <c r="K279" s="10">
        <f>IF(COUNTA(C279:J279)=0,"",IF(OR(C279&lt;&gt;Steuerung!$F$6,D279&lt;1,D279&gt;12),"Periode prüfen",IF(D279&lt;=Steuerung!$F$8,"IST gesperrt",IF(OR(E279="",F279="",COUNT(G279:I279)&lt;&gt;3),"Angaben fehlen","Wirksam"))))</f>
        <v/>
      </c>
      <c r="L279" s="8">
        <f>IF(K279="Wirksam",SUM(G279:H279)-I279,IF(K279="","","n.a."))</f>
        <v/>
      </c>
    </row>
    <row r="280" ht="21" customHeight="1">
      <c r="C280" s="14" t="n"/>
      <c r="D280" s="14" t="n"/>
      <c r="E280" s="14" t="n"/>
      <c r="F280" s="14" t="n"/>
      <c r="G280" s="16" t="n"/>
      <c r="H280" s="16" t="n"/>
      <c r="I280" s="16" t="n"/>
      <c r="J280" s="14" t="n"/>
      <c r="K280" s="10">
        <f>IF(COUNTA(C280:J280)=0,"",IF(OR(C280&lt;&gt;Steuerung!$F$6,D280&lt;1,D280&gt;12),"Periode prüfen",IF(D280&lt;=Steuerung!$F$8,"IST gesperrt",IF(OR(E280="",F280="",COUNT(G280:I280)&lt;&gt;3),"Angaben fehlen","Wirksam"))))</f>
        <v/>
      </c>
      <c r="L280" s="8">
        <f>IF(K280="Wirksam",SUM(G280:H280)-I280,IF(K280="","","n.a."))</f>
        <v/>
      </c>
    </row>
    <row r="281" ht="21" customHeight="1">
      <c r="C281" s="14" t="n"/>
      <c r="D281" s="14" t="n"/>
      <c r="E281" s="14" t="n"/>
      <c r="F281" s="14" t="n"/>
      <c r="G281" s="16" t="n"/>
      <c r="H281" s="16" t="n"/>
      <c r="I281" s="16" t="n"/>
      <c r="J281" s="14" t="n"/>
      <c r="K281" s="10">
        <f>IF(COUNTA(C281:J281)=0,"",IF(OR(C281&lt;&gt;Steuerung!$F$6,D281&lt;1,D281&gt;12),"Periode prüfen",IF(D281&lt;=Steuerung!$F$8,"IST gesperrt",IF(OR(E281="",F281="",COUNT(G281:I281)&lt;&gt;3),"Angaben fehlen","Wirksam"))))</f>
        <v/>
      </c>
      <c r="L281" s="8">
        <f>IF(K281="Wirksam",SUM(G281:H281)-I281,IF(K281="","","n.a."))</f>
        <v/>
      </c>
    </row>
    <row r="282" ht="21" customHeight="1">
      <c r="C282" s="14" t="n"/>
      <c r="D282" s="14" t="n"/>
      <c r="E282" s="14" t="n"/>
      <c r="F282" s="14" t="n"/>
      <c r="G282" s="16" t="n"/>
      <c r="H282" s="16" t="n"/>
      <c r="I282" s="16" t="n"/>
      <c r="J282" s="14" t="n"/>
      <c r="K282" s="10">
        <f>IF(COUNTA(C282:J282)=0,"",IF(OR(C282&lt;&gt;Steuerung!$F$6,D282&lt;1,D282&gt;12),"Periode prüfen",IF(D282&lt;=Steuerung!$F$8,"IST gesperrt",IF(OR(E282="",F282="",COUNT(G282:I282)&lt;&gt;3),"Angaben fehlen","Wirksam"))))</f>
        <v/>
      </c>
      <c r="L282" s="8">
        <f>IF(K282="Wirksam",SUM(G282:H282)-I282,IF(K282="","","n.a."))</f>
        <v/>
      </c>
    </row>
    <row r="283" ht="21" customHeight="1">
      <c r="C283" s="14" t="n"/>
      <c r="D283" s="14" t="n"/>
      <c r="E283" s="14" t="n"/>
      <c r="F283" s="14" t="n"/>
      <c r="G283" s="16" t="n"/>
      <c r="H283" s="16" t="n"/>
      <c r="I283" s="16" t="n"/>
      <c r="J283" s="14" t="n"/>
      <c r="K283" s="10">
        <f>IF(COUNTA(C283:J283)=0,"",IF(OR(C283&lt;&gt;Steuerung!$F$6,D283&lt;1,D283&gt;12),"Periode prüfen",IF(D283&lt;=Steuerung!$F$8,"IST gesperrt",IF(OR(E283="",F283="",COUNT(G283:I283)&lt;&gt;3),"Angaben fehlen","Wirksam"))))</f>
        <v/>
      </c>
      <c r="L283" s="8">
        <f>IF(K283="Wirksam",SUM(G283:H283)-I283,IF(K283="","","n.a."))</f>
        <v/>
      </c>
    </row>
    <row r="284" ht="21" customHeight="1">
      <c r="C284" s="14" t="n"/>
      <c r="D284" s="14" t="n"/>
      <c r="E284" s="14" t="n"/>
      <c r="F284" s="14" t="n"/>
      <c r="G284" s="16" t="n"/>
      <c r="H284" s="16" t="n"/>
      <c r="I284" s="16" t="n"/>
      <c r="J284" s="14" t="n"/>
      <c r="K284" s="10">
        <f>IF(COUNTA(C284:J284)=0,"",IF(OR(C284&lt;&gt;Steuerung!$F$6,D284&lt;1,D284&gt;12),"Periode prüfen",IF(D284&lt;=Steuerung!$F$8,"IST gesperrt",IF(OR(E284="",F284="",COUNT(G284:I284)&lt;&gt;3),"Angaben fehlen","Wirksam"))))</f>
        <v/>
      </c>
      <c r="L284" s="8">
        <f>IF(K284="Wirksam",SUM(G284:H284)-I284,IF(K284="","","n.a."))</f>
        <v/>
      </c>
    </row>
    <row r="285" ht="21" customHeight="1">
      <c r="C285" s="14" t="n"/>
      <c r="D285" s="14" t="n"/>
      <c r="E285" s="14" t="n"/>
      <c r="F285" s="14" t="n"/>
      <c r="G285" s="16" t="n"/>
      <c r="H285" s="16" t="n"/>
      <c r="I285" s="16" t="n"/>
      <c r="J285" s="14" t="n"/>
      <c r="K285" s="10">
        <f>IF(COUNTA(C285:J285)=0,"",IF(OR(C285&lt;&gt;Steuerung!$F$6,D285&lt;1,D285&gt;12),"Periode prüfen",IF(D285&lt;=Steuerung!$F$8,"IST gesperrt",IF(OR(E285="",F285="",COUNT(G285:I285)&lt;&gt;3),"Angaben fehlen","Wirksam"))))</f>
        <v/>
      </c>
      <c r="L285" s="8">
        <f>IF(K285="Wirksam",SUM(G285:H285)-I285,IF(K285="","","n.a."))</f>
        <v/>
      </c>
    </row>
    <row r="286" ht="21" customHeight="1">
      <c r="C286" s="14" t="n"/>
      <c r="D286" s="14" t="n"/>
      <c r="E286" s="14" t="n"/>
      <c r="F286" s="14" t="n"/>
      <c r="G286" s="16" t="n"/>
      <c r="H286" s="16" t="n"/>
      <c r="I286" s="16" t="n"/>
      <c r="J286" s="14" t="n"/>
      <c r="K286" s="10">
        <f>IF(COUNTA(C286:J286)=0,"",IF(OR(C286&lt;&gt;Steuerung!$F$6,D286&lt;1,D286&gt;12),"Periode prüfen",IF(D286&lt;=Steuerung!$F$8,"IST gesperrt",IF(OR(E286="",F286="",COUNT(G286:I286)&lt;&gt;3),"Angaben fehlen","Wirksam"))))</f>
        <v/>
      </c>
      <c r="L286" s="8">
        <f>IF(K286="Wirksam",SUM(G286:H286)-I286,IF(K286="","","n.a."))</f>
        <v/>
      </c>
    </row>
    <row r="287" ht="21" customHeight="1">
      <c r="C287" s="14" t="n"/>
      <c r="D287" s="14" t="n"/>
      <c r="E287" s="14" t="n"/>
      <c r="F287" s="14" t="n"/>
      <c r="G287" s="16" t="n"/>
      <c r="H287" s="16" t="n"/>
      <c r="I287" s="16" t="n"/>
      <c r="J287" s="14" t="n"/>
      <c r="K287" s="10">
        <f>IF(COUNTA(C287:J287)=0,"",IF(OR(C287&lt;&gt;Steuerung!$F$6,D287&lt;1,D287&gt;12),"Periode prüfen",IF(D287&lt;=Steuerung!$F$8,"IST gesperrt",IF(OR(E287="",F287="",COUNT(G287:I287)&lt;&gt;3),"Angaben fehlen","Wirksam"))))</f>
        <v/>
      </c>
      <c r="L287" s="8">
        <f>IF(K287="Wirksam",SUM(G287:H287)-I287,IF(K287="","","n.a."))</f>
        <v/>
      </c>
    </row>
    <row r="288" ht="21" customHeight="1">
      <c r="C288" s="14" t="n"/>
      <c r="D288" s="14" t="n"/>
      <c r="E288" s="14" t="n"/>
      <c r="F288" s="14" t="n"/>
      <c r="G288" s="16" t="n"/>
      <c r="H288" s="16" t="n"/>
      <c r="I288" s="16" t="n"/>
      <c r="J288" s="14" t="n"/>
      <c r="K288" s="10">
        <f>IF(COUNTA(C288:J288)=0,"",IF(OR(C288&lt;&gt;Steuerung!$F$6,D288&lt;1,D288&gt;12),"Periode prüfen",IF(D288&lt;=Steuerung!$F$8,"IST gesperrt",IF(OR(E288="",F288="",COUNT(G288:I288)&lt;&gt;3),"Angaben fehlen","Wirksam"))))</f>
        <v/>
      </c>
      <c r="L288" s="8">
        <f>IF(K288="Wirksam",SUM(G288:H288)-I288,IF(K288="","","n.a."))</f>
        <v/>
      </c>
    </row>
    <row r="289" ht="21" customHeight="1">
      <c r="C289" s="14" t="n"/>
      <c r="D289" s="14" t="n"/>
      <c r="E289" s="14" t="n"/>
      <c r="F289" s="14" t="n"/>
      <c r="G289" s="16" t="n"/>
      <c r="H289" s="16" t="n"/>
      <c r="I289" s="16" t="n"/>
      <c r="J289" s="14" t="n"/>
      <c r="K289" s="10">
        <f>IF(COUNTA(C289:J289)=0,"",IF(OR(C289&lt;&gt;Steuerung!$F$6,D289&lt;1,D289&gt;12),"Periode prüfen",IF(D289&lt;=Steuerung!$F$8,"IST gesperrt",IF(OR(E289="",F289="",COUNT(G289:I289)&lt;&gt;3),"Angaben fehlen","Wirksam"))))</f>
        <v/>
      </c>
      <c r="L289" s="8">
        <f>IF(K289="Wirksam",SUM(G289:H289)-I289,IF(K289="","","n.a."))</f>
        <v/>
      </c>
    </row>
    <row r="290" ht="21" customHeight="1">
      <c r="C290" s="14" t="n"/>
      <c r="D290" s="14" t="n"/>
      <c r="E290" s="14" t="n"/>
      <c r="F290" s="14" t="n"/>
      <c r="G290" s="16" t="n"/>
      <c r="H290" s="16" t="n"/>
      <c r="I290" s="16" t="n"/>
      <c r="J290" s="14" t="n"/>
      <c r="K290" s="10">
        <f>IF(COUNTA(C290:J290)=0,"",IF(OR(C290&lt;&gt;Steuerung!$F$6,D290&lt;1,D290&gt;12),"Periode prüfen",IF(D290&lt;=Steuerung!$F$8,"IST gesperrt",IF(OR(E290="",F290="",COUNT(G290:I290)&lt;&gt;3),"Angaben fehlen","Wirksam"))))</f>
        <v/>
      </c>
      <c r="L290" s="8">
        <f>IF(K290="Wirksam",SUM(G290:H290)-I290,IF(K290="","","n.a."))</f>
        <v/>
      </c>
    </row>
    <row r="291" ht="21" customHeight="1">
      <c r="C291" s="14" t="n"/>
      <c r="D291" s="14" t="n"/>
      <c r="E291" s="14" t="n"/>
      <c r="F291" s="14" t="n"/>
      <c r="G291" s="16" t="n"/>
      <c r="H291" s="16" t="n"/>
      <c r="I291" s="16" t="n"/>
      <c r="J291" s="14" t="n"/>
      <c r="K291" s="10">
        <f>IF(COUNTA(C291:J291)=0,"",IF(OR(C291&lt;&gt;Steuerung!$F$6,D291&lt;1,D291&gt;12),"Periode prüfen",IF(D291&lt;=Steuerung!$F$8,"IST gesperrt",IF(OR(E291="",F291="",COUNT(G291:I291)&lt;&gt;3),"Angaben fehlen","Wirksam"))))</f>
        <v/>
      </c>
      <c r="L291" s="8">
        <f>IF(K291="Wirksam",SUM(G291:H291)-I291,IF(K291="","","n.a."))</f>
        <v/>
      </c>
    </row>
    <row r="292" ht="21" customHeight="1">
      <c r="C292" s="14" t="n"/>
      <c r="D292" s="14" t="n"/>
      <c r="E292" s="14" t="n"/>
      <c r="F292" s="14" t="n"/>
      <c r="G292" s="16" t="n"/>
      <c r="H292" s="16" t="n"/>
      <c r="I292" s="16" t="n"/>
      <c r="J292" s="14" t="n"/>
      <c r="K292" s="10">
        <f>IF(COUNTA(C292:J292)=0,"",IF(OR(C292&lt;&gt;Steuerung!$F$6,D292&lt;1,D292&gt;12),"Periode prüfen",IF(D292&lt;=Steuerung!$F$8,"IST gesperrt",IF(OR(E292="",F292="",COUNT(G292:I292)&lt;&gt;3),"Angaben fehlen","Wirksam"))))</f>
        <v/>
      </c>
      <c r="L292" s="8">
        <f>IF(K292="Wirksam",SUM(G292:H292)-I292,IF(K292="","","n.a."))</f>
        <v/>
      </c>
    </row>
    <row r="293" ht="21" customHeight="1">
      <c r="C293" s="14" t="n"/>
      <c r="D293" s="14" t="n"/>
      <c r="E293" s="14" t="n"/>
      <c r="F293" s="14" t="n"/>
      <c r="G293" s="16" t="n"/>
      <c r="H293" s="16" t="n"/>
      <c r="I293" s="16" t="n"/>
      <c r="J293" s="14" t="n"/>
      <c r="K293" s="10">
        <f>IF(COUNTA(C293:J293)=0,"",IF(OR(C293&lt;&gt;Steuerung!$F$6,D293&lt;1,D293&gt;12),"Periode prüfen",IF(D293&lt;=Steuerung!$F$8,"IST gesperrt",IF(OR(E293="",F293="",COUNT(G293:I293)&lt;&gt;3),"Angaben fehlen","Wirksam"))))</f>
        <v/>
      </c>
      <c r="L293" s="8">
        <f>IF(K293="Wirksam",SUM(G293:H293)-I293,IF(K293="","","n.a."))</f>
        <v/>
      </c>
    </row>
    <row r="294" ht="21" customHeight="1">
      <c r="C294" s="14" t="n"/>
      <c r="D294" s="14" t="n"/>
      <c r="E294" s="14" t="n"/>
      <c r="F294" s="14" t="n"/>
      <c r="G294" s="16" t="n"/>
      <c r="H294" s="16" t="n"/>
      <c r="I294" s="16" t="n"/>
      <c r="J294" s="14" t="n"/>
      <c r="K294" s="10">
        <f>IF(COUNTA(C294:J294)=0,"",IF(OR(C294&lt;&gt;Steuerung!$F$6,D294&lt;1,D294&gt;12),"Periode prüfen",IF(D294&lt;=Steuerung!$F$8,"IST gesperrt",IF(OR(E294="",F294="",COUNT(G294:I294)&lt;&gt;3),"Angaben fehlen","Wirksam"))))</f>
        <v/>
      </c>
      <c r="L294" s="8">
        <f>IF(K294="Wirksam",SUM(G294:H294)-I294,IF(K294="","","n.a."))</f>
        <v/>
      </c>
    </row>
    <row r="295" ht="21" customHeight="1">
      <c r="C295" s="14" t="n"/>
      <c r="D295" s="14" t="n"/>
      <c r="E295" s="14" t="n"/>
      <c r="F295" s="14" t="n"/>
      <c r="G295" s="16" t="n"/>
      <c r="H295" s="16" t="n"/>
      <c r="I295" s="16" t="n"/>
      <c r="J295" s="14" t="n"/>
      <c r="K295" s="10">
        <f>IF(COUNTA(C295:J295)=0,"",IF(OR(C295&lt;&gt;Steuerung!$F$6,D295&lt;1,D295&gt;12),"Periode prüfen",IF(D295&lt;=Steuerung!$F$8,"IST gesperrt",IF(OR(E295="",F295="",COUNT(G295:I295)&lt;&gt;3),"Angaben fehlen","Wirksam"))))</f>
        <v/>
      </c>
      <c r="L295" s="8">
        <f>IF(K295="Wirksam",SUM(G295:H295)-I295,IF(K295="","","n.a."))</f>
        <v/>
      </c>
    </row>
    <row r="296" ht="21" customHeight="1">
      <c r="C296" s="14" t="n"/>
      <c r="D296" s="14" t="n"/>
      <c r="E296" s="14" t="n"/>
      <c r="F296" s="14" t="n"/>
      <c r="G296" s="16" t="n"/>
      <c r="H296" s="16" t="n"/>
      <c r="I296" s="16" t="n"/>
      <c r="J296" s="14" t="n"/>
      <c r="K296" s="10">
        <f>IF(COUNTA(C296:J296)=0,"",IF(OR(C296&lt;&gt;Steuerung!$F$6,D296&lt;1,D296&gt;12),"Periode prüfen",IF(D296&lt;=Steuerung!$F$8,"IST gesperrt",IF(OR(E296="",F296="",COUNT(G296:I296)&lt;&gt;3),"Angaben fehlen","Wirksam"))))</f>
        <v/>
      </c>
      <c r="L296" s="8">
        <f>IF(K296="Wirksam",SUM(G296:H296)-I296,IF(K296="","","n.a."))</f>
        <v/>
      </c>
    </row>
    <row r="297" ht="21" customHeight="1">
      <c r="C297" s="14" t="n"/>
      <c r="D297" s="14" t="n"/>
      <c r="E297" s="14" t="n"/>
      <c r="F297" s="14" t="n"/>
      <c r="G297" s="16" t="n"/>
      <c r="H297" s="16" t="n"/>
      <c r="I297" s="16" t="n"/>
      <c r="J297" s="14" t="n"/>
      <c r="K297" s="10">
        <f>IF(COUNTA(C297:J297)=0,"",IF(OR(C297&lt;&gt;Steuerung!$F$6,D297&lt;1,D297&gt;12),"Periode prüfen",IF(D297&lt;=Steuerung!$F$8,"IST gesperrt",IF(OR(E297="",F297="",COUNT(G297:I297)&lt;&gt;3),"Angaben fehlen","Wirksam"))))</f>
        <v/>
      </c>
      <c r="L297" s="8">
        <f>IF(K297="Wirksam",SUM(G297:H297)-I297,IF(K297="","","n.a."))</f>
        <v/>
      </c>
    </row>
    <row r="298" ht="21" customHeight="1">
      <c r="C298" s="14" t="n"/>
      <c r="D298" s="14" t="n"/>
      <c r="E298" s="14" t="n"/>
      <c r="F298" s="14" t="n"/>
      <c r="G298" s="16" t="n"/>
      <c r="H298" s="16" t="n"/>
      <c r="I298" s="16" t="n"/>
      <c r="J298" s="14" t="n"/>
      <c r="K298" s="10">
        <f>IF(COUNTA(C298:J298)=0,"",IF(OR(C298&lt;&gt;Steuerung!$F$6,D298&lt;1,D298&gt;12),"Periode prüfen",IF(D298&lt;=Steuerung!$F$8,"IST gesperrt",IF(OR(E298="",F298="",COUNT(G298:I298)&lt;&gt;3),"Angaben fehlen","Wirksam"))))</f>
        <v/>
      </c>
      <c r="L298" s="8">
        <f>IF(K298="Wirksam",SUM(G298:H298)-I298,IF(K298="","","n.a."))</f>
        <v/>
      </c>
    </row>
    <row r="299" ht="21" customHeight="1">
      <c r="C299" s="14" t="n"/>
      <c r="D299" s="14" t="n"/>
      <c r="E299" s="14" t="n"/>
      <c r="F299" s="14" t="n"/>
      <c r="G299" s="16" t="n"/>
      <c r="H299" s="16" t="n"/>
      <c r="I299" s="16" t="n"/>
      <c r="J299" s="14" t="n"/>
      <c r="K299" s="10">
        <f>IF(COUNTA(C299:J299)=0,"",IF(OR(C299&lt;&gt;Steuerung!$F$6,D299&lt;1,D299&gt;12),"Periode prüfen",IF(D299&lt;=Steuerung!$F$8,"IST gesperrt",IF(OR(E299="",F299="",COUNT(G299:I299)&lt;&gt;3),"Angaben fehlen","Wirksam"))))</f>
        <v/>
      </c>
      <c r="L299" s="8">
        <f>IF(K299="Wirksam",SUM(G299:H299)-I299,IF(K299="","","n.a."))</f>
        <v/>
      </c>
    </row>
    <row r="300" ht="21" customHeight="1">
      <c r="C300" s="14" t="n"/>
      <c r="D300" s="14" t="n"/>
      <c r="E300" s="14" t="n"/>
      <c r="F300" s="14" t="n"/>
      <c r="G300" s="16" t="n"/>
      <c r="H300" s="16" t="n"/>
      <c r="I300" s="16" t="n"/>
      <c r="J300" s="14" t="n"/>
      <c r="K300" s="10">
        <f>IF(COUNTA(C300:J300)=0,"",IF(OR(C300&lt;&gt;Steuerung!$F$6,D300&lt;1,D300&gt;12),"Periode prüfen",IF(D300&lt;=Steuerung!$F$8,"IST gesperrt",IF(OR(E300="",F300="",COUNT(G300:I300)&lt;&gt;3),"Angaben fehlen","Wirksam"))))</f>
        <v/>
      </c>
      <c r="L300" s="8">
        <f>IF(K300="Wirksam",SUM(G300:H300)-I300,IF(K300="","","n.a."))</f>
        <v/>
      </c>
    </row>
    <row r="301" ht="21" customHeight="1">
      <c r="C301" s="14" t="n"/>
      <c r="D301" s="14" t="n"/>
      <c r="E301" s="14" t="n"/>
      <c r="F301" s="14" t="n"/>
      <c r="G301" s="16" t="n"/>
      <c r="H301" s="16" t="n"/>
      <c r="I301" s="16" t="n"/>
      <c r="J301" s="14" t="n"/>
      <c r="K301" s="10">
        <f>IF(COUNTA(C301:J301)=0,"",IF(OR(C301&lt;&gt;Steuerung!$F$6,D301&lt;1,D301&gt;12),"Periode prüfen",IF(D301&lt;=Steuerung!$F$8,"IST gesperrt",IF(OR(E301="",F301="",COUNT(G301:I301)&lt;&gt;3),"Angaben fehlen","Wirksam"))))</f>
        <v/>
      </c>
      <c r="L301" s="8">
        <f>IF(K301="Wirksam",SUM(G301:H301)-I301,IF(K301="","","n.a."))</f>
        <v/>
      </c>
    </row>
    <row r="302" ht="21" customHeight="1">
      <c r="C302" s="14" t="n"/>
      <c r="D302" s="14" t="n"/>
      <c r="E302" s="14" t="n"/>
      <c r="F302" s="14" t="n"/>
      <c r="G302" s="16" t="n"/>
      <c r="H302" s="16" t="n"/>
      <c r="I302" s="16" t="n"/>
      <c r="J302" s="14" t="n"/>
      <c r="K302" s="10">
        <f>IF(COUNTA(C302:J302)=0,"",IF(OR(C302&lt;&gt;Steuerung!$F$6,D302&lt;1,D302&gt;12),"Periode prüfen",IF(D302&lt;=Steuerung!$F$8,"IST gesperrt",IF(OR(E302="",F302="",COUNT(G302:I302)&lt;&gt;3),"Angaben fehlen","Wirksam"))))</f>
        <v/>
      </c>
      <c r="L302" s="8">
        <f>IF(K302="Wirksam",SUM(G302:H302)-I302,IF(K302="","","n.a."))</f>
        <v/>
      </c>
    </row>
    <row r="303" ht="21" customHeight="1">
      <c r="C303" s="14" t="n"/>
      <c r="D303" s="14" t="n"/>
      <c r="E303" s="14" t="n"/>
      <c r="F303" s="14" t="n"/>
      <c r="G303" s="16" t="n"/>
      <c r="H303" s="16" t="n"/>
      <c r="I303" s="16" t="n"/>
      <c r="J303" s="14" t="n"/>
      <c r="K303" s="10">
        <f>IF(COUNTA(C303:J303)=0,"",IF(OR(C303&lt;&gt;Steuerung!$F$6,D303&lt;1,D303&gt;12),"Periode prüfen",IF(D303&lt;=Steuerung!$F$8,"IST gesperrt",IF(OR(E303="",F303="",COUNT(G303:I303)&lt;&gt;3),"Angaben fehlen","Wirksam"))))</f>
        <v/>
      </c>
      <c r="L303" s="8">
        <f>IF(K303="Wirksam",SUM(G303:H303)-I303,IF(K303="","","n.a."))</f>
        <v/>
      </c>
    </row>
    <row r="304" ht="21" customHeight="1">
      <c r="C304" s="14" t="n"/>
      <c r="D304" s="14" t="n"/>
      <c r="E304" s="14" t="n"/>
      <c r="F304" s="14" t="n"/>
      <c r="G304" s="16" t="n"/>
      <c r="H304" s="16" t="n"/>
      <c r="I304" s="16" t="n"/>
      <c r="J304" s="14" t="n"/>
      <c r="K304" s="10">
        <f>IF(COUNTA(C304:J304)=0,"",IF(OR(C304&lt;&gt;Steuerung!$F$6,D304&lt;1,D304&gt;12),"Periode prüfen",IF(D304&lt;=Steuerung!$F$8,"IST gesperrt",IF(OR(E304="",F304="",COUNT(G304:I304)&lt;&gt;3),"Angaben fehlen","Wirksam"))))</f>
        <v/>
      </c>
      <c r="L304" s="8">
        <f>IF(K304="Wirksam",SUM(G304:H304)-I304,IF(K304="","","n.a."))</f>
        <v/>
      </c>
    </row>
    <row r="305" ht="21" customHeight="1">
      <c r="C305" s="14" t="n"/>
      <c r="D305" s="14" t="n"/>
      <c r="E305" s="14" t="n"/>
      <c r="F305" s="14" t="n"/>
      <c r="G305" s="16" t="n"/>
      <c r="H305" s="16" t="n"/>
      <c r="I305" s="16" t="n"/>
      <c r="J305" s="14" t="n"/>
      <c r="K305" s="10">
        <f>IF(COUNTA(C305:J305)=0,"",IF(OR(C305&lt;&gt;Steuerung!$F$6,D305&lt;1,D305&gt;12),"Periode prüfen",IF(D305&lt;=Steuerung!$F$8,"IST gesperrt",IF(OR(E305="",F305="",COUNT(G305:I305)&lt;&gt;3),"Angaben fehlen","Wirksam"))))</f>
        <v/>
      </c>
      <c r="L305" s="8">
        <f>IF(K305="Wirksam",SUM(G305:H305)-I305,IF(K305="","","n.a."))</f>
        <v/>
      </c>
    </row>
    <row r="306" ht="21" customHeight="1">
      <c r="C306" s="14" t="n"/>
      <c r="D306" s="14" t="n"/>
      <c r="E306" s="14" t="n"/>
      <c r="F306" s="14" t="n"/>
      <c r="G306" s="16" t="n"/>
      <c r="H306" s="16" t="n"/>
      <c r="I306" s="16" t="n"/>
      <c r="J306" s="14" t="n"/>
      <c r="K306" s="10">
        <f>IF(COUNTA(C306:J306)=0,"",IF(OR(C306&lt;&gt;Steuerung!$F$6,D306&lt;1,D306&gt;12),"Periode prüfen",IF(D306&lt;=Steuerung!$F$8,"IST gesperrt",IF(OR(E306="",F306="",COUNT(G306:I306)&lt;&gt;3),"Angaben fehlen","Wirksam"))))</f>
        <v/>
      </c>
      <c r="L306" s="8">
        <f>IF(K306="Wirksam",SUM(G306:H306)-I306,IF(K306="","","n.a."))</f>
        <v/>
      </c>
    </row>
    <row r="307" ht="21" customHeight="1">
      <c r="C307" s="14" t="n"/>
      <c r="D307" s="14" t="n"/>
      <c r="E307" s="14" t="n"/>
      <c r="F307" s="14" t="n"/>
      <c r="G307" s="16" t="n"/>
      <c r="H307" s="16" t="n"/>
      <c r="I307" s="16" t="n"/>
      <c r="J307" s="14" t="n"/>
      <c r="K307" s="10">
        <f>IF(COUNTA(C307:J307)=0,"",IF(OR(C307&lt;&gt;Steuerung!$F$6,D307&lt;1,D307&gt;12),"Periode prüfen",IF(D307&lt;=Steuerung!$F$8,"IST gesperrt",IF(OR(E307="",F307="",COUNT(G307:I307)&lt;&gt;3),"Angaben fehlen","Wirksam"))))</f>
        <v/>
      </c>
      <c r="L307" s="8">
        <f>IF(K307="Wirksam",SUM(G307:H307)-I307,IF(K307="","","n.a."))</f>
        <v/>
      </c>
    </row>
    <row r="308" ht="21" customHeight="1">
      <c r="C308" s="14" t="n"/>
      <c r="D308" s="14" t="n"/>
      <c r="E308" s="14" t="n"/>
      <c r="F308" s="14" t="n"/>
      <c r="G308" s="16" t="n"/>
      <c r="H308" s="16" t="n"/>
      <c r="I308" s="16" t="n"/>
      <c r="J308" s="14" t="n"/>
      <c r="K308" s="10">
        <f>IF(COUNTA(C308:J308)=0,"",IF(OR(C308&lt;&gt;Steuerung!$F$6,D308&lt;1,D308&gt;12),"Periode prüfen",IF(D308&lt;=Steuerung!$F$8,"IST gesperrt",IF(OR(E308="",F308="",COUNT(G308:I308)&lt;&gt;3),"Angaben fehlen","Wirksam"))))</f>
        <v/>
      </c>
      <c r="L308" s="8">
        <f>IF(K308="Wirksam",SUM(G308:H308)-I308,IF(K308="","","n.a."))</f>
        <v/>
      </c>
    </row>
    <row r="309" ht="21" customHeight="1">
      <c r="C309" s="14" t="n"/>
      <c r="D309" s="14" t="n"/>
      <c r="E309" s="14" t="n"/>
      <c r="F309" s="14" t="n"/>
      <c r="G309" s="16" t="n"/>
      <c r="H309" s="16" t="n"/>
      <c r="I309" s="16" t="n"/>
      <c r="J309" s="14" t="n"/>
      <c r="K309" s="10">
        <f>IF(COUNTA(C309:J309)=0,"",IF(OR(C309&lt;&gt;Steuerung!$F$6,D309&lt;1,D309&gt;12),"Periode prüfen",IF(D309&lt;=Steuerung!$F$8,"IST gesperrt",IF(OR(E309="",F309="",COUNT(G309:I309)&lt;&gt;3),"Angaben fehlen","Wirksam"))))</f>
        <v/>
      </c>
      <c r="L309" s="8">
        <f>IF(K309="Wirksam",SUM(G309:H309)-I309,IF(K309="","","n.a."))</f>
        <v/>
      </c>
    </row>
    <row r="310" ht="21" customHeight="1">
      <c r="C310" s="14" t="n"/>
      <c r="D310" s="14" t="n"/>
      <c r="E310" s="14" t="n"/>
      <c r="F310" s="14" t="n"/>
      <c r="G310" s="16" t="n"/>
      <c r="H310" s="16" t="n"/>
      <c r="I310" s="16" t="n"/>
      <c r="J310" s="14" t="n"/>
      <c r="K310" s="10">
        <f>IF(COUNTA(C310:J310)=0,"",IF(OR(C310&lt;&gt;Steuerung!$F$6,D310&lt;1,D310&gt;12),"Periode prüfen",IF(D310&lt;=Steuerung!$F$8,"IST gesperrt",IF(OR(E310="",F310="",COUNT(G310:I310)&lt;&gt;3),"Angaben fehlen","Wirksam"))))</f>
        <v/>
      </c>
      <c r="L310" s="8">
        <f>IF(K310="Wirksam",SUM(G310:H310)-I310,IF(K310="","","n.a."))</f>
        <v/>
      </c>
    </row>
    <row r="311" ht="21" customHeight="1">
      <c r="C311" s="14" t="n"/>
      <c r="D311" s="14" t="n"/>
      <c r="E311" s="14" t="n"/>
      <c r="F311" s="14" t="n"/>
      <c r="G311" s="16" t="n"/>
      <c r="H311" s="16" t="n"/>
      <c r="I311" s="16" t="n"/>
      <c r="J311" s="14" t="n"/>
      <c r="K311" s="10">
        <f>IF(COUNTA(C311:J311)=0,"",IF(OR(C311&lt;&gt;Steuerung!$F$6,D311&lt;1,D311&gt;12),"Periode prüfen",IF(D311&lt;=Steuerung!$F$8,"IST gesperrt",IF(OR(E311="",F311="",COUNT(G311:I311)&lt;&gt;3),"Angaben fehlen","Wirksam"))))</f>
        <v/>
      </c>
      <c r="L311" s="8">
        <f>IF(K311="Wirksam",SUM(G311:H311)-I311,IF(K311="","","n.a."))</f>
        <v/>
      </c>
    </row>
    <row r="312" ht="21" customHeight="1">
      <c r="C312" s="14" t="n"/>
      <c r="D312" s="14" t="n"/>
      <c r="E312" s="14" t="n"/>
      <c r="F312" s="14" t="n"/>
      <c r="G312" s="16" t="n"/>
      <c r="H312" s="16" t="n"/>
      <c r="I312" s="16" t="n"/>
      <c r="J312" s="14" t="n"/>
      <c r="K312" s="10">
        <f>IF(COUNTA(C312:J312)=0,"",IF(OR(C312&lt;&gt;Steuerung!$F$6,D312&lt;1,D312&gt;12),"Periode prüfen",IF(D312&lt;=Steuerung!$F$8,"IST gesperrt",IF(OR(E312="",F312="",COUNT(G312:I312)&lt;&gt;3),"Angaben fehlen","Wirksam"))))</f>
        <v/>
      </c>
      <c r="L312" s="8">
        <f>IF(K312="Wirksam",SUM(G312:H312)-I312,IF(K312="","","n.a."))</f>
        <v/>
      </c>
    </row>
    <row r="313" ht="21" customHeight="1">
      <c r="C313" s="14" t="n"/>
      <c r="D313" s="14" t="n"/>
      <c r="E313" s="14" t="n"/>
      <c r="F313" s="14" t="n"/>
      <c r="G313" s="16" t="n"/>
      <c r="H313" s="16" t="n"/>
      <c r="I313" s="16" t="n"/>
      <c r="J313" s="14" t="n"/>
      <c r="K313" s="10">
        <f>IF(COUNTA(C313:J313)=0,"",IF(OR(C313&lt;&gt;Steuerung!$F$6,D313&lt;1,D313&gt;12),"Periode prüfen",IF(D313&lt;=Steuerung!$F$8,"IST gesperrt",IF(OR(E313="",F313="",COUNT(G313:I313)&lt;&gt;3),"Angaben fehlen","Wirksam"))))</f>
        <v/>
      </c>
      <c r="L313" s="8">
        <f>IF(K313="Wirksam",SUM(G313:H313)-I313,IF(K313="","","n.a."))</f>
        <v/>
      </c>
    </row>
    <row r="314" ht="21" customHeight="1">
      <c r="C314" s="14" t="n"/>
      <c r="D314" s="14" t="n"/>
      <c r="E314" s="14" t="n"/>
      <c r="F314" s="14" t="n"/>
      <c r="G314" s="16" t="n"/>
      <c r="H314" s="16" t="n"/>
      <c r="I314" s="16" t="n"/>
      <c r="J314" s="14" t="n"/>
      <c r="K314" s="10">
        <f>IF(COUNTA(C314:J314)=0,"",IF(OR(C314&lt;&gt;Steuerung!$F$6,D314&lt;1,D314&gt;12),"Periode prüfen",IF(D314&lt;=Steuerung!$F$8,"IST gesperrt",IF(OR(E314="",F314="",COUNT(G314:I314)&lt;&gt;3),"Angaben fehlen","Wirksam"))))</f>
        <v/>
      </c>
      <c r="L314" s="8">
        <f>IF(K314="Wirksam",SUM(G314:H314)-I314,IF(K314="","","n.a."))</f>
        <v/>
      </c>
    </row>
    <row r="315" ht="21" customHeight="1">
      <c r="C315" s="14" t="n"/>
      <c r="D315" s="14" t="n"/>
      <c r="E315" s="14" t="n"/>
      <c r="F315" s="14" t="n"/>
      <c r="G315" s="16" t="n"/>
      <c r="H315" s="16" t="n"/>
      <c r="I315" s="16" t="n"/>
      <c r="J315" s="14" t="n"/>
      <c r="K315" s="10">
        <f>IF(COUNTA(C315:J315)=0,"",IF(OR(C315&lt;&gt;Steuerung!$F$6,D315&lt;1,D315&gt;12),"Periode prüfen",IF(D315&lt;=Steuerung!$F$8,"IST gesperrt",IF(OR(E315="",F315="",COUNT(G315:I315)&lt;&gt;3),"Angaben fehlen","Wirksam"))))</f>
        <v/>
      </c>
      <c r="L315" s="8">
        <f>IF(K315="Wirksam",SUM(G315:H315)-I315,IF(K315="","","n.a."))</f>
        <v/>
      </c>
    </row>
    <row r="316" ht="21" customHeight="1">
      <c r="C316" s="14" t="n"/>
      <c r="D316" s="14" t="n"/>
      <c r="E316" s="14" t="n"/>
      <c r="F316" s="14" t="n"/>
      <c r="G316" s="16" t="n"/>
      <c r="H316" s="16" t="n"/>
      <c r="I316" s="16" t="n"/>
      <c r="J316" s="14" t="n"/>
      <c r="K316" s="10">
        <f>IF(COUNTA(C316:J316)=0,"",IF(OR(C316&lt;&gt;Steuerung!$F$6,D316&lt;1,D316&gt;12),"Periode prüfen",IF(D316&lt;=Steuerung!$F$8,"IST gesperrt",IF(OR(E316="",F316="",COUNT(G316:I316)&lt;&gt;3),"Angaben fehlen","Wirksam"))))</f>
        <v/>
      </c>
      <c r="L316" s="8">
        <f>IF(K316="Wirksam",SUM(G316:H316)-I316,IF(K316="","","n.a."))</f>
        <v/>
      </c>
    </row>
    <row r="317" ht="21" customHeight="1">
      <c r="C317" s="14" t="n"/>
      <c r="D317" s="14" t="n"/>
      <c r="E317" s="14" t="n"/>
      <c r="F317" s="14" t="n"/>
      <c r="G317" s="16" t="n"/>
      <c r="H317" s="16" t="n"/>
      <c r="I317" s="16" t="n"/>
      <c r="J317" s="14" t="n"/>
      <c r="K317" s="10">
        <f>IF(COUNTA(C317:J317)=0,"",IF(OR(C317&lt;&gt;Steuerung!$F$6,D317&lt;1,D317&gt;12),"Periode prüfen",IF(D317&lt;=Steuerung!$F$8,"IST gesperrt",IF(OR(E317="",F317="",COUNT(G317:I317)&lt;&gt;3),"Angaben fehlen","Wirksam"))))</f>
        <v/>
      </c>
      <c r="L317" s="8">
        <f>IF(K317="Wirksam",SUM(G317:H317)-I317,IF(K317="","","n.a."))</f>
        <v/>
      </c>
    </row>
    <row r="318" ht="21" customHeight="1">
      <c r="C318" s="14" t="n"/>
      <c r="D318" s="14" t="n"/>
      <c r="E318" s="14" t="n"/>
      <c r="F318" s="14" t="n"/>
      <c r="G318" s="16" t="n"/>
      <c r="H318" s="16" t="n"/>
      <c r="I318" s="16" t="n"/>
      <c r="J318" s="14" t="n"/>
      <c r="K318" s="10">
        <f>IF(COUNTA(C318:J318)=0,"",IF(OR(C318&lt;&gt;Steuerung!$F$6,D318&lt;1,D318&gt;12),"Periode prüfen",IF(D318&lt;=Steuerung!$F$8,"IST gesperrt",IF(OR(E318="",F318="",COUNT(G318:I318)&lt;&gt;3),"Angaben fehlen","Wirksam"))))</f>
        <v/>
      </c>
      <c r="L318" s="8">
        <f>IF(K318="Wirksam",SUM(G318:H318)-I318,IF(K318="","","n.a."))</f>
        <v/>
      </c>
    </row>
    <row r="319" ht="21" customHeight="1">
      <c r="C319" s="14" t="n"/>
      <c r="D319" s="14" t="n"/>
      <c r="E319" s="14" t="n"/>
      <c r="F319" s="14" t="n"/>
      <c r="G319" s="16" t="n"/>
      <c r="H319" s="16" t="n"/>
      <c r="I319" s="16" t="n"/>
      <c r="J319" s="14" t="n"/>
      <c r="K319" s="10">
        <f>IF(COUNTA(C319:J319)=0,"",IF(OR(C319&lt;&gt;Steuerung!$F$6,D319&lt;1,D319&gt;12),"Periode prüfen",IF(D319&lt;=Steuerung!$F$8,"IST gesperrt",IF(OR(E319="",F319="",COUNT(G319:I319)&lt;&gt;3),"Angaben fehlen","Wirksam"))))</f>
        <v/>
      </c>
      <c r="L319" s="8">
        <f>IF(K319="Wirksam",SUM(G319:H319)-I319,IF(K319="","","n.a."))</f>
        <v/>
      </c>
    </row>
    <row r="320" ht="21" customHeight="1">
      <c r="C320" s="14" t="n"/>
      <c r="D320" s="14" t="n"/>
      <c r="E320" s="14" t="n"/>
      <c r="F320" s="14" t="n"/>
      <c r="G320" s="16" t="n"/>
      <c r="H320" s="16" t="n"/>
      <c r="I320" s="16" t="n"/>
      <c r="J320" s="14" t="n"/>
      <c r="K320" s="10">
        <f>IF(COUNTA(C320:J320)=0,"",IF(OR(C320&lt;&gt;Steuerung!$F$6,D320&lt;1,D320&gt;12),"Periode prüfen",IF(D320&lt;=Steuerung!$F$8,"IST gesperrt",IF(OR(E320="",F320="",COUNT(G320:I320)&lt;&gt;3),"Angaben fehlen","Wirksam"))))</f>
        <v/>
      </c>
      <c r="L320" s="8">
        <f>IF(K320="Wirksam",SUM(G320:H320)-I320,IF(K320="","","n.a."))</f>
        <v/>
      </c>
    </row>
    <row r="321" ht="21" customHeight="1">
      <c r="C321" s="14" t="n"/>
      <c r="D321" s="14" t="n"/>
      <c r="E321" s="14" t="n"/>
      <c r="F321" s="14" t="n"/>
      <c r="G321" s="16" t="n"/>
      <c r="H321" s="16" t="n"/>
      <c r="I321" s="16" t="n"/>
      <c r="J321" s="14" t="n"/>
      <c r="K321" s="10">
        <f>IF(COUNTA(C321:J321)=0,"",IF(OR(C321&lt;&gt;Steuerung!$F$6,D321&lt;1,D321&gt;12),"Periode prüfen",IF(D321&lt;=Steuerung!$F$8,"IST gesperrt",IF(OR(E321="",F321="",COUNT(G321:I321)&lt;&gt;3),"Angaben fehlen","Wirksam"))))</f>
        <v/>
      </c>
      <c r="L321" s="8">
        <f>IF(K321="Wirksam",SUM(G321:H321)-I321,IF(K321="","","n.a."))</f>
        <v/>
      </c>
    </row>
    <row r="322" ht="21" customHeight="1">
      <c r="C322" s="14" t="n"/>
      <c r="D322" s="14" t="n"/>
      <c r="E322" s="14" t="n"/>
      <c r="F322" s="14" t="n"/>
      <c r="G322" s="16" t="n"/>
      <c r="H322" s="16" t="n"/>
      <c r="I322" s="16" t="n"/>
      <c r="J322" s="14" t="n"/>
      <c r="K322" s="10">
        <f>IF(COUNTA(C322:J322)=0,"",IF(OR(C322&lt;&gt;Steuerung!$F$6,D322&lt;1,D322&gt;12),"Periode prüfen",IF(D322&lt;=Steuerung!$F$8,"IST gesperrt",IF(OR(E322="",F322="",COUNT(G322:I322)&lt;&gt;3),"Angaben fehlen","Wirksam"))))</f>
        <v/>
      </c>
      <c r="L322" s="8">
        <f>IF(K322="Wirksam",SUM(G322:H322)-I322,IF(K322="","","n.a."))</f>
        <v/>
      </c>
    </row>
    <row r="323" ht="21" customHeight="1">
      <c r="C323" s="14" t="n"/>
      <c r="D323" s="14" t="n"/>
      <c r="E323" s="14" t="n"/>
      <c r="F323" s="14" t="n"/>
      <c r="G323" s="16" t="n"/>
      <c r="H323" s="16" t="n"/>
      <c r="I323" s="16" t="n"/>
      <c r="J323" s="14" t="n"/>
      <c r="K323" s="10">
        <f>IF(COUNTA(C323:J323)=0,"",IF(OR(C323&lt;&gt;Steuerung!$F$6,D323&lt;1,D323&gt;12),"Periode prüfen",IF(D323&lt;=Steuerung!$F$8,"IST gesperrt",IF(OR(E323="",F323="",COUNT(G323:I323)&lt;&gt;3),"Angaben fehlen","Wirksam"))))</f>
        <v/>
      </c>
      <c r="L323" s="8">
        <f>IF(K323="Wirksam",SUM(G323:H323)-I323,IF(K323="","","n.a."))</f>
        <v/>
      </c>
    </row>
    <row r="324" ht="21" customHeight="1">
      <c r="C324" s="14" t="n"/>
      <c r="D324" s="14" t="n"/>
      <c r="E324" s="14" t="n"/>
      <c r="F324" s="14" t="n"/>
      <c r="G324" s="16" t="n"/>
      <c r="H324" s="16" t="n"/>
      <c r="I324" s="16" t="n"/>
      <c r="J324" s="14" t="n"/>
      <c r="K324" s="10">
        <f>IF(COUNTA(C324:J324)=0,"",IF(OR(C324&lt;&gt;Steuerung!$F$6,D324&lt;1,D324&gt;12),"Periode prüfen",IF(D324&lt;=Steuerung!$F$8,"IST gesperrt",IF(OR(E324="",F324="",COUNT(G324:I324)&lt;&gt;3),"Angaben fehlen","Wirksam"))))</f>
        <v/>
      </c>
      <c r="L324" s="8">
        <f>IF(K324="Wirksam",SUM(G324:H324)-I324,IF(K324="","","n.a."))</f>
        <v/>
      </c>
    </row>
    <row r="325" ht="21" customHeight="1">
      <c r="C325" s="14" t="n"/>
      <c r="D325" s="14" t="n"/>
      <c r="E325" s="14" t="n"/>
      <c r="F325" s="14" t="n"/>
      <c r="G325" s="16" t="n"/>
      <c r="H325" s="16" t="n"/>
      <c r="I325" s="16" t="n"/>
      <c r="J325" s="14" t="n"/>
      <c r="K325" s="10">
        <f>IF(COUNTA(C325:J325)=0,"",IF(OR(C325&lt;&gt;Steuerung!$F$6,D325&lt;1,D325&gt;12),"Periode prüfen",IF(D325&lt;=Steuerung!$F$8,"IST gesperrt",IF(OR(E325="",F325="",COUNT(G325:I325)&lt;&gt;3),"Angaben fehlen","Wirksam"))))</f>
        <v/>
      </c>
      <c r="L325" s="8">
        <f>IF(K325="Wirksam",SUM(G325:H325)-I325,IF(K325="","","n.a."))</f>
        <v/>
      </c>
    </row>
    <row r="326" ht="21" customHeight="1">
      <c r="C326" s="14" t="n"/>
      <c r="D326" s="14" t="n"/>
      <c r="E326" s="14" t="n"/>
      <c r="F326" s="14" t="n"/>
      <c r="G326" s="16" t="n"/>
      <c r="H326" s="16" t="n"/>
      <c r="I326" s="16" t="n"/>
      <c r="J326" s="14" t="n"/>
      <c r="K326" s="10">
        <f>IF(COUNTA(C326:J326)=0,"",IF(OR(C326&lt;&gt;Steuerung!$F$6,D326&lt;1,D326&gt;12),"Periode prüfen",IF(D326&lt;=Steuerung!$F$8,"IST gesperrt",IF(OR(E326="",F326="",COUNT(G326:I326)&lt;&gt;3),"Angaben fehlen","Wirksam"))))</f>
        <v/>
      </c>
      <c r="L326" s="8">
        <f>IF(K326="Wirksam",SUM(G326:H326)-I326,IF(K326="","","n.a."))</f>
        <v/>
      </c>
    </row>
    <row r="327" ht="21" customHeight="1">
      <c r="C327" s="14" t="n"/>
      <c r="D327" s="14" t="n"/>
      <c r="E327" s="14" t="n"/>
      <c r="F327" s="14" t="n"/>
      <c r="G327" s="16" t="n"/>
      <c r="H327" s="16" t="n"/>
      <c r="I327" s="16" t="n"/>
      <c r="J327" s="14" t="n"/>
      <c r="K327" s="10">
        <f>IF(COUNTA(C327:J327)=0,"",IF(OR(C327&lt;&gt;Steuerung!$F$6,D327&lt;1,D327&gt;12),"Periode prüfen",IF(D327&lt;=Steuerung!$F$8,"IST gesperrt",IF(OR(E327="",F327="",COUNT(G327:I327)&lt;&gt;3),"Angaben fehlen","Wirksam"))))</f>
        <v/>
      </c>
      <c r="L327" s="8">
        <f>IF(K327="Wirksam",SUM(G327:H327)-I327,IF(K327="","","n.a."))</f>
        <v/>
      </c>
    </row>
    <row r="328" ht="21" customHeight="1">
      <c r="C328" s="14" t="n"/>
      <c r="D328" s="14" t="n"/>
      <c r="E328" s="14" t="n"/>
      <c r="F328" s="14" t="n"/>
      <c r="G328" s="16" t="n"/>
      <c r="H328" s="16" t="n"/>
      <c r="I328" s="16" t="n"/>
      <c r="J328" s="14" t="n"/>
      <c r="K328" s="10">
        <f>IF(COUNTA(C328:J328)=0,"",IF(OR(C328&lt;&gt;Steuerung!$F$6,D328&lt;1,D328&gt;12),"Periode prüfen",IF(D328&lt;=Steuerung!$F$8,"IST gesperrt",IF(OR(E328="",F328="",COUNT(G328:I328)&lt;&gt;3),"Angaben fehlen","Wirksam"))))</f>
        <v/>
      </c>
      <c r="L328" s="8">
        <f>IF(K328="Wirksam",SUM(G328:H328)-I328,IF(K328="","","n.a."))</f>
        <v/>
      </c>
    </row>
    <row r="329" ht="21" customHeight="1">
      <c r="C329" s="14" t="n"/>
      <c r="D329" s="14" t="n"/>
      <c r="E329" s="14" t="n"/>
      <c r="F329" s="14" t="n"/>
      <c r="G329" s="16" t="n"/>
      <c r="H329" s="16" t="n"/>
      <c r="I329" s="16" t="n"/>
      <c r="J329" s="14" t="n"/>
      <c r="K329" s="10">
        <f>IF(COUNTA(C329:J329)=0,"",IF(OR(C329&lt;&gt;Steuerung!$F$6,D329&lt;1,D329&gt;12),"Periode prüfen",IF(D329&lt;=Steuerung!$F$8,"IST gesperrt",IF(OR(E329="",F329="",COUNT(G329:I329)&lt;&gt;3),"Angaben fehlen","Wirksam"))))</f>
        <v/>
      </c>
      <c r="L329" s="8">
        <f>IF(K329="Wirksam",SUM(G329:H329)-I329,IF(K329="","","n.a."))</f>
        <v/>
      </c>
    </row>
    <row r="330" ht="21" customHeight="1">
      <c r="C330" s="14" t="n"/>
      <c r="D330" s="14" t="n"/>
      <c r="E330" s="14" t="n"/>
      <c r="F330" s="14" t="n"/>
      <c r="G330" s="16" t="n"/>
      <c r="H330" s="16" t="n"/>
      <c r="I330" s="16" t="n"/>
      <c r="J330" s="14" t="n"/>
      <c r="K330" s="10">
        <f>IF(COUNTA(C330:J330)=0,"",IF(OR(C330&lt;&gt;Steuerung!$F$6,D330&lt;1,D330&gt;12),"Periode prüfen",IF(D330&lt;=Steuerung!$F$8,"IST gesperrt",IF(OR(E330="",F330="",COUNT(G330:I330)&lt;&gt;3),"Angaben fehlen","Wirksam"))))</f>
        <v/>
      </c>
      <c r="L330" s="8">
        <f>IF(K330="Wirksam",SUM(G330:H330)-I330,IF(K330="","","n.a."))</f>
        <v/>
      </c>
    </row>
    <row r="331" ht="21" customHeight="1">
      <c r="C331" s="14" t="n"/>
      <c r="D331" s="14" t="n"/>
      <c r="E331" s="14" t="n"/>
      <c r="F331" s="14" t="n"/>
      <c r="G331" s="16" t="n"/>
      <c r="H331" s="16" t="n"/>
      <c r="I331" s="16" t="n"/>
      <c r="J331" s="14" t="n"/>
      <c r="K331" s="10">
        <f>IF(COUNTA(C331:J331)=0,"",IF(OR(C331&lt;&gt;Steuerung!$F$6,D331&lt;1,D331&gt;12),"Periode prüfen",IF(D331&lt;=Steuerung!$F$8,"IST gesperrt",IF(OR(E331="",F331="",COUNT(G331:I331)&lt;&gt;3),"Angaben fehlen","Wirksam"))))</f>
        <v/>
      </c>
      <c r="L331" s="8">
        <f>IF(K331="Wirksam",SUM(G331:H331)-I331,IF(K331="","","n.a."))</f>
        <v/>
      </c>
    </row>
    <row r="332" ht="21" customHeight="1">
      <c r="C332" s="14" t="n"/>
      <c r="D332" s="14" t="n"/>
      <c r="E332" s="14" t="n"/>
      <c r="F332" s="14" t="n"/>
      <c r="G332" s="16" t="n"/>
      <c r="H332" s="16" t="n"/>
      <c r="I332" s="16" t="n"/>
      <c r="J332" s="14" t="n"/>
      <c r="K332" s="10">
        <f>IF(COUNTA(C332:J332)=0,"",IF(OR(C332&lt;&gt;Steuerung!$F$6,D332&lt;1,D332&gt;12),"Periode prüfen",IF(D332&lt;=Steuerung!$F$8,"IST gesperrt",IF(OR(E332="",F332="",COUNT(G332:I332)&lt;&gt;3),"Angaben fehlen","Wirksam"))))</f>
        <v/>
      </c>
      <c r="L332" s="8">
        <f>IF(K332="Wirksam",SUM(G332:H332)-I332,IF(K332="","","n.a."))</f>
        <v/>
      </c>
    </row>
    <row r="333" ht="21" customHeight="1">
      <c r="C333" s="14" t="n"/>
      <c r="D333" s="14" t="n"/>
      <c r="E333" s="14" t="n"/>
      <c r="F333" s="14" t="n"/>
      <c r="G333" s="16" t="n"/>
      <c r="H333" s="16" t="n"/>
      <c r="I333" s="16" t="n"/>
      <c r="J333" s="14" t="n"/>
      <c r="K333" s="10">
        <f>IF(COUNTA(C333:J333)=0,"",IF(OR(C333&lt;&gt;Steuerung!$F$6,D333&lt;1,D333&gt;12),"Periode prüfen",IF(D333&lt;=Steuerung!$F$8,"IST gesperrt",IF(OR(E333="",F333="",COUNT(G333:I333)&lt;&gt;3),"Angaben fehlen","Wirksam"))))</f>
        <v/>
      </c>
      <c r="L333" s="8">
        <f>IF(K333="Wirksam",SUM(G333:H333)-I333,IF(K333="","","n.a."))</f>
        <v/>
      </c>
    </row>
    <row r="334" ht="21" customHeight="1">
      <c r="C334" s="14" t="n"/>
      <c r="D334" s="14" t="n"/>
      <c r="E334" s="14" t="n"/>
      <c r="F334" s="14" t="n"/>
      <c r="G334" s="16" t="n"/>
      <c r="H334" s="16" t="n"/>
      <c r="I334" s="16" t="n"/>
      <c r="J334" s="14" t="n"/>
      <c r="K334" s="10">
        <f>IF(COUNTA(C334:J334)=0,"",IF(OR(C334&lt;&gt;Steuerung!$F$6,D334&lt;1,D334&gt;12),"Periode prüfen",IF(D334&lt;=Steuerung!$F$8,"IST gesperrt",IF(OR(E334="",F334="",COUNT(G334:I334)&lt;&gt;3),"Angaben fehlen","Wirksam"))))</f>
        <v/>
      </c>
      <c r="L334" s="8">
        <f>IF(K334="Wirksam",SUM(G334:H334)-I334,IF(K334="","","n.a."))</f>
        <v/>
      </c>
    </row>
    <row r="335" ht="21" customHeight="1">
      <c r="C335" s="14" t="n"/>
      <c r="D335" s="14" t="n"/>
      <c r="E335" s="14" t="n"/>
      <c r="F335" s="14" t="n"/>
      <c r="G335" s="16" t="n"/>
      <c r="H335" s="16" t="n"/>
      <c r="I335" s="16" t="n"/>
      <c r="J335" s="14" t="n"/>
      <c r="K335" s="10">
        <f>IF(COUNTA(C335:J335)=0,"",IF(OR(C335&lt;&gt;Steuerung!$F$6,D335&lt;1,D335&gt;12),"Periode prüfen",IF(D335&lt;=Steuerung!$F$8,"IST gesperrt",IF(OR(E335="",F335="",COUNT(G335:I335)&lt;&gt;3),"Angaben fehlen","Wirksam"))))</f>
        <v/>
      </c>
      <c r="L335" s="8">
        <f>IF(K335="Wirksam",SUM(G335:H335)-I335,IF(K335="","","n.a."))</f>
        <v/>
      </c>
    </row>
    <row r="336" ht="21" customHeight="1">
      <c r="C336" s="14" t="n"/>
      <c r="D336" s="14" t="n"/>
      <c r="E336" s="14" t="n"/>
      <c r="F336" s="14" t="n"/>
      <c r="G336" s="16" t="n"/>
      <c r="H336" s="16" t="n"/>
      <c r="I336" s="16" t="n"/>
      <c r="J336" s="14" t="n"/>
      <c r="K336" s="10">
        <f>IF(COUNTA(C336:J336)=0,"",IF(OR(C336&lt;&gt;Steuerung!$F$6,D336&lt;1,D336&gt;12),"Periode prüfen",IF(D336&lt;=Steuerung!$F$8,"IST gesperrt",IF(OR(E336="",F336="",COUNT(G336:I336)&lt;&gt;3),"Angaben fehlen","Wirksam"))))</f>
        <v/>
      </c>
      <c r="L336" s="8">
        <f>IF(K336="Wirksam",SUM(G336:H336)-I336,IF(K336="","","n.a."))</f>
        <v/>
      </c>
    </row>
    <row r="337" ht="21" customHeight="1">
      <c r="C337" s="14" t="n"/>
      <c r="D337" s="14" t="n"/>
      <c r="E337" s="14" t="n"/>
      <c r="F337" s="14" t="n"/>
      <c r="G337" s="16" t="n"/>
      <c r="H337" s="16" t="n"/>
      <c r="I337" s="16" t="n"/>
      <c r="J337" s="14" t="n"/>
      <c r="K337" s="10">
        <f>IF(COUNTA(C337:J337)=0,"",IF(OR(C337&lt;&gt;Steuerung!$F$6,D337&lt;1,D337&gt;12),"Periode prüfen",IF(D337&lt;=Steuerung!$F$8,"IST gesperrt",IF(OR(E337="",F337="",COUNT(G337:I337)&lt;&gt;3),"Angaben fehlen","Wirksam"))))</f>
        <v/>
      </c>
      <c r="L337" s="8">
        <f>IF(K337="Wirksam",SUM(G337:H337)-I337,IF(K337="","","n.a."))</f>
        <v/>
      </c>
    </row>
    <row r="338" ht="21" customHeight="1">
      <c r="C338" s="14" t="n"/>
      <c r="D338" s="14" t="n"/>
      <c r="E338" s="14" t="n"/>
      <c r="F338" s="14" t="n"/>
      <c r="G338" s="16" t="n"/>
      <c r="H338" s="16" t="n"/>
      <c r="I338" s="16" t="n"/>
      <c r="J338" s="14" t="n"/>
      <c r="K338" s="10">
        <f>IF(COUNTA(C338:J338)=0,"",IF(OR(C338&lt;&gt;Steuerung!$F$6,D338&lt;1,D338&gt;12),"Periode prüfen",IF(D338&lt;=Steuerung!$F$8,"IST gesperrt",IF(OR(E338="",F338="",COUNT(G338:I338)&lt;&gt;3),"Angaben fehlen","Wirksam"))))</f>
        <v/>
      </c>
      <c r="L338" s="8">
        <f>IF(K338="Wirksam",SUM(G338:H338)-I338,IF(K338="","","n.a."))</f>
        <v/>
      </c>
    </row>
    <row r="339" ht="21" customHeight="1">
      <c r="C339" s="14" t="n"/>
      <c r="D339" s="14" t="n"/>
      <c r="E339" s="14" t="n"/>
      <c r="F339" s="14" t="n"/>
      <c r="G339" s="16" t="n"/>
      <c r="H339" s="16" t="n"/>
      <c r="I339" s="16" t="n"/>
      <c r="J339" s="14" t="n"/>
      <c r="K339" s="10">
        <f>IF(COUNTA(C339:J339)=0,"",IF(OR(C339&lt;&gt;Steuerung!$F$6,D339&lt;1,D339&gt;12),"Periode prüfen",IF(D339&lt;=Steuerung!$F$8,"IST gesperrt",IF(OR(E339="",F339="",COUNT(G339:I339)&lt;&gt;3),"Angaben fehlen","Wirksam"))))</f>
        <v/>
      </c>
      <c r="L339" s="8">
        <f>IF(K339="Wirksam",SUM(G339:H339)-I339,IF(K339="","","n.a."))</f>
        <v/>
      </c>
    </row>
    <row r="340" ht="21" customHeight="1">
      <c r="C340" s="14" t="n"/>
      <c r="D340" s="14" t="n"/>
      <c r="E340" s="14" t="n"/>
      <c r="F340" s="14" t="n"/>
      <c r="G340" s="16" t="n"/>
      <c r="H340" s="16" t="n"/>
      <c r="I340" s="16" t="n"/>
      <c r="J340" s="14" t="n"/>
      <c r="K340" s="10">
        <f>IF(COUNTA(C340:J340)=0,"",IF(OR(C340&lt;&gt;Steuerung!$F$6,D340&lt;1,D340&gt;12),"Periode prüfen",IF(D340&lt;=Steuerung!$F$8,"IST gesperrt",IF(OR(E340="",F340="",COUNT(G340:I340)&lt;&gt;3),"Angaben fehlen","Wirksam"))))</f>
        <v/>
      </c>
      <c r="L340" s="8">
        <f>IF(K340="Wirksam",SUM(G340:H340)-I340,IF(K340="","","n.a."))</f>
        <v/>
      </c>
    </row>
    <row r="341" ht="21" customHeight="1">
      <c r="C341" s="14" t="n"/>
      <c r="D341" s="14" t="n"/>
      <c r="E341" s="14" t="n"/>
      <c r="F341" s="14" t="n"/>
      <c r="G341" s="16" t="n"/>
      <c r="H341" s="16" t="n"/>
      <c r="I341" s="16" t="n"/>
      <c r="J341" s="14" t="n"/>
      <c r="K341" s="10">
        <f>IF(COUNTA(C341:J341)=0,"",IF(OR(C341&lt;&gt;Steuerung!$F$6,D341&lt;1,D341&gt;12),"Periode prüfen",IF(D341&lt;=Steuerung!$F$8,"IST gesperrt",IF(OR(E341="",F341="",COUNT(G341:I341)&lt;&gt;3),"Angaben fehlen","Wirksam"))))</f>
        <v/>
      </c>
      <c r="L341" s="8">
        <f>IF(K341="Wirksam",SUM(G341:H341)-I341,IF(K341="","","n.a."))</f>
        <v/>
      </c>
    </row>
    <row r="342" ht="21" customHeight="1">
      <c r="C342" s="14" t="n"/>
      <c r="D342" s="14" t="n"/>
      <c r="E342" s="14" t="n"/>
      <c r="F342" s="14" t="n"/>
      <c r="G342" s="16" t="n"/>
      <c r="H342" s="16" t="n"/>
      <c r="I342" s="16" t="n"/>
      <c r="J342" s="14" t="n"/>
      <c r="K342" s="10">
        <f>IF(COUNTA(C342:J342)=0,"",IF(OR(C342&lt;&gt;Steuerung!$F$6,D342&lt;1,D342&gt;12),"Periode prüfen",IF(D342&lt;=Steuerung!$F$8,"IST gesperrt",IF(OR(E342="",F342="",COUNT(G342:I342)&lt;&gt;3),"Angaben fehlen","Wirksam"))))</f>
        <v/>
      </c>
      <c r="L342" s="8">
        <f>IF(K342="Wirksam",SUM(G342:H342)-I342,IF(K342="","","n.a."))</f>
        <v/>
      </c>
    </row>
    <row r="343" ht="21" customHeight="1">
      <c r="C343" s="14" t="n"/>
      <c r="D343" s="14" t="n"/>
      <c r="E343" s="14" t="n"/>
      <c r="F343" s="14" t="n"/>
      <c r="G343" s="16" t="n"/>
      <c r="H343" s="16" t="n"/>
      <c r="I343" s="16" t="n"/>
      <c r="J343" s="14" t="n"/>
      <c r="K343" s="10">
        <f>IF(COUNTA(C343:J343)=0,"",IF(OR(C343&lt;&gt;Steuerung!$F$6,D343&lt;1,D343&gt;12),"Periode prüfen",IF(D343&lt;=Steuerung!$F$8,"IST gesperrt",IF(OR(E343="",F343="",COUNT(G343:I343)&lt;&gt;3),"Angaben fehlen","Wirksam"))))</f>
        <v/>
      </c>
      <c r="L343" s="8">
        <f>IF(K343="Wirksam",SUM(G343:H343)-I343,IF(K343="","","n.a."))</f>
        <v/>
      </c>
    </row>
    <row r="344" ht="21" customHeight="1">
      <c r="C344" s="14" t="n"/>
      <c r="D344" s="14" t="n"/>
      <c r="E344" s="14" t="n"/>
      <c r="F344" s="14" t="n"/>
      <c r="G344" s="16" t="n"/>
      <c r="H344" s="16" t="n"/>
      <c r="I344" s="16" t="n"/>
      <c r="J344" s="14" t="n"/>
      <c r="K344" s="10">
        <f>IF(COUNTA(C344:J344)=0,"",IF(OR(C344&lt;&gt;Steuerung!$F$6,D344&lt;1,D344&gt;12),"Periode prüfen",IF(D344&lt;=Steuerung!$F$8,"IST gesperrt",IF(OR(E344="",F344="",COUNT(G344:I344)&lt;&gt;3),"Angaben fehlen","Wirksam"))))</f>
        <v/>
      </c>
      <c r="L344" s="8">
        <f>IF(K344="Wirksam",SUM(G344:H344)-I344,IF(K344="","","n.a."))</f>
        <v/>
      </c>
    </row>
    <row r="345" ht="21" customHeight="1">
      <c r="C345" s="14" t="n"/>
      <c r="D345" s="14" t="n"/>
      <c r="E345" s="14" t="n"/>
      <c r="F345" s="14" t="n"/>
      <c r="G345" s="16" t="n"/>
      <c r="H345" s="16" t="n"/>
      <c r="I345" s="16" t="n"/>
      <c r="J345" s="14" t="n"/>
      <c r="K345" s="10">
        <f>IF(COUNTA(C345:J345)=0,"",IF(OR(C345&lt;&gt;Steuerung!$F$6,D345&lt;1,D345&gt;12),"Periode prüfen",IF(D345&lt;=Steuerung!$F$8,"IST gesperrt",IF(OR(E345="",F345="",COUNT(G345:I345)&lt;&gt;3),"Angaben fehlen","Wirksam"))))</f>
        <v/>
      </c>
      <c r="L345" s="8">
        <f>IF(K345="Wirksam",SUM(G345:H345)-I345,IF(K345="","","n.a."))</f>
        <v/>
      </c>
    </row>
    <row r="346" ht="21" customHeight="1">
      <c r="C346" s="14" t="n"/>
      <c r="D346" s="14" t="n"/>
      <c r="E346" s="14" t="n"/>
      <c r="F346" s="14" t="n"/>
      <c r="G346" s="16" t="n"/>
      <c r="H346" s="16" t="n"/>
      <c r="I346" s="16" t="n"/>
      <c r="J346" s="14" t="n"/>
      <c r="K346" s="10">
        <f>IF(COUNTA(C346:J346)=0,"",IF(OR(C346&lt;&gt;Steuerung!$F$6,D346&lt;1,D346&gt;12),"Periode prüfen",IF(D346&lt;=Steuerung!$F$8,"IST gesperrt",IF(OR(E346="",F346="",COUNT(G346:I346)&lt;&gt;3),"Angaben fehlen","Wirksam"))))</f>
        <v/>
      </c>
      <c r="L346" s="8">
        <f>IF(K346="Wirksam",SUM(G346:H346)-I346,IF(K346="","","n.a."))</f>
        <v/>
      </c>
    </row>
    <row r="347" ht="21" customHeight="1">
      <c r="C347" s="14" t="n"/>
      <c r="D347" s="14" t="n"/>
      <c r="E347" s="14" t="n"/>
      <c r="F347" s="14" t="n"/>
      <c r="G347" s="16" t="n"/>
      <c r="H347" s="16" t="n"/>
      <c r="I347" s="16" t="n"/>
      <c r="J347" s="14" t="n"/>
      <c r="K347" s="10">
        <f>IF(COUNTA(C347:J347)=0,"",IF(OR(C347&lt;&gt;Steuerung!$F$6,D347&lt;1,D347&gt;12),"Periode prüfen",IF(D347&lt;=Steuerung!$F$8,"IST gesperrt",IF(OR(E347="",F347="",COUNT(G347:I347)&lt;&gt;3),"Angaben fehlen","Wirksam"))))</f>
        <v/>
      </c>
      <c r="L347" s="8">
        <f>IF(K347="Wirksam",SUM(G347:H347)-I347,IF(K347="","","n.a."))</f>
        <v/>
      </c>
    </row>
    <row r="348" ht="21" customHeight="1">
      <c r="C348" s="14" t="n"/>
      <c r="D348" s="14" t="n"/>
      <c r="E348" s="14" t="n"/>
      <c r="F348" s="14" t="n"/>
      <c r="G348" s="16" t="n"/>
      <c r="H348" s="16" t="n"/>
      <c r="I348" s="16" t="n"/>
      <c r="J348" s="14" t="n"/>
      <c r="K348" s="10">
        <f>IF(COUNTA(C348:J348)=0,"",IF(OR(C348&lt;&gt;Steuerung!$F$6,D348&lt;1,D348&gt;12),"Periode prüfen",IF(D348&lt;=Steuerung!$F$8,"IST gesperrt",IF(OR(E348="",F348="",COUNT(G348:I348)&lt;&gt;3),"Angaben fehlen","Wirksam"))))</f>
        <v/>
      </c>
      <c r="L348" s="8">
        <f>IF(K348="Wirksam",SUM(G348:H348)-I348,IF(K348="","","n.a."))</f>
        <v/>
      </c>
    </row>
    <row r="349" ht="21" customHeight="1">
      <c r="C349" s="14" t="n"/>
      <c r="D349" s="14" t="n"/>
      <c r="E349" s="14" t="n"/>
      <c r="F349" s="14" t="n"/>
      <c r="G349" s="16" t="n"/>
      <c r="H349" s="16" t="n"/>
      <c r="I349" s="16" t="n"/>
      <c r="J349" s="14" t="n"/>
      <c r="K349" s="10">
        <f>IF(COUNTA(C349:J349)=0,"",IF(OR(C349&lt;&gt;Steuerung!$F$6,D349&lt;1,D349&gt;12),"Periode prüfen",IF(D349&lt;=Steuerung!$F$8,"IST gesperrt",IF(OR(E349="",F349="",COUNT(G349:I349)&lt;&gt;3),"Angaben fehlen","Wirksam"))))</f>
        <v/>
      </c>
      <c r="L349" s="8">
        <f>IF(K349="Wirksam",SUM(G349:H349)-I349,IF(K349="","","n.a."))</f>
        <v/>
      </c>
    </row>
    <row r="350" ht="21" customHeight="1">
      <c r="C350" s="14" t="n"/>
      <c r="D350" s="14" t="n"/>
      <c r="E350" s="14" t="n"/>
      <c r="F350" s="14" t="n"/>
      <c r="G350" s="16" t="n"/>
      <c r="H350" s="16" t="n"/>
      <c r="I350" s="16" t="n"/>
      <c r="J350" s="14" t="n"/>
      <c r="K350" s="10">
        <f>IF(COUNTA(C350:J350)=0,"",IF(OR(C350&lt;&gt;Steuerung!$F$6,D350&lt;1,D350&gt;12),"Periode prüfen",IF(D350&lt;=Steuerung!$F$8,"IST gesperrt",IF(OR(E350="",F350="",COUNT(G350:I350)&lt;&gt;3),"Angaben fehlen","Wirksam"))))</f>
        <v/>
      </c>
      <c r="L350" s="8">
        <f>IF(K350="Wirksam",SUM(G350:H350)-I350,IF(K350="","","n.a."))</f>
        <v/>
      </c>
    </row>
    <row r="351" ht="21" customHeight="1">
      <c r="C351" s="14" t="n"/>
      <c r="D351" s="14" t="n"/>
      <c r="E351" s="14" t="n"/>
      <c r="F351" s="14" t="n"/>
      <c r="G351" s="16" t="n"/>
      <c r="H351" s="16" t="n"/>
      <c r="I351" s="16" t="n"/>
      <c r="J351" s="14" t="n"/>
      <c r="K351" s="10">
        <f>IF(COUNTA(C351:J351)=0,"",IF(OR(C351&lt;&gt;Steuerung!$F$6,D351&lt;1,D351&gt;12),"Periode prüfen",IF(D351&lt;=Steuerung!$F$8,"IST gesperrt",IF(OR(E351="",F351="",COUNT(G351:I351)&lt;&gt;3),"Angaben fehlen","Wirksam"))))</f>
        <v/>
      </c>
      <c r="L351" s="8">
        <f>IF(K351="Wirksam",SUM(G351:H351)-I351,IF(K351="","","n.a."))</f>
        <v/>
      </c>
    </row>
    <row r="352" ht="21" customHeight="1">
      <c r="C352" s="14" t="n"/>
      <c r="D352" s="14" t="n"/>
      <c r="E352" s="14" t="n"/>
      <c r="F352" s="14" t="n"/>
      <c r="G352" s="16" t="n"/>
      <c r="H352" s="16" t="n"/>
      <c r="I352" s="16" t="n"/>
      <c r="J352" s="14" t="n"/>
      <c r="K352" s="10">
        <f>IF(COUNTA(C352:J352)=0,"",IF(OR(C352&lt;&gt;Steuerung!$F$6,D352&lt;1,D352&gt;12),"Periode prüfen",IF(D352&lt;=Steuerung!$F$8,"IST gesperrt",IF(OR(E352="",F352="",COUNT(G352:I352)&lt;&gt;3),"Angaben fehlen","Wirksam"))))</f>
        <v/>
      </c>
      <c r="L352" s="8">
        <f>IF(K352="Wirksam",SUM(G352:H352)-I352,IF(K352="","","n.a."))</f>
        <v/>
      </c>
    </row>
    <row r="353" ht="21" customHeight="1">
      <c r="C353" s="14" t="n"/>
      <c r="D353" s="14" t="n"/>
      <c r="E353" s="14" t="n"/>
      <c r="F353" s="14" t="n"/>
      <c r="G353" s="16" t="n"/>
      <c r="H353" s="16" t="n"/>
      <c r="I353" s="16" t="n"/>
      <c r="J353" s="14" t="n"/>
      <c r="K353" s="10">
        <f>IF(COUNTA(C353:J353)=0,"",IF(OR(C353&lt;&gt;Steuerung!$F$6,D353&lt;1,D353&gt;12),"Periode prüfen",IF(D353&lt;=Steuerung!$F$8,"IST gesperrt",IF(OR(E353="",F353="",COUNT(G353:I353)&lt;&gt;3),"Angaben fehlen","Wirksam"))))</f>
        <v/>
      </c>
      <c r="L353" s="8">
        <f>IF(K353="Wirksam",SUM(G353:H353)-I353,IF(K353="","","n.a."))</f>
        <v/>
      </c>
    </row>
    <row r="354" ht="21" customHeight="1">
      <c r="C354" s="14" t="n"/>
      <c r="D354" s="14" t="n"/>
      <c r="E354" s="14" t="n"/>
      <c r="F354" s="14" t="n"/>
      <c r="G354" s="16" t="n"/>
      <c r="H354" s="16" t="n"/>
      <c r="I354" s="16" t="n"/>
      <c r="J354" s="14" t="n"/>
      <c r="K354" s="10">
        <f>IF(COUNTA(C354:J354)=0,"",IF(OR(C354&lt;&gt;Steuerung!$F$6,D354&lt;1,D354&gt;12),"Periode prüfen",IF(D354&lt;=Steuerung!$F$8,"IST gesperrt",IF(OR(E354="",F354="",COUNT(G354:I354)&lt;&gt;3),"Angaben fehlen","Wirksam"))))</f>
        <v/>
      </c>
      <c r="L354" s="8">
        <f>IF(K354="Wirksam",SUM(G354:H354)-I354,IF(K354="","","n.a."))</f>
        <v/>
      </c>
    </row>
    <row r="355" ht="21" customHeight="1">
      <c r="C355" s="14" t="n"/>
      <c r="D355" s="14" t="n"/>
      <c r="E355" s="14" t="n"/>
      <c r="F355" s="14" t="n"/>
      <c r="G355" s="16" t="n"/>
      <c r="H355" s="16" t="n"/>
      <c r="I355" s="16" t="n"/>
      <c r="J355" s="14" t="n"/>
      <c r="K355" s="10">
        <f>IF(COUNTA(C355:J355)=0,"",IF(OR(C355&lt;&gt;Steuerung!$F$6,D355&lt;1,D355&gt;12),"Periode prüfen",IF(D355&lt;=Steuerung!$F$8,"IST gesperrt",IF(OR(E355="",F355="",COUNT(G355:I355)&lt;&gt;3),"Angaben fehlen","Wirksam"))))</f>
        <v/>
      </c>
      <c r="L355" s="8">
        <f>IF(K355="Wirksam",SUM(G355:H355)-I355,IF(K355="","","n.a."))</f>
        <v/>
      </c>
    </row>
    <row r="356" ht="21" customHeight="1">
      <c r="C356" s="14" t="n"/>
      <c r="D356" s="14" t="n"/>
      <c r="E356" s="14" t="n"/>
      <c r="F356" s="14" t="n"/>
      <c r="G356" s="16" t="n"/>
      <c r="H356" s="16" t="n"/>
      <c r="I356" s="16" t="n"/>
      <c r="J356" s="14" t="n"/>
      <c r="K356" s="10">
        <f>IF(COUNTA(C356:J356)=0,"",IF(OR(C356&lt;&gt;Steuerung!$F$6,D356&lt;1,D356&gt;12),"Periode prüfen",IF(D356&lt;=Steuerung!$F$8,"IST gesperrt",IF(OR(E356="",F356="",COUNT(G356:I356)&lt;&gt;3),"Angaben fehlen","Wirksam"))))</f>
        <v/>
      </c>
      <c r="L356" s="8">
        <f>IF(K356="Wirksam",SUM(G356:H356)-I356,IF(K356="","","n.a."))</f>
        <v/>
      </c>
    </row>
    <row r="357" ht="21" customHeight="1">
      <c r="C357" s="14" t="n"/>
      <c r="D357" s="14" t="n"/>
      <c r="E357" s="14" t="n"/>
      <c r="F357" s="14" t="n"/>
      <c r="G357" s="16" t="n"/>
      <c r="H357" s="16" t="n"/>
      <c r="I357" s="16" t="n"/>
      <c r="J357" s="14" t="n"/>
      <c r="K357" s="10">
        <f>IF(COUNTA(C357:J357)=0,"",IF(OR(C357&lt;&gt;Steuerung!$F$6,D357&lt;1,D357&gt;12),"Periode prüfen",IF(D357&lt;=Steuerung!$F$8,"IST gesperrt",IF(OR(E357="",F357="",COUNT(G357:I357)&lt;&gt;3),"Angaben fehlen","Wirksam"))))</f>
        <v/>
      </c>
      <c r="L357" s="8">
        <f>IF(K357="Wirksam",SUM(G357:H357)-I357,IF(K357="","","n.a."))</f>
        <v/>
      </c>
    </row>
    <row r="358" ht="21" customHeight="1">
      <c r="C358" s="14" t="n"/>
      <c r="D358" s="14" t="n"/>
      <c r="E358" s="14" t="n"/>
      <c r="F358" s="14" t="n"/>
      <c r="G358" s="16" t="n"/>
      <c r="H358" s="16" t="n"/>
      <c r="I358" s="16" t="n"/>
      <c r="J358" s="14" t="n"/>
      <c r="K358" s="10">
        <f>IF(COUNTA(C358:J358)=0,"",IF(OR(C358&lt;&gt;Steuerung!$F$6,D358&lt;1,D358&gt;12),"Periode prüfen",IF(D358&lt;=Steuerung!$F$8,"IST gesperrt",IF(OR(E358="",F358="",COUNT(G358:I358)&lt;&gt;3),"Angaben fehlen","Wirksam"))))</f>
        <v/>
      </c>
      <c r="L358" s="8">
        <f>IF(K358="Wirksam",SUM(G358:H358)-I358,IF(K358="","","n.a."))</f>
        <v/>
      </c>
    </row>
    <row r="359" ht="21" customHeight="1">
      <c r="C359" s="14" t="n"/>
      <c r="D359" s="14" t="n"/>
      <c r="E359" s="14" t="n"/>
      <c r="F359" s="14" t="n"/>
      <c r="G359" s="16" t="n"/>
      <c r="H359" s="16" t="n"/>
      <c r="I359" s="16" t="n"/>
      <c r="J359" s="14" t="n"/>
      <c r="K359" s="10">
        <f>IF(COUNTA(C359:J359)=0,"",IF(OR(C359&lt;&gt;Steuerung!$F$6,D359&lt;1,D359&gt;12),"Periode prüfen",IF(D359&lt;=Steuerung!$F$8,"IST gesperrt",IF(OR(E359="",F359="",COUNT(G359:I359)&lt;&gt;3),"Angaben fehlen","Wirksam"))))</f>
        <v/>
      </c>
      <c r="L359" s="8">
        <f>IF(K359="Wirksam",SUM(G359:H359)-I359,IF(K359="","","n.a."))</f>
        <v/>
      </c>
    </row>
    <row r="360" ht="21" customHeight="1">
      <c r="C360" s="14" t="n"/>
      <c r="D360" s="14" t="n"/>
      <c r="E360" s="14" t="n"/>
      <c r="F360" s="14" t="n"/>
      <c r="G360" s="16" t="n"/>
      <c r="H360" s="16" t="n"/>
      <c r="I360" s="16" t="n"/>
      <c r="J360" s="14" t="n"/>
      <c r="K360" s="10">
        <f>IF(COUNTA(C360:J360)=0,"",IF(OR(C360&lt;&gt;Steuerung!$F$6,D360&lt;1,D360&gt;12),"Periode prüfen",IF(D360&lt;=Steuerung!$F$8,"IST gesperrt",IF(OR(E360="",F360="",COUNT(G360:I360)&lt;&gt;3),"Angaben fehlen","Wirksam"))))</f>
        <v/>
      </c>
      <c r="L360" s="8">
        <f>IF(K360="Wirksam",SUM(G360:H360)-I360,IF(K360="","","n.a."))</f>
        <v/>
      </c>
    </row>
    <row r="361" ht="21" customHeight="1">
      <c r="C361" s="14" t="n"/>
      <c r="D361" s="14" t="n"/>
      <c r="E361" s="14" t="n"/>
      <c r="F361" s="14" t="n"/>
      <c r="G361" s="16" t="n"/>
      <c r="H361" s="16" t="n"/>
      <c r="I361" s="16" t="n"/>
      <c r="J361" s="14" t="n"/>
      <c r="K361" s="10">
        <f>IF(COUNTA(C361:J361)=0,"",IF(OR(C361&lt;&gt;Steuerung!$F$6,D361&lt;1,D361&gt;12),"Periode prüfen",IF(D361&lt;=Steuerung!$F$8,"IST gesperrt",IF(OR(E361="",F361="",COUNT(G361:I361)&lt;&gt;3),"Angaben fehlen","Wirksam"))))</f>
        <v/>
      </c>
      <c r="L361" s="8">
        <f>IF(K361="Wirksam",SUM(G361:H361)-I361,IF(K361="","","n.a."))</f>
        <v/>
      </c>
    </row>
    <row r="362" ht="21" customHeight="1">
      <c r="C362" s="14" t="n"/>
      <c r="D362" s="14" t="n"/>
      <c r="E362" s="14" t="n"/>
      <c r="F362" s="14" t="n"/>
      <c r="G362" s="16" t="n"/>
      <c r="H362" s="16" t="n"/>
      <c r="I362" s="16" t="n"/>
      <c r="J362" s="14" t="n"/>
      <c r="K362" s="10">
        <f>IF(COUNTA(C362:J362)=0,"",IF(OR(C362&lt;&gt;Steuerung!$F$6,D362&lt;1,D362&gt;12),"Periode prüfen",IF(D362&lt;=Steuerung!$F$8,"IST gesperrt",IF(OR(E362="",F362="",COUNT(G362:I362)&lt;&gt;3),"Angaben fehlen","Wirksam"))))</f>
        <v/>
      </c>
      <c r="L362" s="8">
        <f>IF(K362="Wirksam",SUM(G362:H362)-I362,IF(K362="","","n.a."))</f>
        <v/>
      </c>
    </row>
    <row r="363" ht="21" customHeight="1">
      <c r="C363" s="14" t="n"/>
      <c r="D363" s="14" t="n"/>
      <c r="E363" s="14" t="n"/>
      <c r="F363" s="14" t="n"/>
      <c r="G363" s="16" t="n"/>
      <c r="H363" s="16" t="n"/>
      <c r="I363" s="16" t="n"/>
      <c r="J363" s="14" t="n"/>
      <c r="K363" s="10">
        <f>IF(COUNTA(C363:J363)=0,"",IF(OR(C363&lt;&gt;Steuerung!$F$6,D363&lt;1,D363&gt;12),"Periode prüfen",IF(D363&lt;=Steuerung!$F$8,"IST gesperrt",IF(OR(E363="",F363="",COUNT(G363:I363)&lt;&gt;3),"Angaben fehlen","Wirksam"))))</f>
        <v/>
      </c>
      <c r="L363" s="8">
        <f>IF(K363="Wirksam",SUM(G363:H363)-I363,IF(K363="","","n.a."))</f>
        <v/>
      </c>
    </row>
    <row r="364" ht="21" customHeight="1">
      <c r="C364" s="14" t="n"/>
      <c r="D364" s="14" t="n"/>
      <c r="E364" s="14" t="n"/>
      <c r="F364" s="14" t="n"/>
      <c r="G364" s="16" t="n"/>
      <c r="H364" s="16" t="n"/>
      <c r="I364" s="16" t="n"/>
      <c r="J364" s="14" t="n"/>
      <c r="K364" s="10">
        <f>IF(COUNTA(C364:J364)=0,"",IF(OR(C364&lt;&gt;Steuerung!$F$6,D364&lt;1,D364&gt;12),"Periode prüfen",IF(D364&lt;=Steuerung!$F$8,"IST gesperrt",IF(OR(E364="",F364="",COUNT(G364:I364)&lt;&gt;3),"Angaben fehlen","Wirksam"))))</f>
        <v/>
      </c>
      <c r="L364" s="8">
        <f>IF(K364="Wirksam",SUM(G364:H364)-I364,IF(K364="","","n.a."))</f>
        <v/>
      </c>
    </row>
    <row r="365" ht="21" customHeight="1">
      <c r="C365" s="14" t="n"/>
      <c r="D365" s="14" t="n"/>
      <c r="E365" s="14" t="n"/>
      <c r="F365" s="14" t="n"/>
      <c r="G365" s="16" t="n"/>
      <c r="H365" s="16" t="n"/>
      <c r="I365" s="16" t="n"/>
      <c r="J365" s="14" t="n"/>
      <c r="K365" s="10">
        <f>IF(COUNTA(C365:J365)=0,"",IF(OR(C365&lt;&gt;Steuerung!$F$6,D365&lt;1,D365&gt;12),"Periode prüfen",IF(D365&lt;=Steuerung!$F$8,"IST gesperrt",IF(OR(E365="",F365="",COUNT(G365:I365)&lt;&gt;3),"Angaben fehlen","Wirksam"))))</f>
        <v/>
      </c>
      <c r="L365" s="8">
        <f>IF(K365="Wirksam",SUM(G365:H365)-I365,IF(K365="","","n.a."))</f>
        <v/>
      </c>
    </row>
    <row r="366" ht="21" customHeight="1">
      <c r="C366" s="14" t="n"/>
      <c r="D366" s="14" t="n"/>
      <c r="E366" s="14" t="n"/>
      <c r="F366" s="14" t="n"/>
      <c r="G366" s="16" t="n"/>
      <c r="H366" s="16" t="n"/>
      <c r="I366" s="16" t="n"/>
      <c r="J366" s="14" t="n"/>
      <c r="K366" s="10">
        <f>IF(COUNTA(C366:J366)=0,"",IF(OR(C366&lt;&gt;Steuerung!$F$6,D366&lt;1,D366&gt;12),"Periode prüfen",IF(D366&lt;=Steuerung!$F$8,"IST gesperrt",IF(OR(E366="",F366="",COUNT(G366:I366)&lt;&gt;3),"Angaben fehlen","Wirksam"))))</f>
        <v/>
      </c>
      <c r="L366" s="8">
        <f>IF(K366="Wirksam",SUM(G366:H366)-I366,IF(K366="","","n.a."))</f>
        <v/>
      </c>
    </row>
    <row r="367" ht="21" customHeight="1">
      <c r="C367" s="14" t="n"/>
      <c r="D367" s="14" t="n"/>
      <c r="E367" s="14" t="n"/>
      <c r="F367" s="14" t="n"/>
      <c r="G367" s="16" t="n"/>
      <c r="H367" s="16" t="n"/>
      <c r="I367" s="16" t="n"/>
      <c r="J367" s="14" t="n"/>
      <c r="K367" s="10">
        <f>IF(COUNTA(C367:J367)=0,"",IF(OR(C367&lt;&gt;Steuerung!$F$6,D367&lt;1,D367&gt;12),"Periode prüfen",IF(D367&lt;=Steuerung!$F$8,"IST gesperrt",IF(OR(E367="",F367="",COUNT(G367:I367)&lt;&gt;3),"Angaben fehlen","Wirksam"))))</f>
        <v/>
      </c>
      <c r="L367" s="8">
        <f>IF(K367="Wirksam",SUM(G367:H367)-I367,IF(K367="","","n.a."))</f>
        <v/>
      </c>
    </row>
    <row r="368" ht="21" customHeight="1">
      <c r="C368" s="14" t="n"/>
      <c r="D368" s="14" t="n"/>
      <c r="E368" s="14" t="n"/>
      <c r="F368" s="14" t="n"/>
      <c r="G368" s="16" t="n"/>
      <c r="H368" s="16" t="n"/>
      <c r="I368" s="16" t="n"/>
      <c r="J368" s="14" t="n"/>
      <c r="K368" s="10">
        <f>IF(COUNTA(C368:J368)=0,"",IF(OR(C368&lt;&gt;Steuerung!$F$6,D368&lt;1,D368&gt;12),"Periode prüfen",IF(D368&lt;=Steuerung!$F$8,"IST gesperrt",IF(OR(E368="",F368="",COUNT(G368:I368)&lt;&gt;3),"Angaben fehlen","Wirksam"))))</f>
        <v/>
      </c>
      <c r="L368" s="8">
        <f>IF(K368="Wirksam",SUM(G368:H368)-I368,IF(K368="","","n.a."))</f>
        <v/>
      </c>
    </row>
    <row r="369" ht="21" customHeight="1">
      <c r="C369" s="14" t="n"/>
      <c r="D369" s="14" t="n"/>
      <c r="E369" s="14" t="n"/>
      <c r="F369" s="14" t="n"/>
      <c r="G369" s="16" t="n"/>
      <c r="H369" s="16" t="n"/>
      <c r="I369" s="16" t="n"/>
      <c r="J369" s="14" t="n"/>
      <c r="K369" s="10">
        <f>IF(COUNTA(C369:J369)=0,"",IF(OR(C369&lt;&gt;Steuerung!$F$6,D369&lt;1,D369&gt;12),"Periode prüfen",IF(D369&lt;=Steuerung!$F$8,"IST gesperrt",IF(OR(E369="",F369="",COUNT(G369:I369)&lt;&gt;3),"Angaben fehlen","Wirksam"))))</f>
        <v/>
      </c>
      <c r="L369" s="8">
        <f>IF(K369="Wirksam",SUM(G369:H369)-I369,IF(K369="","","n.a."))</f>
        <v/>
      </c>
    </row>
    <row r="370" ht="21" customHeight="1">
      <c r="C370" s="14" t="n"/>
      <c r="D370" s="14" t="n"/>
      <c r="E370" s="14" t="n"/>
      <c r="F370" s="14" t="n"/>
      <c r="G370" s="16" t="n"/>
      <c r="H370" s="16" t="n"/>
      <c r="I370" s="16" t="n"/>
      <c r="J370" s="14" t="n"/>
      <c r="K370" s="10">
        <f>IF(COUNTA(C370:J370)=0,"",IF(OR(C370&lt;&gt;Steuerung!$F$6,D370&lt;1,D370&gt;12),"Periode prüfen",IF(D370&lt;=Steuerung!$F$8,"IST gesperrt",IF(OR(E370="",F370="",COUNT(G370:I370)&lt;&gt;3),"Angaben fehlen","Wirksam"))))</f>
        <v/>
      </c>
      <c r="L370" s="8">
        <f>IF(K370="Wirksam",SUM(G370:H370)-I370,IF(K370="","","n.a."))</f>
        <v/>
      </c>
    </row>
    <row r="371" ht="21" customHeight="1">
      <c r="C371" s="14" t="n"/>
      <c r="D371" s="14" t="n"/>
      <c r="E371" s="14" t="n"/>
      <c r="F371" s="14" t="n"/>
      <c r="G371" s="16" t="n"/>
      <c r="H371" s="16" t="n"/>
      <c r="I371" s="16" t="n"/>
      <c r="J371" s="14" t="n"/>
      <c r="K371" s="10">
        <f>IF(COUNTA(C371:J371)=0,"",IF(OR(C371&lt;&gt;Steuerung!$F$6,D371&lt;1,D371&gt;12),"Periode prüfen",IF(D371&lt;=Steuerung!$F$8,"IST gesperrt",IF(OR(E371="",F371="",COUNT(G371:I371)&lt;&gt;3),"Angaben fehlen","Wirksam"))))</f>
        <v/>
      </c>
      <c r="L371" s="8">
        <f>IF(K371="Wirksam",SUM(G371:H371)-I371,IF(K371="","","n.a."))</f>
        <v/>
      </c>
    </row>
    <row r="372" ht="21" customHeight="1">
      <c r="C372" s="14" t="n"/>
      <c r="D372" s="14" t="n"/>
      <c r="E372" s="14" t="n"/>
      <c r="F372" s="14" t="n"/>
      <c r="G372" s="16" t="n"/>
      <c r="H372" s="16" t="n"/>
      <c r="I372" s="16" t="n"/>
      <c r="J372" s="14" t="n"/>
      <c r="K372" s="10">
        <f>IF(COUNTA(C372:J372)=0,"",IF(OR(C372&lt;&gt;Steuerung!$F$6,D372&lt;1,D372&gt;12),"Periode prüfen",IF(D372&lt;=Steuerung!$F$8,"IST gesperrt",IF(OR(E372="",F372="",COUNT(G372:I372)&lt;&gt;3),"Angaben fehlen","Wirksam"))))</f>
        <v/>
      </c>
      <c r="L372" s="8">
        <f>IF(K372="Wirksam",SUM(G372:H372)-I372,IF(K372="","","n.a."))</f>
        <v/>
      </c>
    </row>
    <row r="373" ht="21" customHeight="1">
      <c r="C373" s="14" t="n"/>
      <c r="D373" s="14" t="n"/>
      <c r="E373" s="14" t="n"/>
      <c r="F373" s="14" t="n"/>
      <c r="G373" s="16" t="n"/>
      <c r="H373" s="16" t="n"/>
      <c r="I373" s="16" t="n"/>
      <c r="J373" s="14" t="n"/>
      <c r="K373" s="10">
        <f>IF(COUNTA(C373:J373)=0,"",IF(OR(C373&lt;&gt;Steuerung!$F$6,D373&lt;1,D373&gt;12),"Periode prüfen",IF(D373&lt;=Steuerung!$F$8,"IST gesperrt",IF(OR(E373="",F373="",COUNT(G373:I373)&lt;&gt;3),"Angaben fehlen","Wirksam"))))</f>
        <v/>
      </c>
      <c r="L373" s="8">
        <f>IF(K373="Wirksam",SUM(G373:H373)-I373,IF(K373="","","n.a."))</f>
        <v/>
      </c>
    </row>
    <row r="374" ht="21" customHeight="1">
      <c r="C374" s="14" t="n"/>
      <c r="D374" s="14" t="n"/>
      <c r="E374" s="14" t="n"/>
      <c r="F374" s="14" t="n"/>
      <c r="G374" s="16" t="n"/>
      <c r="H374" s="16" t="n"/>
      <c r="I374" s="16" t="n"/>
      <c r="J374" s="14" t="n"/>
      <c r="K374" s="10">
        <f>IF(COUNTA(C374:J374)=0,"",IF(OR(C374&lt;&gt;Steuerung!$F$6,D374&lt;1,D374&gt;12),"Periode prüfen",IF(D374&lt;=Steuerung!$F$8,"IST gesperrt",IF(OR(E374="",F374="",COUNT(G374:I374)&lt;&gt;3),"Angaben fehlen","Wirksam"))))</f>
        <v/>
      </c>
      <c r="L374" s="8">
        <f>IF(K374="Wirksam",SUM(G374:H374)-I374,IF(K374="","","n.a."))</f>
        <v/>
      </c>
    </row>
    <row r="375" ht="21" customHeight="1">
      <c r="C375" s="14" t="n"/>
      <c r="D375" s="14" t="n"/>
      <c r="E375" s="14" t="n"/>
      <c r="F375" s="14" t="n"/>
      <c r="G375" s="16" t="n"/>
      <c r="H375" s="16" t="n"/>
      <c r="I375" s="16" t="n"/>
      <c r="J375" s="14" t="n"/>
      <c r="K375" s="10">
        <f>IF(COUNTA(C375:J375)=0,"",IF(OR(C375&lt;&gt;Steuerung!$F$6,D375&lt;1,D375&gt;12),"Periode prüfen",IF(D375&lt;=Steuerung!$F$8,"IST gesperrt",IF(OR(E375="",F375="",COUNT(G375:I375)&lt;&gt;3),"Angaben fehlen","Wirksam"))))</f>
        <v/>
      </c>
      <c r="L375" s="8">
        <f>IF(K375="Wirksam",SUM(G375:H375)-I375,IF(K375="","","n.a."))</f>
        <v/>
      </c>
    </row>
    <row r="376" ht="21" customHeight="1">
      <c r="C376" s="14" t="n"/>
      <c r="D376" s="14" t="n"/>
      <c r="E376" s="14" t="n"/>
      <c r="F376" s="14" t="n"/>
      <c r="G376" s="16" t="n"/>
      <c r="H376" s="16" t="n"/>
      <c r="I376" s="16" t="n"/>
      <c r="J376" s="14" t="n"/>
      <c r="K376" s="10">
        <f>IF(COUNTA(C376:J376)=0,"",IF(OR(C376&lt;&gt;Steuerung!$F$6,D376&lt;1,D376&gt;12),"Periode prüfen",IF(D376&lt;=Steuerung!$F$8,"IST gesperrt",IF(OR(E376="",F376="",COUNT(G376:I376)&lt;&gt;3),"Angaben fehlen","Wirksam"))))</f>
        <v/>
      </c>
      <c r="L376" s="8">
        <f>IF(K376="Wirksam",SUM(G376:H376)-I376,IF(K376="","","n.a."))</f>
        <v/>
      </c>
    </row>
    <row r="377" ht="21" customHeight="1">
      <c r="C377" s="14" t="n"/>
      <c r="D377" s="14" t="n"/>
      <c r="E377" s="14" t="n"/>
      <c r="F377" s="14" t="n"/>
      <c r="G377" s="16" t="n"/>
      <c r="H377" s="16" t="n"/>
      <c r="I377" s="16" t="n"/>
      <c r="J377" s="14" t="n"/>
      <c r="K377" s="10">
        <f>IF(COUNTA(C377:J377)=0,"",IF(OR(C377&lt;&gt;Steuerung!$F$6,D377&lt;1,D377&gt;12),"Periode prüfen",IF(D377&lt;=Steuerung!$F$8,"IST gesperrt",IF(OR(E377="",F377="",COUNT(G377:I377)&lt;&gt;3),"Angaben fehlen","Wirksam"))))</f>
        <v/>
      </c>
      <c r="L377" s="8">
        <f>IF(K377="Wirksam",SUM(G377:H377)-I377,IF(K377="","","n.a."))</f>
        <v/>
      </c>
    </row>
    <row r="378" ht="21" customHeight="1">
      <c r="C378" s="14" t="n"/>
      <c r="D378" s="14" t="n"/>
      <c r="E378" s="14" t="n"/>
      <c r="F378" s="14" t="n"/>
      <c r="G378" s="16" t="n"/>
      <c r="H378" s="16" t="n"/>
      <c r="I378" s="16" t="n"/>
      <c r="J378" s="14" t="n"/>
      <c r="K378" s="10">
        <f>IF(COUNTA(C378:J378)=0,"",IF(OR(C378&lt;&gt;Steuerung!$F$6,D378&lt;1,D378&gt;12),"Periode prüfen",IF(D378&lt;=Steuerung!$F$8,"IST gesperrt",IF(OR(E378="",F378="",COUNT(G378:I378)&lt;&gt;3),"Angaben fehlen","Wirksam"))))</f>
        <v/>
      </c>
      <c r="L378" s="8">
        <f>IF(K378="Wirksam",SUM(G378:H378)-I378,IF(K378="","","n.a."))</f>
        <v/>
      </c>
    </row>
    <row r="379" ht="21" customHeight="1">
      <c r="C379" s="14" t="n"/>
      <c r="D379" s="14" t="n"/>
      <c r="E379" s="14" t="n"/>
      <c r="F379" s="14" t="n"/>
      <c r="G379" s="16" t="n"/>
      <c r="H379" s="16" t="n"/>
      <c r="I379" s="16" t="n"/>
      <c r="J379" s="14" t="n"/>
      <c r="K379" s="10">
        <f>IF(COUNTA(C379:J379)=0,"",IF(OR(C379&lt;&gt;Steuerung!$F$6,D379&lt;1,D379&gt;12),"Periode prüfen",IF(D379&lt;=Steuerung!$F$8,"IST gesperrt",IF(OR(E379="",F379="",COUNT(G379:I379)&lt;&gt;3),"Angaben fehlen","Wirksam"))))</f>
        <v/>
      </c>
      <c r="L379" s="8">
        <f>IF(K379="Wirksam",SUM(G379:H379)-I379,IF(K379="","","n.a."))</f>
        <v/>
      </c>
    </row>
    <row r="380" ht="21" customHeight="1">
      <c r="C380" s="14" t="n"/>
      <c r="D380" s="14" t="n"/>
      <c r="E380" s="14" t="n"/>
      <c r="F380" s="14" t="n"/>
      <c r="G380" s="16" t="n"/>
      <c r="H380" s="16" t="n"/>
      <c r="I380" s="16" t="n"/>
      <c r="J380" s="14" t="n"/>
      <c r="K380" s="10">
        <f>IF(COUNTA(C380:J380)=0,"",IF(OR(C380&lt;&gt;Steuerung!$F$6,D380&lt;1,D380&gt;12),"Periode prüfen",IF(D380&lt;=Steuerung!$F$8,"IST gesperrt",IF(OR(E380="",F380="",COUNT(G380:I380)&lt;&gt;3),"Angaben fehlen","Wirksam"))))</f>
        <v/>
      </c>
      <c r="L380" s="8">
        <f>IF(K380="Wirksam",SUM(G380:H380)-I380,IF(K380="","","n.a."))</f>
        <v/>
      </c>
    </row>
    <row r="381" ht="21" customHeight="1">
      <c r="C381" s="14" t="n"/>
      <c r="D381" s="14" t="n"/>
      <c r="E381" s="14" t="n"/>
      <c r="F381" s="14" t="n"/>
      <c r="G381" s="16" t="n"/>
      <c r="H381" s="16" t="n"/>
      <c r="I381" s="16" t="n"/>
      <c r="J381" s="14" t="n"/>
      <c r="K381" s="10">
        <f>IF(COUNTA(C381:J381)=0,"",IF(OR(C381&lt;&gt;Steuerung!$F$6,D381&lt;1,D381&gt;12),"Periode prüfen",IF(D381&lt;=Steuerung!$F$8,"IST gesperrt",IF(OR(E381="",F381="",COUNT(G381:I381)&lt;&gt;3),"Angaben fehlen","Wirksam"))))</f>
        <v/>
      </c>
      <c r="L381" s="8">
        <f>IF(K381="Wirksam",SUM(G381:H381)-I381,IF(K381="","","n.a."))</f>
        <v/>
      </c>
    </row>
    <row r="382" ht="21" customHeight="1">
      <c r="C382" s="14" t="n"/>
      <c r="D382" s="14" t="n"/>
      <c r="E382" s="14" t="n"/>
      <c r="F382" s="14" t="n"/>
      <c r="G382" s="16" t="n"/>
      <c r="H382" s="16" t="n"/>
      <c r="I382" s="16" t="n"/>
      <c r="J382" s="14" t="n"/>
      <c r="K382" s="10">
        <f>IF(COUNTA(C382:J382)=0,"",IF(OR(C382&lt;&gt;Steuerung!$F$6,D382&lt;1,D382&gt;12),"Periode prüfen",IF(D382&lt;=Steuerung!$F$8,"IST gesperrt",IF(OR(E382="",F382="",COUNT(G382:I382)&lt;&gt;3),"Angaben fehlen","Wirksam"))))</f>
        <v/>
      </c>
      <c r="L382" s="8">
        <f>IF(K382="Wirksam",SUM(G382:H382)-I382,IF(K382="","","n.a."))</f>
        <v/>
      </c>
    </row>
    <row r="383" ht="21" customHeight="1">
      <c r="C383" s="14" t="n"/>
      <c r="D383" s="14" t="n"/>
      <c r="E383" s="14" t="n"/>
      <c r="F383" s="14" t="n"/>
      <c r="G383" s="16" t="n"/>
      <c r="H383" s="16" t="n"/>
      <c r="I383" s="16" t="n"/>
      <c r="J383" s="14" t="n"/>
      <c r="K383" s="10">
        <f>IF(COUNTA(C383:J383)=0,"",IF(OR(C383&lt;&gt;Steuerung!$F$6,D383&lt;1,D383&gt;12),"Periode prüfen",IF(D383&lt;=Steuerung!$F$8,"IST gesperrt",IF(OR(E383="",F383="",COUNT(G383:I383)&lt;&gt;3),"Angaben fehlen","Wirksam"))))</f>
        <v/>
      </c>
      <c r="L383" s="8">
        <f>IF(K383="Wirksam",SUM(G383:H383)-I383,IF(K383="","","n.a."))</f>
        <v/>
      </c>
    </row>
    <row r="384" ht="21" customHeight="1">
      <c r="C384" s="14" t="n"/>
      <c r="D384" s="14" t="n"/>
      <c r="E384" s="14" t="n"/>
      <c r="F384" s="14" t="n"/>
      <c r="G384" s="16" t="n"/>
      <c r="H384" s="16" t="n"/>
      <c r="I384" s="16" t="n"/>
      <c r="J384" s="14" t="n"/>
      <c r="K384" s="10">
        <f>IF(COUNTA(C384:J384)=0,"",IF(OR(C384&lt;&gt;Steuerung!$F$6,D384&lt;1,D384&gt;12),"Periode prüfen",IF(D384&lt;=Steuerung!$F$8,"IST gesperrt",IF(OR(E384="",F384="",COUNT(G384:I384)&lt;&gt;3),"Angaben fehlen","Wirksam"))))</f>
        <v/>
      </c>
      <c r="L384" s="8">
        <f>IF(K384="Wirksam",SUM(G384:H384)-I384,IF(K384="","","n.a."))</f>
        <v/>
      </c>
    </row>
    <row r="385" ht="21" customHeight="1">
      <c r="C385" s="14" t="n"/>
      <c r="D385" s="14" t="n"/>
      <c r="E385" s="14" t="n"/>
      <c r="F385" s="14" t="n"/>
      <c r="G385" s="16" t="n"/>
      <c r="H385" s="16" t="n"/>
      <c r="I385" s="16" t="n"/>
      <c r="J385" s="14" t="n"/>
      <c r="K385" s="10">
        <f>IF(COUNTA(C385:J385)=0,"",IF(OR(C385&lt;&gt;Steuerung!$F$6,D385&lt;1,D385&gt;12),"Periode prüfen",IF(D385&lt;=Steuerung!$F$8,"IST gesperrt",IF(OR(E385="",F385="",COUNT(G385:I385)&lt;&gt;3),"Angaben fehlen","Wirksam"))))</f>
        <v/>
      </c>
      <c r="L385" s="8">
        <f>IF(K385="Wirksam",SUM(G385:H385)-I385,IF(K385="","","n.a."))</f>
        <v/>
      </c>
    </row>
    <row r="386" ht="21" customHeight="1">
      <c r="C386" s="14" t="n"/>
      <c r="D386" s="14" t="n"/>
      <c r="E386" s="14" t="n"/>
      <c r="F386" s="14" t="n"/>
      <c r="G386" s="16" t="n"/>
      <c r="H386" s="16" t="n"/>
      <c r="I386" s="16" t="n"/>
      <c r="J386" s="14" t="n"/>
      <c r="K386" s="10">
        <f>IF(COUNTA(C386:J386)=0,"",IF(OR(C386&lt;&gt;Steuerung!$F$6,D386&lt;1,D386&gt;12),"Periode prüfen",IF(D386&lt;=Steuerung!$F$8,"IST gesperrt",IF(OR(E386="",F386="",COUNT(G386:I386)&lt;&gt;3),"Angaben fehlen","Wirksam"))))</f>
        <v/>
      </c>
      <c r="L386" s="8">
        <f>IF(K386="Wirksam",SUM(G386:H386)-I386,IF(K386="","","n.a."))</f>
        <v/>
      </c>
    </row>
    <row r="387" ht="21" customHeight="1">
      <c r="C387" s="14" t="n"/>
      <c r="D387" s="14" t="n"/>
      <c r="E387" s="14" t="n"/>
      <c r="F387" s="14" t="n"/>
      <c r="G387" s="16" t="n"/>
      <c r="H387" s="16" t="n"/>
      <c r="I387" s="16" t="n"/>
      <c r="J387" s="14" t="n"/>
      <c r="K387" s="10">
        <f>IF(COUNTA(C387:J387)=0,"",IF(OR(C387&lt;&gt;Steuerung!$F$6,D387&lt;1,D387&gt;12),"Periode prüfen",IF(D387&lt;=Steuerung!$F$8,"IST gesperrt",IF(OR(E387="",F387="",COUNT(G387:I387)&lt;&gt;3),"Angaben fehlen","Wirksam"))))</f>
        <v/>
      </c>
      <c r="L387" s="8">
        <f>IF(K387="Wirksam",SUM(G387:H387)-I387,IF(K387="","","n.a."))</f>
        <v/>
      </c>
    </row>
    <row r="388" ht="21" customHeight="1">
      <c r="C388" s="14" t="n"/>
      <c r="D388" s="14" t="n"/>
      <c r="E388" s="14" t="n"/>
      <c r="F388" s="14" t="n"/>
      <c r="G388" s="16" t="n"/>
      <c r="H388" s="16" t="n"/>
      <c r="I388" s="16" t="n"/>
      <c r="J388" s="14" t="n"/>
      <c r="K388" s="10">
        <f>IF(COUNTA(C388:J388)=0,"",IF(OR(C388&lt;&gt;Steuerung!$F$6,D388&lt;1,D388&gt;12),"Periode prüfen",IF(D388&lt;=Steuerung!$F$8,"IST gesperrt",IF(OR(E388="",F388="",COUNT(G388:I388)&lt;&gt;3),"Angaben fehlen","Wirksam"))))</f>
        <v/>
      </c>
      <c r="L388" s="8">
        <f>IF(K388="Wirksam",SUM(G388:H388)-I388,IF(K388="","","n.a."))</f>
        <v/>
      </c>
    </row>
    <row r="389" ht="21" customHeight="1">
      <c r="C389" s="14" t="n"/>
      <c r="D389" s="14" t="n"/>
      <c r="E389" s="14" t="n"/>
      <c r="F389" s="14" t="n"/>
      <c r="G389" s="16" t="n"/>
      <c r="H389" s="16" t="n"/>
      <c r="I389" s="16" t="n"/>
      <c r="J389" s="14" t="n"/>
      <c r="K389" s="10">
        <f>IF(COUNTA(C389:J389)=0,"",IF(OR(C389&lt;&gt;Steuerung!$F$6,D389&lt;1,D389&gt;12),"Periode prüfen",IF(D389&lt;=Steuerung!$F$8,"IST gesperrt",IF(OR(E389="",F389="",COUNT(G389:I389)&lt;&gt;3),"Angaben fehlen","Wirksam"))))</f>
        <v/>
      </c>
      <c r="L389" s="8">
        <f>IF(K389="Wirksam",SUM(G389:H389)-I389,IF(K389="","","n.a."))</f>
        <v/>
      </c>
    </row>
    <row r="390" ht="21" customHeight="1">
      <c r="C390" s="14" t="n"/>
      <c r="D390" s="14" t="n"/>
      <c r="E390" s="14" t="n"/>
      <c r="F390" s="14" t="n"/>
      <c r="G390" s="16" t="n"/>
      <c r="H390" s="16" t="n"/>
      <c r="I390" s="16" t="n"/>
      <c r="J390" s="14" t="n"/>
      <c r="K390" s="10">
        <f>IF(COUNTA(C390:J390)=0,"",IF(OR(C390&lt;&gt;Steuerung!$F$6,D390&lt;1,D390&gt;12),"Periode prüfen",IF(D390&lt;=Steuerung!$F$8,"IST gesperrt",IF(OR(E390="",F390="",COUNT(G390:I390)&lt;&gt;3),"Angaben fehlen","Wirksam"))))</f>
        <v/>
      </c>
      <c r="L390" s="8">
        <f>IF(K390="Wirksam",SUM(G390:H390)-I390,IF(K390="","","n.a."))</f>
        <v/>
      </c>
    </row>
    <row r="391" ht="21" customHeight="1">
      <c r="C391" s="14" t="n"/>
      <c r="D391" s="14" t="n"/>
      <c r="E391" s="14" t="n"/>
      <c r="F391" s="14" t="n"/>
      <c r="G391" s="16" t="n"/>
      <c r="H391" s="16" t="n"/>
      <c r="I391" s="16" t="n"/>
      <c r="J391" s="14" t="n"/>
      <c r="K391" s="10">
        <f>IF(COUNTA(C391:J391)=0,"",IF(OR(C391&lt;&gt;Steuerung!$F$6,D391&lt;1,D391&gt;12),"Periode prüfen",IF(D391&lt;=Steuerung!$F$8,"IST gesperrt",IF(OR(E391="",F391="",COUNT(G391:I391)&lt;&gt;3),"Angaben fehlen","Wirksam"))))</f>
        <v/>
      </c>
      <c r="L391" s="8">
        <f>IF(K391="Wirksam",SUM(G391:H391)-I391,IF(K391="","","n.a."))</f>
        <v/>
      </c>
    </row>
    <row r="392" ht="21" customHeight="1">
      <c r="C392" s="14" t="n"/>
      <c r="D392" s="14" t="n"/>
      <c r="E392" s="14" t="n"/>
      <c r="F392" s="14" t="n"/>
      <c r="G392" s="16" t="n"/>
      <c r="H392" s="16" t="n"/>
      <c r="I392" s="16" t="n"/>
      <c r="J392" s="14" t="n"/>
      <c r="K392" s="10">
        <f>IF(COUNTA(C392:J392)=0,"",IF(OR(C392&lt;&gt;Steuerung!$F$6,D392&lt;1,D392&gt;12),"Periode prüfen",IF(D392&lt;=Steuerung!$F$8,"IST gesperrt",IF(OR(E392="",F392="",COUNT(G392:I392)&lt;&gt;3),"Angaben fehlen","Wirksam"))))</f>
        <v/>
      </c>
      <c r="L392" s="8">
        <f>IF(K392="Wirksam",SUM(G392:H392)-I392,IF(K392="","","n.a."))</f>
        <v/>
      </c>
    </row>
    <row r="393" ht="21" customHeight="1">
      <c r="C393" s="14" t="n"/>
      <c r="D393" s="14" t="n"/>
      <c r="E393" s="14" t="n"/>
      <c r="F393" s="14" t="n"/>
      <c r="G393" s="16" t="n"/>
      <c r="H393" s="16" t="n"/>
      <c r="I393" s="16" t="n"/>
      <c r="J393" s="14" t="n"/>
      <c r="K393" s="10">
        <f>IF(COUNTA(C393:J393)=0,"",IF(OR(C393&lt;&gt;Steuerung!$F$6,D393&lt;1,D393&gt;12),"Periode prüfen",IF(D393&lt;=Steuerung!$F$8,"IST gesperrt",IF(OR(E393="",F393="",COUNT(G393:I393)&lt;&gt;3),"Angaben fehlen","Wirksam"))))</f>
        <v/>
      </c>
      <c r="L393" s="8">
        <f>IF(K393="Wirksam",SUM(G393:H393)-I393,IF(K393="","","n.a."))</f>
        <v/>
      </c>
    </row>
    <row r="394" ht="21" customHeight="1">
      <c r="C394" s="14" t="n"/>
      <c r="D394" s="14" t="n"/>
      <c r="E394" s="14" t="n"/>
      <c r="F394" s="14" t="n"/>
      <c r="G394" s="16" t="n"/>
      <c r="H394" s="16" t="n"/>
      <c r="I394" s="16" t="n"/>
      <c r="J394" s="14" t="n"/>
      <c r="K394" s="10">
        <f>IF(COUNTA(C394:J394)=0,"",IF(OR(C394&lt;&gt;Steuerung!$F$6,D394&lt;1,D394&gt;12),"Periode prüfen",IF(D394&lt;=Steuerung!$F$8,"IST gesperrt",IF(OR(E394="",F394="",COUNT(G394:I394)&lt;&gt;3),"Angaben fehlen","Wirksam"))))</f>
        <v/>
      </c>
      <c r="L394" s="8">
        <f>IF(K394="Wirksam",SUM(G394:H394)-I394,IF(K394="","","n.a."))</f>
        <v/>
      </c>
    </row>
    <row r="395" ht="21" customHeight="1">
      <c r="C395" s="14" t="n"/>
      <c r="D395" s="14" t="n"/>
      <c r="E395" s="14" t="n"/>
      <c r="F395" s="14" t="n"/>
      <c r="G395" s="16" t="n"/>
      <c r="H395" s="16" t="n"/>
      <c r="I395" s="16" t="n"/>
      <c r="J395" s="14" t="n"/>
      <c r="K395" s="10">
        <f>IF(COUNTA(C395:J395)=0,"",IF(OR(C395&lt;&gt;Steuerung!$F$6,D395&lt;1,D395&gt;12),"Periode prüfen",IF(D395&lt;=Steuerung!$F$8,"IST gesperrt",IF(OR(E395="",F395="",COUNT(G395:I395)&lt;&gt;3),"Angaben fehlen","Wirksam"))))</f>
        <v/>
      </c>
      <c r="L395" s="8">
        <f>IF(K395="Wirksam",SUM(G395:H395)-I395,IF(K395="","","n.a."))</f>
        <v/>
      </c>
    </row>
    <row r="396" ht="21" customHeight="1">
      <c r="C396" s="14" t="n"/>
      <c r="D396" s="14" t="n"/>
      <c r="E396" s="14" t="n"/>
      <c r="F396" s="14" t="n"/>
      <c r="G396" s="16" t="n"/>
      <c r="H396" s="16" t="n"/>
      <c r="I396" s="16" t="n"/>
      <c r="J396" s="14" t="n"/>
      <c r="K396" s="10">
        <f>IF(COUNTA(C396:J396)=0,"",IF(OR(C396&lt;&gt;Steuerung!$F$6,D396&lt;1,D396&gt;12),"Periode prüfen",IF(D396&lt;=Steuerung!$F$8,"IST gesperrt",IF(OR(E396="",F396="",COUNT(G396:I396)&lt;&gt;3),"Angaben fehlen","Wirksam"))))</f>
        <v/>
      </c>
      <c r="L396" s="8">
        <f>IF(K396="Wirksam",SUM(G396:H396)-I396,IF(K396="","","n.a."))</f>
        <v/>
      </c>
    </row>
    <row r="397" ht="21" customHeight="1">
      <c r="C397" s="14" t="n"/>
      <c r="D397" s="14" t="n"/>
      <c r="E397" s="14" t="n"/>
      <c r="F397" s="14" t="n"/>
      <c r="G397" s="16" t="n"/>
      <c r="H397" s="16" t="n"/>
      <c r="I397" s="16" t="n"/>
      <c r="J397" s="14" t="n"/>
      <c r="K397" s="10">
        <f>IF(COUNTA(C397:J397)=0,"",IF(OR(C397&lt;&gt;Steuerung!$F$6,D397&lt;1,D397&gt;12),"Periode prüfen",IF(D397&lt;=Steuerung!$F$8,"IST gesperrt",IF(OR(E397="",F397="",COUNT(G397:I397)&lt;&gt;3),"Angaben fehlen","Wirksam"))))</f>
        <v/>
      </c>
      <c r="L397" s="8">
        <f>IF(K397="Wirksam",SUM(G397:H397)-I397,IF(K397="","","n.a."))</f>
        <v/>
      </c>
    </row>
    <row r="398" ht="21" customHeight="1">
      <c r="C398" s="14" t="n"/>
      <c r="D398" s="14" t="n"/>
      <c r="E398" s="14" t="n"/>
      <c r="F398" s="14" t="n"/>
      <c r="G398" s="16" t="n"/>
      <c r="H398" s="16" t="n"/>
      <c r="I398" s="16" t="n"/>
      <c r="J398" s="14" t="n"/>
      <c r="K398" s="10">
        <f>IF(COUNTA(C398:J398)=0,"",IF(OR(C398&lt;&gt;Steuerung!$F$6,D398&lt;1,D398&gt;12),"Periode prüfen",IF(D398&lt;=Steuerung!$F$8,"IST gesperrt",IF(OR(E398="",F398="",COUNT(G398:I398)&lt;&gt;3),"Angaben fehlen","Wirksam"))))</f>
        <v/>
      </c>
      <c r="L398" s="8">
        <f>IF(K398="Wirksam",SUM(G398:H398)-I398,IF(K398="","","n.a."))</f>
        <v/>
      </c>
    </row>
    <row r="399" ht="21" customHeight="1">
      <c r="C399" s="14" t="n"/>
      <c r="D399" s="14" t="n"/>
      <c r="E399" s="14" t="n"/>
      <c r="F399" s="14" t="n"/>
      <c r="G399" s="16" t="n"/>
      <c r="H399" s="16" t="n"/>
      <c r="I399" s="16" t="n"/>
      <c r="J399" s="14" t="n"/>
      <c r="K399" s="10">
        <f>IF(COUNTA(C399:J399)=0,"",IF(OR(C399&lt;&gt;Steuerung!$F$6,D399&lt;1,D399&gt;12),"Periode prüfen",IF(D399&lt;=Steuerung!$F$8,"IST gesperrt",IF(OR(E399="",F399="",COUNT(G399:I399)&lt;&gt;3),"Angaben fehlen","Wirksam"))))</f>
        <v/>
      </c>
      <c r="L399" s="8">
        <f>IF(K399="Wirksam",SUM(G399:H399)-I399,IF(K399="","","n.a."))</f>
        <v/>
      </c>
    </row>
    <row r="400" ht="21" customHeight="1">
      <c r="C400" s="14" t="n"/>
      <c r="D400" s="14" t="n"/>
      <c r="E400" s="14" t="n"/>
      <c r="F400" s="14" t="n"/>
      <c r="G400" s="16" t="n"/>
      <c r="H400" s="16" t="n"/>
      <c r="I400" s="16" t="n"/>
      <c r="J400" s="14" t="n"/>
      <c r="K400" s="10">
        <f>IF(COUNTA(C400:J400)=0,"",IF(OR(C400&lt;&gt;Steuerung!$F$6,D400&lt;1,D400&gt;12),"Periode prüfen",IF(D400&lt;=Steuerung!$F$8,"IST gesperrt",IF(OR(E400="",F400="",COUNT(G400:I400)&lt;&gt;3),"Angaben fehlen","Wirksam"))))</f>
        <v/>
      </c>
      <c r="L400" s="8">
        <f>IF(K400="Wirksam",SUM(G400:H400)-I400,IF(K400="","","n.a."))</f>
        <v/>
      </c>
    </row>
    <row r="401" ht="21" customHeight="1">
      <c r="C401" s="14" t="n"/>
      <c r="D401" s="14" t="n"/>
      <c r="E401" s="14" t="n"/>
      <c r="F401" s="14" t="n"/>
      <c r="G401" s="16" t="n"/>
      <c r="H401" s="16" t="n"/>
      <c r="I401" s="16" t="n"/>
      <c r="J401" s="14" t="n"/>
      <c r="K401" s="10">
        <f>IF(COUNTA(C401:J401)=0,"",IF(OR(C401&lt;&gt;Steuerung!$F$6,D401&lt;1,D401&gt;12),"Periode prüfen",IF(D401&lt;=Steuerung!$F$8,"IST gesperrt",IF(OR(E401="",F401="",COUNT(G401:I401)&lt;&gt;3),"Angaben fehlen","Wirksam"))))</f>
        <v/>
      </c>
      <c r="L401" s="8">
        <f>IF(K401="Wirksam",SUM(G401:H401)-I401,IF(K401="","","n.a."))</f>
        <v/>
      </c>
    </row>
    <row r="402" ht="21" customHeight="1">
      <c r="C402" s="14" t="n"/>
      <c r="D402" s="14" t="n"/>
      <c r="E402" s="14" t="n"/>
      <c r="F402" s="14" t="n"/>
      <c r="G402" s="16" t="n"/>
      <c r="H402" s="16" t="n"/>
      <c r="I402" s="16" t="n"/>
      <c r="J402" s="14" t="n"/>
      <c r="K402" s="10">
        <f>IF(COUNTA(C402:J402)=0,"",IF(OR(C402&lt;&gt;Steuerung!$F$6,D402&lt;1,D402&gt;12),"Periode prüfen",IF(D402&lt;=Steuerung!$F$8,"IST gesperrt",IF(OR(E402="",F402="",COUNT(G402:I402)&lt;&gt;3),"Angaben fehlen","Wirksam"))))</f>
        <v/>
      </c>
      <c r="L402" s="8">
        <f>IF(K402="Wirksam",SUM(G402:H402)-I402,IF(K402="","","n.a."))</f>
        <v/>
      </c>
    </row>
    <row r="403" ht="21" customHeight="1">
      <c r="C403" s="14" t="n"/>
      <c r="D403" s="14" t="n"/>
      <c r="E403" s="14" t="n"/>
      <c r="F403" s="14" t="n"/>
      <c r="G403" s="16" t="n"/>
      <c r="H403" s="16" t="n"/>
      <c r="I403" s="16" t="n"/>
      <c r="J403" s="14" t="n"/>
      <c r="K403" s="10">
        <f>IF(COUNTA(C403:J403)=0,"",IF(OR(C403&lt;&gt;Steuerung!$F$6,D403&lt;1,D403&gt;12),"Periode prüfen",IF(D403&lt;=Steuerung!$F$8,"IST gesperrt",IF(OR(E403="",F403="",COUNT(G403:I403)&lt;&gt;3),"Angaben fehlen","Wirksam"))))</f>
        <v/>
      </c>
      <c r="L403" s="8">
        <f>IF(K403="Wirksam",SUM(G403:H403)-I403,IF(K403="","","n.a."))</f>
        <v/>
      </c>
    </row>
    <row r="404" ht="21" customHeight="1">
      <c r="C404" s="14" t="n"/>
      <c r="D404" s="14" t="n"/>
      <c r="E404" s="14" t="n"/>
      <c r="F404" s="14" t="n"/>
      <c r="G404" s="16" t="n"/>
      <c r="H404" s="16" t="n"/>
      <c r="I404" s="16" t="n"/>
      <c r="J404" s="14" t="n"/>
      <c r="K404" s="10">
        <f>IF(COUNTA(C404:J404)=0,"",IF(OR(C404&lt;&gt;Steuerung!$F$6,D404&lt;1,D404&gt;12),"Periode prüfen",IF(D404&lt;=Steuerung!$F$8,"IST gesperrt",IF(OR(E404="",F404="",COUNT(G404:I404)&lt;&gt;3),"Angaben fehlen","Wirksam"))))</f>
        <v/>
      </c>
      <c r="L404" s="8">
        <f>IF(K404="Wirksam",SUM(G404:H404)-I404,IF(K404="","","n.a."))</f>
        <v/>
      </c>
    </row>
    <row r="405" ht="21" customHeight="1">
      <c r="C405" s="14" t="n"/>
      <c r="D405" s="14" t="n"/>
      <c r="E405" s="14" t="n"/>
      <c r="F405" s="14" t="n"/>
      <c r="G405" s="16" t="n"/>
      <c r="H405" s="16" t="n"/>
      <c r="I405" s="16" t="n"/>
      <c r="J405" s="14" t="n"/>
      <c r="K405" s="10">
        <f>IF(COUNTA(C405:J405)=0,"",IF(OR(C405&lt;&gt;Steuerung!$F$6,D405&lt;1,D405&gt;12),"Periode prüfen",IF(D405&lt;=Steuerung!$F$8,"IST gesperrt",IF(OR(E405="",F405="",COUNT(G405:I405)&lt;&gt;3),"Angaben fehlen","Wirksam"))))</f>
        <v/>
      </c>
      <c r="L405" s="8">
        <f>IF(K405="Wirksam",SUM(G405:H405)-I405,IF(K405="","","n.a."))</f>
        <v/>
      </c>
    </row>
    <row r="406" ht="21" customHeight="1">
      <c r="C406" s="14" t="n"/>
      <c r="D406" s="14" t="n"/>
      <c r="E406" s="14" t="n"/>
      <c r="F406" s="14" t="n"/>
      <c r="G406" s="16" t="n"/>
      <c r="H406" s="16" t="n"/>
      <c r="I406" s="16" t="n"/>
      <c r="J406" s="14" t="n"/>
      <c r="K406" s="10">
        <f>IF(COUNTA(C406:J406)=0,"",IF(OR(C406&lt;&gt;Steuerung!$F$6,D406&lt;1,D406&gt;12),"Periode prüfen",IF(D406&lt;=Steuerung!$F$8,"IST gesperrt",IF(OR(E406="",F406="",COUNT(G406:I406)&lt;&gt;3),"Angaben fehlen","Wirksam"))))</f>
        <v/>
      </c>
      <c r="L406" s="8">
        <f>IF(K406="Wirksam",SUM(G406:H406)-I406,IF(K406="","","n.a."))</f>
        <v/>
      </c>
    </row>
    <row r="407" ht="21" customHeight="1">
      <c r="C407" s="14" t="n"/>
      <c r="D407" s="14" t="n"/>
      <c r="E407" s="14" t="n"/>
      <c r="F407" s="14" t="n"/>
      <c r="G407" s="16" t="n"/>
      <c r="H407" s="16" t="n"/>
      <c r="I407" s="16" t="n"/>
      <c r="J407" s="14" t="n"/>
      <c r="K407" s="10">
        <f>IF(COUNTA(C407:J407)=0,"",IF(OR(C407&lt;&gt;Steuerung!$F$6,D407&lt;1,D407&gt;12),"Periode prüfen",IF(D407&lt;=Steuerung!$F$8,"IST gesperrt",IF(OR(E407="",F407="",COUNT(G407:I407)&lt;&gt;3),"Angaben fehlen","Wirksam"))))</f>
        <v/>
      </c>
      <c r="L407" s="8">
        <f>IF(K407="Wirksam",SUM(G407:H407)-I407,IF(K407="","","n.a."))</f>
        <v/>
      </c>
    </row>
    <row r="408" ht="21" customHeight="1">
      <c r="C408" s="14" t="n"/>
      <c r="D408" s="14" t="n"/>
      <c r="E408" s="14" t="n"/>
      <c r="F408" s="14" t="n"/>
      <c r="G408" s="16" t="n"/>
      <c r="H408" s="16" t="n"/>
      <c r="I408" s="16" t="n"/>
      <c r="J408" s="14" t="n"/>
      <c r="K408" s="10">
        <f>IF(COUNTA(C408:J408)=0,"",IF(OR(C408&lt;&gt;Steuerung!$F$6,D408&lt;1,D408&gt;12),"Periode prüfen",IF(D408&lt;=Steuerung!$F$8,"IST gesperrt",IF(OR(E408="",F408="",COUNT(G408:I408)&lt;&gt;3),"Angaben fehlen","Wirksam"))))</f>
        <v/>
      </c>
      <c r="L408" s="8">
        <f>IF(K408="Wirksam",SUM(G408:H408)-I408,IF(K408="","","n.a."))</f>
        <v/>
      </c>
    </row>
    <row r="409" ht="21" customHeight="1">
      <c r="C409" s="14" t="n"/>
      <c r="D409" s="14" t="n"/>
      <c r="E409" s="14" t="n"/>
      <c r="F409" s="14" t="n"/>
      <c r="G409" s="16" t="n"/>
      <c r="H409" s="16" t="n"/>
      <c r="I409" s="16" t="n"/>
      <c r="J409" s="14" t="n"/>
      <c r="K409" s="10">
        <f>IF(COUNTA(C409:J409)=0,"",IF(OR(C409&lt;&gt;Steuerung!$F$6,D409&lt;1,D409&gt;12),"Periode prüfen",IF(D409&lt;=Steuerung!$F$8,"IST gesperrt",IF(OR(E409="",F409="",COUNT(G409:I409)&lt;&gt;3),"Angaben fehlen","Wirksam"))))</f>
        <v/>
      </c>
      <c r="L409" s="8">
        <f>IF(K409="Wirksam",SUM(G409:H409)-I409,IF(K409="","","n.a."))</f>
        <v/>
      </c>
    </row>
    <row r="410" ht="21" customHeight="1">
      <c r="C410" s="14" t="n"/>
      <c r="D410" s="14" t="n"/>
      <c r="E410" s="14" t="n"/>
      <c r="F410" s="14" t="n"/>
      <c r="G410" s="16" t="n"/>
      <c r="H410" s="16" t="n"/>
      <c r="I410" s="16" t="n"/>
      <c r="J410" s="14" t="n"/>
      <c r="K410" s="10">
        <f>IF(COUNTA(C410:J410)=0,"",IF(OR(C410&lt;&gt;Steuerung!$F$6,D410&lt;1,D410&gt;12),"Periode prüfen",IF(D410&lt;=Steuerung!$F$8,"IST gesperrt",IF(OR(E410="",F410="",COUNT(G410:I410)&lt;&gt;3),"Angaben fehlen","Wirksam"))))</f>
        <v/>
      </c>
      <c r="L410" s="8">
        <f>IF(K410="Wirksam",SUM(G410:H410)-I410,IF(K410="","","n.a."))</f>
        <v/>
      </c>
    </row>
    <row r="411" ht="21" customHeight="1">
      <c r="C411" s="14" t="n"/>
      <c r="D411" s="14" t="n"/>
      <c r="E411" s="14" t="n"/>
      <c r="F411" s="14" t="n"/>
      <c r="G411" s="16" t="n"/>
      <c r="H411" s="16" t="n"/>
      <c r="I411" s="16" t="n"/>
      <c r="J411" s="14" t="n"/>
      <c r="K411" s="10">
        <f>IF(COUNTA(C411:J411)=0,"",IF(OR(C411&lt;&gt;Steuerung!$F$6,D411&lt;1,D411&gt;12),"Periode prüfen",IF(D411&lt;=Steuerung!$F$8,"IST gesperrt",IF(OR(E411="",F411="",COUNT(G411:I411)&lt;&gt;3),"Angaben fehlen","Wirksam"))))</f>
        <v/>
      </c>
      <c r="L411" s="8">
        <f>IF(K411="Wirksam",SUM(G411:H411)-I411,IF(K411="","","n.a."))</f>
        <v/>
      </c>
    </row>
    <row r="412" ht="21" customHeight="1">
      <c r="C412" s="14" t="n"/>
      <c r="D412" s="14" t="n"/>
      <c r="E412" s="14" t="n"/>
      <c r="F412" s="14" t="n"/>
      <c r="G412" s="16" t="n"/>
      <c r="H412" s="16" t="n"/>
      <c r="I412" s="16" t="n"/>
      <c r="J412" s="14" t="n"/>
      <c r="K412" s="10">
        <f>IF(COUNTA(C412:J412)=0,"",IF(OR(C412&lt;&gt;Steuerung!$F$6,D412&lt;1,D412&gt;12),"Periode prüfen",IF(D412&lt;=Steuerung!$F$8,"IST gesperrt",IF(OR(E412="",F412="",COUNT(G412:I412)&lt;&gt;3),"Angaben fehlen","Wirksam"))))</f>
        <v/>
      </c>
      <c r="L412" s="8">
        <f>IF(K412="Wirksam",SUM(G412:H412)-I412,IF(K412="","","n.a."))</f>
        <v/>
      </c>
    </row>
    <row r="413" ht="21" customHeight="1">
      <c r="C413" s="14" t="n"/>
      <c r="D413" s="14" t="n"/>
      <c r="E413" s="14" t="n"/>
      <c r="F413" s="14" t="n"/>
      <c r="G413" s="16" t="n"/>
      <c r="H413" s="16" t="n"/>
      <c r="I413" s="16" t="n"/>
      <c r="J413" s="14" t="n"/>
      <c r="K413" s="10">
        <f>IF(COUNTA(C413:J413)=0,"",IF(OR(C413&lt;&gt;Steuerung!$F$6,D413&lt;1,D413&gt;12),"Periode prüfen",IF(D413&lt;=Steuerung!$F$8,"IST gesperrt",IF(OR(E413="",F413="",COUNT(G413:I413)&lt;&gt;3),"Angaben fehlen","Wirksam"))))</f>
        <v/>
      </c>
      <c r="L413" s="8">
        <f>IF(K413="Wirksam",SUM(G413:H413)-I413,IF(K413="","","n.a."))</f>
        <v/>
      </c>
    </row>
    <row r="414" ht="21" customHeight="1">
      <c r="C414" s="14" t="n"/>
      <c r="D414" s="14" t="n"/>
      <c r="E414" s="14" t="n"/>
      <c r="F414" s="14" t="n"/>
      <c r="G414" s="16" t="n"/>
      <c r="H414" s="16" t="n"/>
      <c r="I414" s="16" t="n"/>
      <c r="J414" s="14" t="n"/>
      <c r="K414" s="10">
        <f>IF(COUNTA(C414:J414)=0,"",IF(OR(C414&lt;&gt;Steuerung!$F$6,D414&lt;1,D414&gt;12),"Periode prüfen",IF(D414&lt;=Steuerung!$F$8,"IST gesperrt",IF(OR(E414="",F414="",COUNT(G414:I414)&lt;&gt;3),"Angaben fehlen","Wirksam"))))</f>
        <v/>
      </c>
      <c r="L414" s="8">
        <f>IF(K414="Wirksam",SUM(G414:H414)-I414,IF(K414="","","n.a."))</f>
        <v/>
      </c>
    </row>
    <row r="415" ht="21" customHeight="1">
      <c r="C415" s="14" t="n"/>
      <c r="D415" s="14" t="n"/>
      <c r="E415" s="14" t="n"/>
      <c r="F415" s="14" t="n"/>
      <c r="G415" s="16" t="n"/>
      <c r="H415" s="16" t="n"/>
      <c r="I415" s="16" t="n"/>
      <c r="J415" s="14" t="n"/>
      <c r="K415" s="10">
        <f>IF(COUNTA(C415:J415)=0,"",IF(OR(C415&lt;&gt;Steuerung!$F$6,D415&lt;1,D415&gt;12),"Periode prüfen",IF(D415&lt;=Steuerung!$F$8,"IST gesperrt",IF(OR(E415="",F415="",COUNT(G415:I415)&lt;&gt;3),"Angaben fehlen","Wirksam"))))</f>
        <v/>
      </c>
      <c r="L415" s="8">
        <f>IF(K415="Wirksam",SUM(G415:H415)-I415,IF(K415="","","n.a."))</f>
        <v/>
      </c>
    </row>
    <row r="416" ht="21" customHeight="1">
      <c r="C416" s="14" t="n"/>
      <c r="D416" s="14" t="n"/>
      <c r="E416" s="14" t="n"/>
      <c r="F416" s="14" t="n"/>
      <c r="G416" s="16" t="n"/>
      <c r="H416" s="16" t="n"/>
      <c r="I416" s="16" t="n"/>
      <c r="J416" s="14" t="n"/>
      <c r="K416" s="10">
        <f>IF(COUNTA(C416:J416)=0,"",IF(OR(C416&lt;&gt;Steuerung!$F$6,D416&lt;1,D416&gt;12),"Periode prüfen",IF(D416&lt;=Steuerung!$F$8,"IST gesperrt",IF(OR(E416="",F416="",COUNT(G416:I416)&lt;&gt;3),"Angaben fehlen","Wirksam"))))</f>
        <v/>
      </c>
      <c r="L416" s="8">
        <f>IF(K416="Wirksam",SUM(G416:H416)-I416,IF(K416="","","n.a."))</f>
        <v/>
      </c>
    </row>
    <row r="417" ht="21" customHeight="1">
      <c r="C417" s="14" t="n"/>
      <c r="D417" s="14" t="n"/>
      <c r="E417" s="14" t="n"/>
      <c r="F417" s="14" t="n"/>
      <c r="G417" s="16" t="n"/>
      <c r="H417" s="16" t="n"/>
      <c r="I417" s="16" t="n"/>
      <c r="J417" s="14" t="n"/>
      <c r="K417" s="10">
        <f>IF(COUNTA(C417:J417)=0,"",IF(OR(C417&lt;&gt;Steuerung!$F$6,D417&lt;1,D417&gt;12),"Periode prüfen",IF(D417&lt;=Steuerung!$F$8,"IST gesperrt",IF(OR(E417="",F417="",COUNT(G417:I417)&lt;&gt;3),"Angaben fehlen","Wirksam"))))</f>
        <v/>
      </c>
      <c r="L417" s="8">
        <f>IF(K417="Wirksam",SUM(G417:H417)-I417,IF(K417="","","n.a."))</f>
        <v/>
      </c>
    </row>
    <row r="418" ht="21" customHeight="1">
      <c r="C418" s="14" t="n"/>
      <c r="D418" s="14" t="n"/>
      <c r="E418" s="14" t="n"/>
      <c r="F418" s="14" t="n"/>
      <c r="G418" s="16" t="n"/>
      <c r="H418" s="16" t="n"/>
      <c r="I418" s="16" t="n"/>
      <c r="J418" s="14" t="n"/>
      <c r="K418" s="10">
        <f>IF(COUNTA(C418:J418)=0,"",IF(OR(C418&lt;&gt;Steuerung!$F$6,D418&lt;1,D418&gt;12),"Periode prüfen",IF(D418&lt;=Steuerung!$F$8,"IST gesperrt",IF(OR(E418="",F418="",COUNT(G418:I418)&lt;&gt;3),"Angaben fehlen","Wirksam"))))</f>
        <v/>
      </c>
      <c r="L418" s="8">
        <f>IF(K418="Wirksam",SUM(G418:H418)-I418,IF(K418="","","n.a."))</f>
        <v/>
      </c>
    </row>
    <row r="419" ht="21" customHeight="1">
      <c r="C419" s="14" t="n"/>
      <c r="D419" s="14" t="n"/>
      <c r="E419" s="14" t="n"/>
      <c r="F419" s="14" t="n"/>
      <c r="G419" s="16" t="n"/>
      <c r="H419" s="16" t="n"/>
      <c r="I419" s="16" t="n"/>
      <c r="J419" s="14" t="n"/>
      <c r="K419" s="10">
        <f>IF(COUNTA(C419:J419)=0,"",IF(OR(C419&lt;&gt;Steuerung!$F$6,D419&lt;1,D419&gt;12),"Periode prüfen",IF(D419&lt;=Steuerung!$F$8,"IST gesperrt",IF(OR(E419="",F419="",COUNT(G419:I419)&lt;&gt;3),"Angaben fehlen","Wirksam"))))</f>
        <v/>
      </c>
      <c r="L419" s="8">
        <f>IF(K419="Wirksam",SUM(G419:H419)-I419,IF(K419="","","n.a."))</f>
        <v/>
      </c>
    </row>
    <row r="420" ht="21" customHeight="1">
      <c r="C420" s="14" t="n"/>
      <c r="D420" s="14" t="n"/>
      <c r="E420" s="14" t="n"/>
      <c r="F420" s="14" t="n"/>
      <c r="G420" s="16" t="n"/>
      <c r="H420" s="16" t="n"/>
      <c r="I420" s="16" t="n"/>
      <c r="J420" s="14" t="n"/>
      <c r="K420" s="10">
        <f>IF(COUNTA(C420:J420)=0,"",IF(OR(C420&lt;&gt;Steuerung!$F$6,D420&lt;1,D420&gt;12),"Periode prüfen",IF(D420&lt;=Steuerung!$F$8,"IST gesperrt",IF(OR(E420="",F420="",COUNT(G420:I420)&lt;&gt;3),"Angaben fehlen","Wirksam"))))</f>
        <v/>
      </c>
      <c r="L420" s="8">
        <f>IF(K420="Wirksam",SUM(G420:H420)-I420,IF(K420="","","n.a."))</f>
        <v/>
      </c>
    </row>
    <row r="421" ht="21" customHeight="1">
      <c r="C421" s="14" t="n"/>
      <c r="D421" s="14" t="n"/>
      <c r="E421" s="14" t="n"/>
      <c r="F421" s="14" t="n"/>
      <c r="G421" s="16" t="n"/>
      <c r="H421" s="16" t="n"/>
      <c r="I421" s="16" t="n"/>
      <c r="J421" s="14" t="n"/>
      <c r="K421" s="10">
        <f>IF(COUNTA(C421:J421)=0,"",IF(OR(C421&lt;&gt;Steuerung!$F$6,D421&lt;1,D421&gt;12),"Periode prüfen",IF(D421&lt;=Steuerung!$F$8,"IST gesperrt",IF(OR(E421="",F421="",COUNT(G421:I421)&lt;&gt;3),"Angaben fehlen","Wirksam"))))</f>
        <v/>
      </c>
      <c r="L421" s="8">
        <f>IF(K421="Wirksam",SUM(G421:H421)-I421,IF(K421="","","n.a."))</f>
        <v/>
      </c>
    </row>
    <row r="422" ht="21" customHeight="1">
      <c r="C422" s="14" t="n"/>
      <c r="D422" s="14" t="n"/>
      <c r="E422" s="14" t="n"/>
      <c r="F422" s="14" t="n"/>
      <c r="G422" s="16" t="n"/>
      <c r="H422" s="16" t="n"/>
      <c r="I422" s="16" t="n"/>
      <c r="J422" s="14" t="n"/>
      <c r="K422" s="10">
        <f>IF(COUNTA(C422:J422)=0,"",IF(OR(C422&lt;&gt;Steuerung!$F$6,D422&lt;1,D422&gt;12),"Periode prüfen",IF(D422&lt;=Steuerung!$F$8,"IST gesperrt",IF(OR(E422="",F422="",COUNT(G422:I422)&lt;&gt;3),"Angaben fehlen","Wirksam"))))</f>
        <v/>
      </c>
      <c r="L422" s="8">
        <f>IF(K422="Wirksam",SUM(G422:H422)-I422,IF(K422="","","n.a."))</f>
        <v/>
      </c>
    </row>
    <row r="423" ht="21" customHeight="1">
      <c r="C423" s="14" t="n"/>
      <c r="D423" s="14" t="n"/>
      <c r="E423" s="14" t="n"/>
      <c r="F423" s="14" t="n"/>
      <c r="G423" s="16" t="n"/>
      <c r="H423" s="16" t="n"/>
      <c r="I423" s="16" t="n"/>
      <c r="J423" s="14" t="n"/>
      <c r="K423" s="10">
        <f>IF(COUNTA(C423:J423)=0,"",IF(OR(C423&lt;&gt;Steuerung!$F$6,D423&lt;1,D423&gt;12),"Periode prüfen",IF(D423&lt;=Steuerung!$F$8,"IST gesperrt",IF(OR(E423="",F423="",COUNT(G423:I423)&lt;&gt;3),"Angaben fehlen","Wirksam"))))</f>
        <v/>
      </c>
      <c r="L423" s="8">
        <f>IF(K423="Wirksam",SUM(G423:H423)-I423,IF(K423="","","n.a."))</f>
        <v/>
      </c>
    </row>
    <row r="424" ht="21" customHeight="1">
      <c r="C424" s="14" t="n"/>
      <c r="D424" s="14" t="n"/>
      <c r="E424" s="14" t="n"/>
      <c r="F424" s="14" t="n"/>
      <c r="G424" s="16" t="n"/>
      <c r="H424" s="16" t="n"/>
      <c r="I424" s="16" t="n"/>
      <c r="J424" s="14" t="n"/>
      <c r="K424" s="10">
        <f>IF(COUNTA(C424:J424)=0,"",IF(OR(C424&lt;&gt;Steuerung!$F$6,D424&lt;1,D424&gt;12),"Periode prüfen",IF(D424&lt;=Steuerung!$F$8,"IST gesperrt",IF(OR(E424="",F424="",COUNT(G424:I424)&lt;&gt;3),"Angaben fehlen","Wirksam"))))</f>
        <v/>
      </c>
      <c r="L424" s="8">
        <f>IF(K424="Wirksam",SUM(G424:H424)-I424,IF(K424="","","n.a."))</f>
        <v/>
      </c>
    </row>
    <row r="425" ht="21" customHeight="1">
      <c r="C425" s="14" t="n"/>
      <c r="D425" s="14" t="n"/>
      <c r="E425" s="14" t="n"/>
      <c r="F425" s="14" t="n"/>
      <c r="G425" s="16" t="n"/>
      <c r="H425" s="16" t="n"/>
      <c r="I425" s="16" t="n"/>
      <c r="J425" s="14" t="n"/>
      <c r="K425" s="10">
        <f>IF(COUNTA(C425:J425)=0,"",IF(OR(C425&lt;&gt;Steuerung!$F$6,D425&lt;1,D425&gt;12),"Periode prüfen",IF(D425&lt;=Steuerung!$F$8,"IST gesperrt",IF(OR(E425="",F425="",COUNT(G425:I425)&lt;&gt;3),"Angaben fehlen","Wirksam"))))</f>
        <v/>
      </c>
      <c r="L425" s="8">
        <f>IF(K425="Wirksam",SUM(G425:H425)-I425,IF(K425="","","n.a."))</f>
        <v/>
      </c>
    </row>
    <row r="426" ht="21" customHeight="1">
      <c r="C426" s="14" t="n"/>
      <c r="D426" s="14" t="n"/>
      <c r="E426" s="14" t="n"/>
      <c r="F426" s="14" t="n"/>
      <c r="G426" s="16" t="n"/>
      <c r="H426" s="16" t="n"/>
      <c r="I426" s="16" t="n"/>
      <c r="J426" s="14" t="n"/>
      <c r="K426" s="10">
        <f>IF(COUNTA(C426:J426)=0,"",IF(OR(C426&lt;&gt;Steuerung!$F$6,D426&lt;1,D426&gt;12),"Periode prüfen",IF(D426&lt;=Steuerung!$F$8,"IST gesperrt",IF(OR(E426="",F426="",COUNT(G426:I426)&lt;&gt;3),"Angaben fehlen","Wirksam"))))</f>
        <v/>
      </c>
      <c r="L426" s="8">
        <f>IF(K426="Wirksam",SUM(G426:H426)-I426,IF(K426="","","n.a."))</f>
        <v/>
      </c>
    </row>
    <row r="427" ht="21" customHeight="1">
      <c r="C427" s="14" t="n"/>
      <c r="D427" s="14" t="n"/>
      <c r="E427" s="14" t="n"/>
      <c r="F427" s="14" t="n"/>
      <c r="G427" s="16" t="n"/>
      <c r="H427" s="16" t="n"/>
      <c r="I427" s="16" t="n"/>
      <c r="J427" s="14" t="n"/>
      <c r="K427" s="10">
        <f>IF(COUNTA(C427:J427)=0,"",IF(OR(C427&lt;&gt;Steuerung!$F$6,D427&lt;1,D427&gt;12),"Periode prüfen",IF(D427&lt;=Steuerung!$F$8,"IST gesperrt",IF(OR(E427="",F427="",COUNT(G427:I427)&lt;&gt;3),"Angaben fehlen","Wirksam"))))</f>
        <v/>
      </c>
      <c r="L427" s="8">
        <f>IF(K427="Wirksam",SUM(G427:H427)-I427,IF(K427="","","n.a."))</f>
        <v/>
      </c>
    </row>
    <row r="428" ht="21" customHeight="1">
      <c r="C428" s="14" t="n"/>
      <c r="D428" s="14" t="n"/>
      <c r="E428" s="14" t="n"/>
      <c r="F428" s="14" t="n"/>
      <c r="G428" s="16" t="n"/>
      <c r="H428" s="16" t="n"/>
      <c r="I428" s="16" t="n"/>
      <c r="J428" s="14" t="n"/>
      <c r="K428" s="10">
        <f>IF(COUNTA(C428:J428)=0,"",IF(OR(C428&lt;&gt;Steuerung!$F$6,D428&lt;1,D428&gt;12),"Periode prüfen",IF(D428&lt;=Steuerung!$F$8,"IST gesperrt",IF(OR(E428="",F428="",COUNT(G428:I428)&lt;&gt;3),"Angaben fehlen","Wirksam"))))</f>
        <v/>
      </c>
      <c r="L428" s="8">
        <f>IF(K428="Wirksam",SUM(G428:H428)-I428,IF(K428="","","n.a."))</f>
        <v/>
      </c>
    </row>
    <row r="429" ht="21" customHeight="1">
      <c r="C429" s="14" t="n"/>
      <c r="D429" s="14" t="n"/>
      <c r="E429" s="14" t="n"/>
      <c r="F429" s="14" t="n"/>
      <c r="G429" s="16" t="n"/>
      <c r="H429" s="16" t="n"/>
      <c r="I429" s="16" t="n"/>
      <c r="J429" s="14" t="n"/>
      <c r="K429" s="10">
        <f>IF(COUNTA(C429:J429)=0,"",IF(OR(C429&lt;&gt;Steuerung!$F$6,D429&lt;1,D429&gt;12),"Periode prüfen",IF(D429&lt;=Steuerung!$F$8,"IST gesperrt",IF(OR(E429="",F429="",COUNT(G429:I429)&lt;&gt;3),"Angaben fehlen","Wirksam"))))</f>
        <v/>
      </c>
      <c r="L429" s="8">
        <f>IF(K429="Wirksam",SUM(G429:H429)-I429,IF(K429="","","n.a."))</f>
        <v/>
      </c>
    </row>
    <row r="430" ht="21" customHeight="1">
      <c r="C430" s="14" t="n"/>
      <c r="D430" s="14" t="n"/>
      <c r="E430" s="14" t="n"/>
      <c r="F430" s="14" t="n"/>
      <c r="G430" s="16" t="n"/>
      <c r="H430" s="16" t="n"/>
      <c r="I430" s="16" t="n"/>
      <c r="J430" s="14" t="n"/>
      <c r="K430" s="10">
        <f>IF(COUNTA(C430:J430)=0,"",IF(OR(C430&lt;&gt;Steuerung!$F$6,D430&lt;1,D430&gt;12),"Periode prüfen",IF(D430&lt;=Steuerung!$F$8,"IST gesperrt",IF(OR(E430="",F430="",COUNT(G430:I430)&lt;&gt;3),"Angaben fehlen","Wirksam"))))</f>
        <v/>
      </c>
      <c r="L430" s="8">
        <f>IF(K430="Wirksam",SUM(G430:H430)-I430,IF(K430="","","n.a."))</f>
        <v/>
      </c>
    </row>
    <row r="431" ht="21" customHeight="1">
      <c r="C431" s="14" t="n"/>
      <c r="D431" s="14" t="n"/>
      <c r="E431" s="14" t="n"/>
      <c r="F431" s="14" t="n"/>
      <c r="G431" s="16" t="n"/>
      <c r="H431" s="16" t="n"/>
      <c r="I431" s="16" t="n"/>
      <c r="J431" s="14" t="n"/>
      <c r="K431" s="10">
        <f>IF(COUNTA(C431:J431)=0,"",IF(OR(C431&lt;&gt;Steuerung!$F$6,D431&lt;1,D431&gt;12),"Periode prüfen",IF(D431&lt;=Steuerung!$F$8,"IST gesperrt",IF(OR(E431="",F431="",COUNT(G431:I431)&lt;&gt;3),"Angaben fehlen","Wirksam"))))</f>
        <v/>
      </c>
      <c r="L431" s="8">
        <f>IF(K431="Wirksam",SUM(G431:H431)-I431,IF(K431="","","n.a."))</f>
        <v/>
      </c>
    </row>
    <row r="432" ht="21" customHeight="1">
      <c r="C432" s="14" t="n"/>
      <c r="D432" s="14" t="n"/>
      <c r="E432" s="14" t="n"/>
      <c r="F432" s="14" t="n"/>
      <c r="G432" s="16" t="n"/>
      <c r="H432" s="16" t="n"/>
      <c r="I432" s="16" t="n"/>
      <c r="J432" s="14" t="n"/>
      <c r="K432" s="10">
        <f>IF(COUNTA(C432:J432)=0,"",IF(OR(C432&lt;&gt;Steuerung!$F$6,D432&lt;1,D432&gt;12),"Periode prüfen",IF(D432&lt;=Steuerung!$F$8,"IST gesperrt",IF(OR(E432="",F432="",COUNT(G432:I432)&lt;&gt;3),"Angaben fehlen","Wirksam"))))</f>
        <v/>
      </c>
      <c r="L432" s="8">
        <f>IF(K432="Wirksam",SUM(G432:H432)-I432,IF(K432="","","n.a."))</f>
        <v/>
      </c>
    </row>
    <row r="433" ht="21" customHeight="1">
      <c r="C433" s="14" t="n"/>
      <c r="D433" s="14" t="n"/>
      <c r="E433" s="14" t="n"/>
      <c r="F433" s="14" t="n"/>
      <c r="G433" s="16" t="n"/>
      <c r="H433" s="16" t="n"/>
      <c r="I433" s="16" t="n"/>
      <c r="J433" s="14" t="n"/>
      <c r="K433" s="10">
        <f>IF(COUNTA(C433:J433)=0,"",IF(OR(C433&lt;&gt;Steuerung!$F$6,D433&lt;1,D433&gt;12),"Periode prüfen",IF(D433&lt;=Steuerung!$F$8,"IST gesperrt",IF(OR(E433="",F433="",COUNT(G433:I433)&lt;&gt;3),"Angaben fehlen","Wirksam"))))</f>
        <v/>
      </c>
      <c r="L433" s="8">
        <f>IF(K433="Wirksam",SUM(G433:H433)-I433,IF(K433="","","n.a."))</f>
        <v/>
      </c>
    </row>
    <row r="434" ht="21" customHeight="1">
      <c r="C434" s="14" t="n"/>
      <c r="D434" s="14" t="n"/>
      <c r="E434" s="14" t="n"/>
      <c r="F434" s="14" t="n"/>
      <c r="G434" s="16" t="n"/>
      <c r="H434" s="16" t="n"/>
      <c r="I434" s="16" t="n"/>
      <c r="J434" s="14" t="n"/>
      <c r="K434" s="10">
        <f>IF(COUNTA(C434:J434)=0,"",IF(OR(C434&lt;&gt;Steuerung!$F$6,D434&lt;1,D434&gt;12),"Periode prüfen",IF(D434&lt;=Steuerung!$F$8,"IST gesperrt",IF(OR(E434="",F434="",COUNT(G434:I434)&lt;&gt;3),"Angaben fehlen","Wirksam"))))</f>
        <v/>
      </c>
      <c r="L434" s="8">
        <f>IF(K434="Wirksam",SUM(G434:H434)-I434,IF(K434="","","n.a."))</f>
        <v/>
      </c>
    </row>
    <row r="435" ht="21" customHeight="1">
      <c r="C435" s="14" t="n"/>
      <c r="D435" s="14" t="n"/>
      <c r="E435" s="14" t="n"/>
      <c r="F435" s="14" t="n"/>
      <c r="G435" s="16" t="n"/>
      <c r="H435" s="16" t="n"/>
      <c r="I435" s="16" t="n"/>
      <c r="J435" s="14" t="n"/>
      <c r="K435" s="10">
        <f>IF(COUNTA(C435:J435)=0,"",IF(OR(C435&lt;&gt;Steuerung!$F$6,D435&lt;1,D435&gt;12),"Periode prüfen",IF(D435&lt;=Steuerung!$F$8,"IST gesperrt",IF(OR(E435="",F435="",COUNT(G435:I435)&lt;&gt;3),"Angaben fehlen","Wirksam"))))</f>
        <v/>
      </c>
      <c r="L435" s="8">
        <f>IF(K435="Wirksam",SUM(G435:H435)-I435,IF(K435="","","n.a."))</f>
        <v/>
      </c>
    </row>
    <row r="436" ht="21" customHeight="1">
      <c r="C436" s="14" t="n"/>
      <c r="D436" s="14" t="n"/>
      <c r="E436" s="14" t="n"/>
      <c r="F436" s="14" t="n"/>
      <c r="G436" s="16" t="n"/>
      <c r="H436" s="16" t="n"/>
      <c r="I436" s="16" t="n"/>
      <c r="J436" s="14" t="n"/>
      <c r="K436" s="10">
        <f>IF(COUNTA(C436:J436)=0,"",IF(OR(C436&lt;&gt;Steuerung!$F$6,D436&lt;1,D436&gt;12),"Periode prüfen",IF(D436&lt;=Steuerung!$F$8,"IST gesperrt",IF(OR(E436="",F436="",COUNT(G436:I436)&lt;&gt;3),"Angaben fehlen","Wirksam"))))</f>
        <v/>
      </c>
      <c r="L436" s="8">
        <f>IF(K436="Wirksam",SUM(G436:H436)-I436,IF(K436="","","n.a."))</f>
        <v/>
      </c>
    </row>
    <row r="437" ht="21" customHeight="1">
      <c r="C437" s="14" t="n"/>
      <c r="D437" s="14" t="n"/>
      <c r="E437" s="14" t="n"/>
      <c r="F437" s="14" t="n"/>
      <c r="G437" s="16" t="n"/>
      <c r="H437" s="16" t="n"/>
      <c r="I437" s="16" t="n"/>
      <c r="J437" s="14" t="n"/>
      <c r="K437" s="10">
        <f>IF(COUNTA(C437:J437)=0,"",IF(OR(C437&lt;&gt;Steuerung!$F$6,D437&lt;1,D437&gt;12),"Periode prüfen",IF(D437&lt;=Steuerung!$F$8,"IST gesperrt",IF(OR(E437="",F437="",COUNT(G437:I437)&lt;&gt;3),"Angaben fehlen","Wirksam"))))</f>
        <v/>
      </c>
      <c r="L437" s="8">
        <f>IF(K437="Wirksam",SUM(G437:H437)-I437,IF(K437="","","n.a."))</f>
        <v/>
      </c>
    </row>
    <row r="438" ht="21" customHeight="1">
      <c r="C438" s="14" t="n"/>
      <c r="D438" s="14" t="n"/>
      <c r="E438" s="14" t="n"/>
      <c r="F438" s="14" t="n"/>
      <c r="G438" s="16" t="n"/>
      <c r="H438" s="16" t="n"/>
      <c r="I438" s="16" t="n"/>
      <c r="J438" s="14" t="n"/>
      <c r="K438" s="10">
        <f>IF(COUNTA(C438:J438)=0,"",IF(OR(C438&lt;&gt;Steuerung!$F$6,D438&lt;1,D438&gt;12),"Periode prüfen",IF(D438&lt;=Steuerung!$F$8,"IST gesperrt",IF(OR(E438="",F438="",COUNT(G438:I438)&lt;&gt;3),"Angaben fehlen","Wirksam"))))</f>
        <v/>
      </c>
      <c r="L438" s="8">
        <f>IF(K438="Wirksam",SUM(G438:H438)-I438,IF(K438="","","n.a."))</f>
        <v/>
      </c>
    </row>
    <row r="439" ht="21" customHeight="1">
      <c r="C439" s="14" t="n"/>
      <c r="D439" s="14" t="n"/>
      <c r="E439" s="14" t="n"/>
      <c r="F439" s="14" t="n"/>
      <c r="G439" s="16" t="n"/>
      <c r="H439" s="16" t="n"/>
      <c r="I439" s="16" t="n"/>
      <c r="J439" s="14" t="n"/>
      <c r="K439" s="10">
        <f>IF(COUNTA(C439:J439)=0,"",IF(OR(C439&lt;&gt;Steuerung!$F$6,D439&lt;1,D439&gt;12),"Periode prüfen",IF(D439&lt;=Steuerung!$F$8,"IST gesperrt",IF(OR(E439="",F439="",COUNT(G439:I439)&lt;&gt;3),"Angaben fehlen","Wirksam"))))</f>
        <v/>
      </c>
      <c r="L439" s="8">
        <f>IF(K439="Wirksam",SUM(G439:H439)-I439,IF(K439="","","n.a."))</f>
        <v/>
      </c>
    </row>
    <row r="440" ht="21" customHeight="1">
      <c r="C440" s="14" t="n"/>
      <c r="D440" s="14" t="n"/>
      <c r="E440" s="14" t="n"/>
      <c r="F440" s="14" t="n"/>
      <c r="G440" s="16" t="n"/>
      <c r="H440" s="16" t="n"/>
      <c r="I440" s="16" t="n"/>
      <c r="J440" s="14" t="n"/>
      <c r="K440" s="10">
        <f>IF(COUNTA(C440:J440)=0,"",IF(OR(C440&lt;&gt;Steuerung!$F$6,D440&lt;1,D440&gt;12),"Periode prüfen",IF(D440&lt;=Steuerung!$F$8,"IST gesperrt",IF(OR(E440="",F440="",COUNT(G440:I440)&lt;&gt;3),"Angaben fehlen","Wirksam"))))</f>
        <v/>
      </c>
      <c r="L440" s="8">
        <f>IF(K440="Wirksam",SUM(G440:H440)-I440,IF(K440="","","n.a."))</f>
        <v/>
      </c>
    </row>
    <row r="441" ht="21" customHeight="1">
      <c r="C441" s="14" t="n"/>
      <c r="D441" s="14" t="n"/>
      <c r="E441" s="14" t="n"/>
      <c r="F441" s="14" t="n"/>
      <c r="G441" s="16" t="n"/>
      <c r="H441" s="16" t="n"/>
      <c r="I441" s="16" t="n"/>
      <c r="J441" s="14" t="n"/>
      <c r="K441" s="10">
        <f>IF(COUNTA(C441:J441)=0,"",IF(OR(C441&lt;&gt;Steuerung!$F$6,D441&lt;1,D441&gt;12),"Periode prüfen",IF(D441&lt;=Steuerung!$F$8,"IST gesperrt",IF(OR(E441="",F441="",COUNT(G441:I441)&lt;&gt;3),"Angaben fehlen","Wirksam"))))</f>
        <v/>
      </c>
      <c r="L441" s="8">
        <f>IF(K441="Wirksam",SUM(G441:H441)-I441,IF(K441="","","n.a."))</f>
        <v/>
      </c>
    </row>
    <row r="442" ht="21" customHeight="1">
      <c r="C442" s="14" t="n"/>
      <c r="D442" s="14" t="n"/>
      <c r="E442" s="14" t="n"/>
      <c r="F442" s="14" t="n"/>
      <c r="G442" s="16" t="n"/>
      <c r="H442" s="16" t="n"/>
      <c r="I442" s="16" t="n"/>
      <c r="J442" s="14" t="n"/>
      <c r="K442" s="10">
        <f>IF(COUNTA(C442:J442)=0,"",IF(OR(C442&lt;&gt;Steuerung!$F$6,D442&lt;1,D442&gt;12),"Periode prüfen",IF(D442&lt;=Steuerung!$F$8,"IST gesperrt",IF(OR(E442="",F442="",COUNT(G442:I442)&lt;&gt;3),"Angaben fehlen","Wirksam"))))</f>
        <v/>
      </c>
      <c r="L442" s="8">
        <f>IF(K442="Wirksam",SUM(G442:H442)-I442,IF(K442="","","n.a."))</f>
        <v/>
      </c>
    </row>
    <row r="443" ht="21" customHeight="1">
      <c r="C443" s="14" t="n"/>
      <c r="D443" s="14" t="n"/>
      <c r="E443" s="14" t="n"/>
      <c r="F443" s="14" t="n"/>
      <c r="G443" s="16" t="n"/>
      <c r="H443" s="16" t="n"/>
      <c r="I443" s="16" t="n"/>
      <c r="J443" s="14" t="n"/>
      <c r="K443" s="10">
        <f>IF(COUNTA(C443:J443)=0,"",IF(OR(C443&lt;&gt;Steuerung!$F$6,D443&lt;1,D443&gt;12),"Periode prüfen",IF(D443&lt;=Steuerung!$F$8,"IST gesperrt",IF(OR(E443="",F443="",COUNT(G443:I443)&lt;&gt;3),"Angaben fehlen","Wirksam"))))</f>
        <v/>
      </c>
      <c r="L443" s="8">
        <f>IF(K443="Wirksam",SUM(G443:H443)-I443,IF(K443="","","n.a."))</f>
        <v/>
      </c>
    </row>
    <row r="444" ht="21" customHeight="1">
      <c r="C444" s="14" t="n"/>
      <c r="D444" s="14" t="n"/>
      <c r="E444" s="14" t="n"/>
      <c r="F444" s="14" t="n"/>
      <c r="G444" s="16" t="n"/>
      <c r="H444" s="16" t="n"/>
      <c r="I444" s="16" t="n"/>
      <c r="J444" s="14" t="n"/>
      <c r="K444" s="10">
        <f>IF(COUNTA(C444:J444)=0,"",IF(OR(C444&lt;&gt;Steuerung!$F$6,D444&lt;1,D444&gt;12),"Periode prüfen",IF(D444&lt;=Steuerung!$F$8,"IST gesperrt",IF(OR(E444="",F444="",COUNT(G444:I444)&lt;&gt;3),"Angaben fehlen","Wirksam"))))</f>
        <v/>
      </c>
      <c r="L444" s="8">
        <f>IF(K444="Wirksam",SUM(G444:H444)-I444,IF(K444="","","n.a."))</f>
        <v/>
      </c>
    </row>
    <row r="445" ht="21" customHeight="1">
      <c r="C445" s="14" t="n"/>
      <c r="D445" s="14" t="n"/>
      <c r="E445" s="14" t="n"/>
      <c r="F445" s="14" t="n"/>
      <c r="G445" s="16" t="n"/>
      <c r="H445" s="16" t="n"/>
      <c r="I445" s="16" t="n"/>
      <c r="J445" s="14" t="n"/>
      <c r="K445" s="10">
        <f>IF(COUNTA(C445:J445)=0,"",IF(OR(C445&lt;&gt;Steuerung!$F$6,D445&lt;1,D445&gt;12),"Periode prüfen",IF(D445&lt;=Steuerung!$F$8,"IST gesperrt",IF(OR(E445="",F445="",COUNT(G445:I445)&lt;&gt;3),"Angaben fehlen","Wirksam"))))</f>
        <v/>
      </c>
      <c r="L445" s="8">
        <f>IF(K445="Wirksam",SUM(G445:H445)-I445,IF(K445="","","n.a."))</f>
        <v/>
      </c>
    </row>
    <row r="446" ht="21" customHeight="1">
      <c r="C446" s="14" t="n"/>
      <c r="D446" s="14" t="n"/>
      <c r="E446" s="14" t="n"/>
      <c r="F446" s="14" t="n"/>
      <c r="G446" s="16" t="n"/>
      <c r="H446" s="16" t="n"/>
      <c r="I446" s="16" t="n"/>
      <c r="J446" s="14" t="n"/>
      <c r="K446" s="10">
        <f>IF(COUNTA(C446:J446)=0,"",IF(OR(C446&lt;&gt;Steuerung!$F$6,D446&lt;1,D446&gt;12),"Periode prüfen",IF(D446&lt;=Steuerung!$F$8,"IST gesperrt",IF(OR(E446="",F446="",COUNT(G446:I446)&lt;&gt;3),"Angaben fehlen","Wirksam"))))</f>
        <v/>
      </c>
      <c r="L446" s="8">
        <f>IF(K446="Wirksam",SUM(G446:H446)-I446,IF(K446="","","n.a."))</f>
        <v/>
      </c>
    </row>
    <row r="447" ht="21" customHeight="1">
      <c r="C447" s="14" t="n"/>
      <c r="D447" s="14" t="n"/>
      <c r="E447" s="14" t="n"/>
      <c r="F447" s="14" t="n"/>
      <c r="G447" s="16" t="n"/>
      <c r="H447" s="16" t="n"/>
      <c r="I447" s="16" t="n"/>
      <c r="J447" s="14" t="n"/>
      <c r="K447" s="10">
        <f>IF(COUNTA(C447:J447)=0,"",IF(OR(C447&lt;&gt;Steuerung!$F$6,D447&lt;1,D447&gt;12),"Periode prüfen",IF(D447&lt;=Steuerung!$F$8,"IST gesperrt",IF(OR(E447="",F447="",COUNT(G447:I447)&lt;&gt;3),"Angaben fehlen","Wirksam"))))</f>
        <v/>
      </c>
      <c r="L447" s="8">
        <f>IF(K447="Wirksam",SUM(G447:H447)-I447,IF(K447="","","n.a."))</f>
        <v/>
      </c>
    </row>
    <row r="448" ht="21" customHeight="1">
      <c r="C448" s="14" t="n"/>
      <c r="D448" s="14" t="n"/>
      <c r="E448" s="14" t="n"/>
      <c r="F448" s="14" t="n"/>
      <c r="G448" s="16" t="n"/>
      <c r="H448" s="16" t="n"/>
      <c r="I448" s="16" t="n"/>
      <c r="J448" s="14" t="n"/>
      <c r="K448" s="10">
        <f>IF(COUNTA(C448:J448)=0,"",IF(OR(C448&lt;&gt;Steuerung!$F$6,D448&lt;1,D448&gt;12),"Periode prüfen",IF(D448&lt;=Steuerung!$F$8,"IST gesperrt",IF(OR(E448="",F448="",COUNT(G448:I448)&lt;&gt;3),"Angaben fehlen","Wirksam"))))</f>
        <v/>
      </c>
      <c r="L448" s="8">
        <f>IF(K448="Wirksam",SUM(G448:H448)-I448,IF(K448="","","n.a."))</f>
        <v/>
      </c>
    </row>
    <row r="449" ht="21" customHeight="1">
      <c r="C449" s="14" t="n"/>
      <c r="D449" s="14" t="n"/>
      <c r="E449" s="14" t="n"/>
      <c r="F449" s="14" t="n"/>
      <c r="G449" s="16" t="n"/>
      <c r="H449" s="16" t="n"/>
      <c r="I449" s="16" t="n"/>
      <c r="J449" s="14" t="n"/>
      <c r="K449" s="10">
        <f>IF(COUNTA(C449:J449)=0,"",IF(OR(C449&lt;&gt;Steuerung!$F$6,D449&lt;1,D449&gt;12),"Periode prüfen",IF(D449&lt;=Steuerung!$F$8,"IST gesperrt",IF(OR(E449="",F449="",COUNT(G449:I449)&lt;&gt;3),"Angaben fehlen","Wirksam"))))</f>
        <v/>
      </c>
      <c r="L449" s="8">
        <f>IF(K449="Wirksam",SUM(G449:H449)-I449,IF(K449="","","n.a."))</f>
        <v/>
      </c>
    </row>
    <row r="450" ht="21" customHeight="1">
      <c r="C450" s="14" t="n"/>
      <c r="D450" s="14" t="n"/>
      <c r="E450" s="14" t="n"/>
      <c r="F450" s="14" t="n"/>
      <c r="G450" s="16" t="n"/>
      <c r="H450" s="16" t="n"/>
      <c r="I450" s="16" t="n"/>
      <c r="J450" s="14" t="n"/>
      <c r="K450" s="10">
        <f>IF(COUNTA(C450:J450)=0,"",IF(OR(C450&lt;&gt;Steuerung!$F$6,D450&lt;1,D450&gt;12),"Periode prüfen",IF(D450&lt;=Steuerung!$F$8,"IST gesperrt",IF(OR(E450="",F450="",COUNT(G450:I450)&lt;&gt;3),"Angaben fehlen","Wirksam"))))</f>
        <v/>
      </c>
      <c r="L450" s="8">
        <f>IF(K450="Wirksam",SUM(G450:H450)-I450,IF(K450="","","n.a."))</f>
        <v/>
      </c>
    </row>
    <row r="451" ht="21" customHeight="1">
      <c r="C451" s="14" t="n"/>
      <c r="D451" s="14" t="n"/>
      <c r="E451" s="14" t="n"/>
      <c r="F451" s="14" t="n"/>
      <c r="G451" s="16" t="n"/>
      <c r="H451" s="16" t="n"/>
      <c r="I451" s="16" t="n"/>
      <c r="J451" s="14" t="n"/>
      <c r="K451" s="10">
        <f>IF(COUNTA(C451:J451)=0,"",IF(OR(C451&lt;&gt;Steuerung!$F$6,D451&lt;1,D451&gt;12),"Periode prüfen",IF(D451&lt;=Steuerung!$F$8,"IST gesperrt",IF(OR(E451="",F451="",COUNT(G451:I451)&lt;&gt;3),"Angaben fehlen","Wirksam"))))</f>
        <v/>
      </c>
      <c r="L451" s="8">
        <f>IF(K451="Wirksam",SUM(G451:H451)-I451,IF(K451="","","n.a."))</f>
        <v/>
      </c>
    </row>
    <row r="452" ht="21" customHeight="1">
      <c r="C452" s="14" t="n"/>
      <c r="D452" s="14" t="n"/>
      <c r="E452" s="14" t="n"/>
      <c r="F452" s="14" t="n"/>
      <c r="G452" s="16" t="n"/>
      <c r="H452" s="16" t="n"/>
      <c r="I452" s="16" t="n"/>
      <c r="J452" s="14" t="n"/>
      <c r="K452" s="10">
        <f>IF(COUNTA(C452:J452)=0,"",IF(OR(C452&lt;&gt;Steuerung!$F$6,D452&lt;1,D452&gt;12),"Periode prüfen",IF(D452&lt;=Steuerung!$F$8,"IST gesperrt",IF(OR(E452="",F452="",COUNT(G452:I452)&lt;&gt;3),"Angaben fehlen","Wirksam"))))</f>
        <v/>
      </c>
      <c r="L452" s="8">
        <f>IF(K452="Wirksam",SUM(G452:H452)-I452,IF(K452="","","n.a."))</f>
        <v/>
      </c>
    </row>
    <row r="453" ht="21" customHeight="1">
      <c r="C453" s="14" t="n"/>
      <c r="D453" s="14" t="n"/>
      <c r="E453" s="14" t="n"/>
      <c r="F453" s="14" t="n"/>
      <c r="G453" s="16" t="n"/>
      <c r="H453" s="16" t="n"/>
      <c r="I453" s="16" t="n"/>
      <c r="J453" s="14" t="n"/>
      <c r="K453" s="10">
        <f>IF(COUNTA(C453:J453)=0,"",IF(OR(C453&lt;&gt;Steuerung!$F$6,D453&lt;1,D453&gt;12),"Periode prüfen",IF(D453&lt;=Steuerung!$F$8,"IST gesperrt",IF(OR(E453="",F453="",COUNT(G453:I453)&lt;&gt;3),"Angaben fehlen","Wirksam"))))</f>
        <v/>
      </c>
      <c r="L453" s="8">
        <f>IF(K453="Wirksam",SUM(G453:H453)-I453,IF(K453="","","n.a."))</f>
        <v/>
      </c>
    </row>
    <row r="454" ht="21" customHeight="1">
      <c r="C454" s="14" t="n"/>
      <c r="D454" s="14" t="n"/>
      <c r="E454" s="14" t="n"/>
      <c r="F454" s="14" t="n"/>
      <c r="G454" s="16" t="n"/>
      <c r="H454" s="16" t="n"/>
      <c r="I454" s="16" t="n"/>
      <c r="J454" s="14" t="n"/>
      <c r="K454" s="10">
        <f>IF(COUNTA(C454:J454)=0,"",IF(OR(C454&lt;&gt;Steuerung!$F$6,D454&lt;1,D454&gt;12),"Periode prüfen",IF(D454&lt;=Steuerung!$F$8,"IST gesperrt",IF(OR(E454="",F454="",COUNT(G454:I454)&lt;&gt;3),"Angaben fehlen","Wirksam"))))</f>
        <v/>
      </c>
      <c r="L454" s="8">
        <f>IF(K454="Wirksam",SUM(G454:H454)-I454,IF(K454="","","n.a."))</f>
        <v/>
      </c>
    </row>
    <row r="455" ht="21" customHeight="1">
      <c r="C455" s="14" t="n"/>
      <c r="D455" s="14" t="n"/>
      <c r="E455" s="14" t="n"/>
      <c r="F455" s="14" t="n"/>
      <c r="G455" s="16" t="n"/>
      <c r="H455" s="16" t="n"/>
      <c r="I455" s="16" t="n"/>
      <c r="J455" s="14" t="n"/>
      <c r="K455" s="10">
        <f>IF(COUNTA(C455:J455)=0,"",IF(OR(C455&lt;&gt;Steuerung!$F$6,D455&lt;1,D455&gt;12),"Periode prüfen",IF(D455&lt;=Steuerung!$F$8,"IST gesperrt",IF(OR(E455="",F455="",COUNT(G455:I455)&lt;&gt;3),"Angaben fehlen","Wirksam"))))</f>
        <v/>
      </c>
      <c r="L455" s="8">
        <f>IF(K455="Wirksam",SUM(G455:H455)-I455,IF(K455="","","n.a."))</f>
        <v/>
      </c>
    </row>
    <row r="456" ht="21" customHeight="1">
      <c r="C456" s="14" t="n"/>
      <c r="D456" s="14" t="n"/>
      <c r="E456" s="14" t="n"/>
      <c r="F456" s="14" t="n"/>
      <c r="G456" s="16" t="n"/>
      <c r="H456" s="16" t="n"/>
      <c r="I456" s="16" t="n"/>
      <c r="J456" s="14" t="n"/>
      <c r="K456" s="10">
        <f>IF(COUNTA(C456:J456)=0,"",IF(OR(C456&lt;&gt;Steuerung!$F$6,D456&lt;1,D456&gt;12),"Periode prüfen",IF(D456&lt;=Steuerung!$F$8,"IST gesperrt",IF(OR(E456="",F456="",COUNT(G456:I456)&lt;&gt;3),"Angaben fehlen","Wirksam"))))</f>
        <v/>
      </c>
      <c r="L456" s="8">
        <f>IF(K456="Wirksam",SUM(G456:H456)-I456,IF(K456="","","n.a."))</f>
        <v/>
      </c>
    </row>
    <row r="457" ht="21" customHeight="1">
      <c r="C457" s="14" t="n"/>
      <c r="D457" s="14" t="n"/>
      <c r="E457" s="14" t="n"/>
      <c r="F457" s="14" t="n"/>
      <c r="G457" s="16" t="n"/>
      <c r="H457" s="16" t="n"/>
      <c r="I457" s="16" t="n"/>
      <c r="J457" s="14" t="n"/>
      <c r="K457" s="10">
        <f>IF(COUNTA(C457:J457)=0,"",IF(OR(C457&lt;&gt;Steuerung!$F$6,D457&lt;1,D457&gt;12),"Periode prüfen",IF(D457&lt;=Steuerung!$F$8,"IST gesperrt",IF(OR(E457="",F457="",COUNT(G457:I457)&lt;&gt;3),"Angaben fehlen","Wirksam"))))</f>
        <v/>
      </c>
      <c r="L457" s="8">
        <f>IF(K457="Wirksam",SUM(G457:H457)-I457,IF(K457="","","n.a."))</f>
        <v/>
      </c>
    </row>
    <row r="458" ht="21" customHeight="1">
      <c r="C458" s="14" t="n"/>
      <c r="D458" s="14" t="n"/>
      <c r="E458" s="14" t="n"/>
      <c r="F458" s="14" t="n"/>
      <c r="G458" s="16" t="n"/>
      <c r="H458" s="16" t="n"/>
      <c r="I458" s="16" t="n"/>
      <c r="J458" s="14" t="n"/>
      <c r="K458" s="10">
        <f>IF(COUNTA(C458:J458)=0,"",IF(OR(C458&lt;&gt;Steuerung!$F$6,D458&lt;1,D458&gt;12),"Periode prüfen",IF(D458&lt;=Steuerung!$F$8,"IST gesperrt",IF(OR(E458="",F458="",COUNT(G458:I458)&lt;&gt;3),"Angaben fehlen","Wirksam"))))</f>
        <v/>
      </c>
      <c r="L458" s="8">
        <f>IF(K458="Wirksam",SUM(G458:H458)-I458,IF(K458="","","n.a."))</f>
        <v/>
      </c>
    </row>
    <row r="459" ht="21" customHeight="1">
      <c r="C459" s="14" t="n"/>
      <c r="D459" s="14" t="n"/>
      <c r="E459" s="14" t="n"/>
      <c r="F459" s="14" t="n"/>
      <c r="G459" s="16" t="n"/>
      <c r="H459" s="16" t="n"/>
      <c r="I459" s="16" t="n"/>
      <c r="J459" s="14" t="n"/>
      <c r="K459" s="10">
        <f>IF(COUNTA(C459:J459)=0,"",IF(OR(C459&lt;&gt;Steuerung!$F$6,D459&lt;1,D459&gt;12),"Periode prüfen",IF(D459&lt;=Steuerung!$F$8,"IST gesperrt",IF(OR(E459="",F459="",COUNT(G459:I459)&lt;&gt;3),"Angaben fehlen","Wirksam"))))</f>
        <v/>
      </c>
      <c r="L459" s="8">
        <f>IF(K459="Wirksam",SUM(G459:H459)-I459,IF(K459="","","n.a."))</f>
        <v/>
      </c>
    </row>
    <row r="460" ht="21" customHeight="1">
      <c r="C460" s="14" t="n"/>
      <c r="D460" s="14" t="n"/>
      <c r="E460" s="14" t="n"/>
      <c r="F460" s="14" t="n"/>
      <c r="G460" s="16" t="n"/>
      <c r="H460" s="16" t="n"/>
      <c r="I460" s="16" t="n"/>
      <c r="J460" s="14" t="n"/>
      <c r="K460" s="10">
        <f>IF(COUNTA(C460:J460)=0,"",IF(OR(C460&lt;&gt;Steuerung!$F$6,D460&lt;1,D460&gt;12),"Periode prüfen",IF(D460&lt;=Steuerung!$F$8,"IST gesperrt",IF(OR(E460="",F460="",COUNT(G460:I460)&lt;&gt;3),"Angaben fehlen","Wirksam"))))</f>
        <v/>
      </c>
      <c r="L460" s="8">
        <f>IF(K460="Wirksam",SUM(G460:H460)-I460,IF(K460="","","n.a."))</f>
        <v/>
      </c>
    </row>
    <row r="461" ht="21" customHeight="1">
      <c r="C461" s="14" t="n"/>
      <c r="D461" s="14" t="n"/>
      <c r="E461" s="14" t="n"/>
      <c r="F461" s="14" t="n"/>
      <c r="G461" s="16" t="n"/>
      <c r="H461" s="16" t="n"/>
      <c r="I461" s="16" t="n"/>
      <c r="J461" s="14" t="n"/>
      <c r="K461" s="10">
        <f>IF(COUNTA(C461:J461)=0,"",IF(OR(C461&lt;&gt;Steuerung!$F$6,D461&lt;1,D461&gt;12),"Periode prüfen",IF(D461&lt;=Steuerung!$F$8,"IST gesperrt",IF(OR(E461="",F461="",COUNT(G461:I461)&lt;&gt;3),"Angaben fehlen","Wirksam"))))</f>
        <v/>
      </c>
      <c r="L461" s="8">
        <f>IF(K461="Wirksam",SUM(G461:H461)-I461,IF(K461="","","n.a."))</f>
        <v/>
      </c>
    </row>
    <row r="462" ht="21" customHeight="1">
      <c r="C462" s="14" t="n"/>
      <c r="D462" s="14" t="n"/>
      <c r="E462" s="14" t="n"/>
      <c r="F462" s="14" t="n"/>
      <c r="G462" s="16" t="n"/>
      <c r="H462" s="16" t="n"/>
      <c r="I462" s="16" t="n"/>
      <c r="J462" s="14" t="n"/>
      <c r="K462" s="10">
        <f>IF(COUNTA(C462:J462)=0,"",IF(OR(C462&lt;&gt;Steuerung!$F$6,D462&lt;1,D462&gt;12),"Periode prüfen",IF(D462&lt;=Steuerung!$F$8,"IST gesperrt",IF(OR(E462="",F462="",COUNT(G462:I462)&lt;&gt;3),"Angaben fehlen","Wirksam"))))</f>
        <v/>
      </c>
      <c r="L462" s="8">
        <f>IF(K462="Wirksam",SUM(G462:H462)-I462,IF(K462="","","n.a."))</f>
        <v/>
      </c>
    </row>
    <row r="463" ht="21" customHeight="1">
      <c r="C463" s="14" t="n"/>
      <c r="D463" s="14" t="n"/>
      <c r="E463" s="14" t="n"/>
      <c r="F463" s="14" t="n"/>
      <c r="G463" s="16" t="n"/>
      <c r="H463" s="16" t="n"/>
      <c r="I463" s="16" t="n"/>
      <c r="J463" s="14" t="n"/>
      <c r="K463" s="10">
        <f>IF(COUNTA(C463:J463)=0,"",IF(OR(C463&lt;&gt;Steuerung!$F$6,D463&lt;1,D463&gt;12),"Periode prüfen",IF(D463&lt;=Steuerung!$F$8,"IST gesperrt",IF(OR(E463="",F463="",COUNT(G463:I463)&lt;&gt;3),"Angaben fehlen","Wirksam"))))</f>
        <v/>
      </c>
      <c r="L463" s="8">
        <f>IF(K463="Wirksam",SUM(G463:H463)-I463,IF(K463="","","n.a."))</f>
        <v/>
      </c>
    </row>
    <row r="464" ht="21" customHeight="1">
      <c r="C464" s="14" t="n"/>
      <c r="D464" s="14" t="n"/>
      <c r="E464" s="14" t="n"/>
      <c r="F464" s="14" t="n"/>
      <c r="G464" s="16" t="n"/>
      <c r="H464" s="16" t="n"/>
      <c r="I464" s="16" t="n"/>
      <c r="J464" s="14" t="n"/>
      <c r="K464" s="10">
        <f>IF(COUNTA(C464:J464)=0,"",IF(OR(C464&lt;&gt;Steuerung!$F$6,D464&lt;1,D464&gt;12),"Periode prüfen",IF(D464&lt;=Steuerung!$F$8,"IST gesperrt",IF(OR(E464="",F464="",COUNT(G464:I464)&lt;&gt;3),"Angaben fehlen","Wirksam"))))</f>
        <v/>
      </c>
      <c r="L464" s="8">
        <f>IF(K464="Wirksam",SUM(G464:H464)-I464,IF(K464="","","n.a."))</f>
        <v/>
      </c>
    </row>
    <row r="465" ht="21" customHeight="1">
      <c r="C465" s="14" t="n"/>
      <c r="D465" s="14" t="n"/>
      <c r="E465" s="14" t="n"/>
      <c r="F465" s="14" t="n"/>
      <c r="G465" s="16" t="n"/>
      <c r="H465" s="16" t="n"/>
      <c r="I465" s="16" t="n"/>
      <c r="J465" s="14" t="n"/>
      <c r="K465" s="10">
        <f>IF(COUNTA(C465:J465)=0,"",IF(OR(C465&lt;&gt;Steuerung!$F$6,D465&lt;1,D465&gt;12),"Periode prüfen",IF(D465&lt;=Steuerung!$F$8,"IST gesperrt",IF(OR(E465="",F465="",COUNT(G465:I465)&lt;&gt;3),"Angaben fehlen","Wirksam"))))</f>
        <v/>
      </c>
      <c r="L465" s="8">
        <f>IF(K465="Wirksam",SUM(G465:H465)-I465,IF(K465="","","n.a."))</f>
        <v/>
      </c>
    </row>
    <row r="466" ht="21" customHeight="1">
      <c r="C466" s="14" t="n"/>
      <c r="D466" s="14" t="n"/>
      <c r="E466" s="14" t="n"/>
      <c r="F466" s="14" t="n"/>
      <c r="G466" s="16" t="n"/>
      <c r="H466" s="16" t="n"/>
      <c r="I466" s="16" t="n"/>
      <c r="J466" s="14" t="n"/>
      <c r="K466" s="10">
        <f>IF(COUNTA(C466:J466)=0,"",IF(OR(C466&lt;&gt;Steuerung!$F$6,D466&lt;1,D466&gt;12),"Periode prüfen",IF(D466&lt;=Steuerung!$F$8,"IST gesperrt",IF(OR(E466="",F466="",COUNT(G466:I466)&lt;&gt;3),"Angaben fehlen","Wirksam"))))</f>
        <v/>
      </c>
      <c r="L466" s="8">
        <f>IF(K466="Wirksam",SUM(G466:H466)-I466,IF(K466="","","n.a."))</f>
        <v/>
      </c>
    </row>
    <row r="467" ht="21" customHeight="1">
      <c r="C467" s="14" t="n"/>
      <c r="D467" s="14" t="n"/>
      <c r="E467" s="14" t="n"/>
      <c r="F467" s="14" t="n"/>
      <c r="G467" s="16" t="n"/>
      <c r="H467" s="16" t="n"/>
      <c r="I467" s="16" t="n"/>
      <c r="J467" s="14" t="n"/>
      <c r="K467" s="10">
        <f>IF(COUNTA(C467:J467)=0,"",IF(OR(C467&lt;&gt;Steuerung!$F$6,D467&lt;1,D467&gt;12),"Periode prüfen",IF(D467&lt;=Steuerung!$F$8,"IST gesperrt",IF(OR(E467="",F467="",COUNT(G467:I467)&lt;&gt;3),"Angaben fehlen","Wirksam"))))</f>
        <v/>
      </c>
      <c r="L467" s="8">
        <f>IF(K467="Wirksam",SUM(G467:H467)-I467,IF(K467="","","n.a."))</f>
        <v/>
      </c>
    </row>
    <row r="468" ht="21" customHeight="1">
      <c r="C468" s="14" t="n"/>
      <c r="D468" s="14" t="n"/>
      <c r="E468" s="14" t="n"/>
      <c r="F468" s="14" t="n"/>
      <c r="G468" s="16" t="n"/>
      <c r="H468" s="16" t="n"/>
      <c r="I468" s="16" t="n"/>
      <c r="J468" s="14" t="n"/>
      <c r="K468" s="10">
        <f>IF(COUNTA(C468:J468)=0,"",IF(OR(C468&lt;&gt;Steuerung!$F$6,D468&lt;1,D468&gt;12),"Periode prüfen",IF(D468&lt;=Steuerung!$F$8,"IST gesperrt",IF(OR(E468="",F468="",COUNT(G468:I468)&lt;&gt;3),"Angaben fehlen","Wirksam"))))</f>
        <v/>
      </c>
      <c r="L468" s="8">
        <f>IF(K468="Wirksam",SUM(G468:H468)-I468,IF(K468="","","n.a."))</f>
        <v/>
      </c>
    </row>
    <row r="469" ht="21" customHeight="1">
      <c r="C469" s="14" t="n"/>
      <c r="D469" s="14" t="n"/>
      <c r="E469" s="14" t="n"/>
      <c r="F469" s="14" t="n"/>
      <c r="G469" s="16" t="n"/>
      <c r="H469" s="16" t="n"/>
      <c r="I469" s="16" t="n"/>
      <c r="J469" s="14" t="n"/>
      <c r="K469" s="10">
        <f>IF(COUNTA(C469:J469)=0,"",IF(OR(C469&lt;&gt;Steuerung!$F$6,D469&lt;1,D469&gt;12),"Periode prüfen",IF(D469&lt;=Steuerung!$F$8,"IST gesperrt",IF(OR(E469="",F469="",COUNT(G469:I469)&lt;&gt;3),"Angaben fehlen","Wirksam"))))</f>
        <v/>
      </c>
      <c r="L469" s="8">
        <f>IF(K469="Wirksam",SUM(G469:H469)-I469,IF(K469="","","n.a."))</f>
        <v/>
      </c>
    </row>
    <row r="470" ht="21" customHeight="1">
      <c r="C470" s="14" t="n"/>
      <c r="D470" s="14" t="n"/>
      <c r="E470" s="14" t="n"/>
      <c r="F470" s="14" t="n"/>
      <c r="G470" s="16" t="n"/>
      <c r="H470" s="16" t="n"/>
      <c r="I470" s="16" t="n"/>
      <c r="J470" s="14" t="n"/>
      <c r="K470" s="10">
        <f>IF(COUNTA(C470:J470)=0,"",IF(OR(C470&lt;&gt;Steuerung!$F$6,D470&lt;1,D470&gt;12),"Periode prüfen",IF(D470&lt;=Steuerung!$F$8,"IST gesperrt",IF(OR(E470="",F470="",COUNT(G470:I470)&lt;&gt;3),"Angaben fehlen","Wirksam"))))</f>
        <v/>
      </c>
      <c r="L470" s="8">
        <f>IF(K470="Wirksam",SUM(G470:H470)-I470,IF(K470="","","n.a."))</f>
        <v/>
      </c>
    </row>
    <row r="471" ht="21" customHeight="1">
      <c r="C471" s="14" t="n"/>
      <c r="D471" s="14" t="n"/>
      <c r="E471" s="14" t="n"/>
      <c r="F471" s="14" t="n"/>
      <c r="G471" s="16" t="n"/>
      <c r="H471" s="16" t="n"/>
      <c r="I471" s="16" t="n"/>
      <c r="J471" s="14" t="n"/>
      <c r="K471" s="10">
        <f>IF(COUNTA(C471:J471)=0,"",IF(OR(C471&lt;&gt;Steuerung!$F$6,D471&lt;1,D471&gt;12),"Periode prüfen",IF(D471&lt;=Steuerung!$F$8,"IST gesperrt",IF(OR(E471="",F471="",COUNT(G471:I471)&lt;&gt;3),"Angaben fehlen","Wirksam"))))</f>
        <v/>
      </c>
      <c r="L471" s="8">
        <f>IF(K471="Wirksam",SUM(G471:H471)-I471,IF(K471="","","n.a."))</f>
        <v/>
      </c>
    </row>
    <row r="472" ht="21" customHeight="1">
      <c r="C472" s="14" t="n"/>
      <c r="D472" s="14" t="n"/>
      <c r="E472" s="14" t="n"/>
      <c r="F472" s="14" t="n"/>
      <c r="G472" s="16" t="n"/>
      <c r="H472" s="16" t="n"/>
      <c r="I472" s="16" t="n"/>
      <c r="J472" s="14" t="n"/>
      <c r="K472" s="10">
        <f>IF(COUNTA(C472:J472)=0,"",IF(OR(C472&lt;&gt;Steuerung!$F$6,D472&lt;1,D472&gt;12),"Periode prüfen",IF(D472&lt;=Steuerung!$F$8,"IST gesperrt",IF(OR(E472="",F472="",COUNT(G472:I472)&lt;&gt;3),"Angaben fehlen","Wirksam"))))</f>
        <v/>
      </c>
      <c r="L472" s="8">
        <f>IF(K472="Wirksam",SUM(G472:H472)-I472,IF(K472="","","n.a."))</f>
        <v/>
      </c>
    </row>
    <row r="473" ht="21" customHeight="1">
      <c r="C473" s="14" t="n"/>
      <c r="D473" s="14" t="n"/>
      <c r="E473" s="14" t="n"/>
      <c r="F473" s="14" t="n"/>
      <c r="G473" s="16" t="n"/>
      <c r="H473" s="16" t="n"/>
      <c r="I473" s="16" t="n"/>
      <c r="J473" s="14" t="n"/>
      <c r="K473" s="10">
        <f>IF(COUNTA(C473:J473)=0,"",IF(OR(C473&lt;&gt;Steuerung!$F$6,D473&lt;1,D473&gt;12),"Periode prüfen",IF(D473&lt;=Steuerung!$F$8,"IST gesperrt",IF(OR(E473="",F473="",COUNT(G473:I473)&lt;&gt;3),"Angaben fehlen","Wirksam"))))</f>
        <v/>
      </c>
      <c r="L473" s="8">
        <f>IF(K473="Wirksam",SUM(G473:H473)-I473,IF(K473="","","n.a."))</f>
        <v/>
      </c>
    </row>
    <row r="474" ht="21" customHeight="1">
      <c r="C474" s="14" t="n"/>
      <c r="D474" s="14" t="n"/>
      <c r="E474" s="14" t="n"/>
      <c r="F474" s="14" t="n"/>
      <c r="G474" s="16" t="n"/>
      <c r="H474" s="16" t="n"/>
      <c r="I474" s="16" t="n"/>
      <c r="J474" s="14" t="n"/>
      <c r="K474" s="10">
        <f>IF(COUNTA(C474:J474)=0,"",IF(OR(C474&lt;&gt;Steuerung!$F$6,D474&lt;1,D474&gt;12),"Periode prüfen",IF(D474&lt;=Steuerung!$F$8,"IST gesperrt",IF(OR(E474="",F474="",COUNT(G474:I474)&lt;&gt;3),"Angaben fehlen","Wirksam"))))</f>
        <v/>
      </c>
      <c r="L474" s="8">
        <f>IF(K474="Wirksam",SUM(G474:H474)-I474,IF(K474="","","n.a."))</f>
        <v/>
      </c>
    </row>
    <row r="475" ht="21" customHeight="1">
      <c r="C475" s="14" t="n"/>
      <c r="D475" s="14" t="n"/>
      <c r="E475" s="14" t="n"/>
      <c r="F475" s="14" t="n"/>
      <c r="G475" s="16" t="n"/>
      <c r="H475" s="16" t="n"/>
      <c r="I475" s="16" t="n"/>
      <c r="J475" s="14" t="n"/>
      <c r="K475" s="10">
        <f>IF(COUNTA(C475:J475)=0,"",IF(OR(C475&lt;&gt;Steuerung!$F$6,D475&lt;1,D475&gt;12),"Periode prüfen",IF(D475&lt;=Steuerung!$F$8,"IST gesperrt",IF(OR(E475="",F475="",COUNT(G475:I475)&lt;&gt;3),"Angaben fehlen","Wirksam"))))</f>
        <v/>
      </c>
      <c r="L475" s="8">
        <f>IF(K475="Wirksam",SUM(G475:H475)-I475,IF(K475="","","n.a."))</f>
        <v/>
      </c>
    </row>
    <row r="476" ht="21" customHeight="1">
      <c r="C476" s="14" t="n"/>
      <c r="D476" s="14" t="n"/>
      <c r="E476" s="14" t="n"/>
      <c r="F476" s="14" t="n"/>
      <c r="G476" s="16" t="n"/>
      <c r="H476" s="16" t="n"/>
      <c r="I476" s="16" t="n"/>
      <c r="J476" s="14" t="n"/>
      <c r="K476" s="10">
        <f>IF(COUNTA(C476:J476)=0,"",IF(OR(C476&lt;&gt;Steuerung!$F$6,D476&lt;1,D476&gt;12),"Periode prüfen",IF(D476&lt;=Steuerung!$F$8,"IST gesperrt",IF(OR(E476="",F476="",COUNT(G476:I476)&lt;&gt;3),"Angaben fehlen","Wirksam"))))</f>
        <v/>
      </c>
      <c r="L476" s="8">
        <f>IF(K476="Wirksam",SUM(G476:H476)-I476,IF(K476="","","n.a."))</f>
        <v/>
      </c>
    </row>
    <row r="477" ht="21" customHeight="1">
      <c r="C477" s="14" t="n"/>
      <c r="D477" s="14" t="n"/>
      <c r="E477" s="14" t="n"/>
      <c r="F477" s="14" t="n"/>
      <c r="G477" s="16" t="n"/>
      <c r="H477" s="16" t="n"/>
      <c r="I477" s="16" t="n"/>
      <c r="J477" s="14" t="n"/>
      <c r="K477" s="10">
        <f>IF(COUNTA(C477:J477)=0,"",IF(OR(C477&lt;&gt;Steuerung!$F$6,D477&lt;1,D477&gt;12),"Periode prüfen",IF(D477&lt;=Steuerung!$F$8,"IST gesperrt",IF(OR(E477="",F477="",COUNT(G477:I477)&lt;&gt;3),"Angaben fehlen","Wirksam"))))</f>
        <v/>
      </c>
      <c r="L477" s="8">
        <f>IF(K477="Wirksam",SUM(G477:H477)-I477,IF(K477="","","n.a."))</f>
        <v/>
      </c>
    </row>
    <row r="478" ht="21" customHeight="1">
      <c r="C478" s="14" t="n"/>
      <c r="D478" s="14" t="n"/>
      <c r="E478" s="14" t="n"/>
      <c r="F478" s="14" t="n"/>
      <c r="G478" s="16" t="n"/>
      <c r="H478" s="16" t="n"/>
      <c r="I478" s="16" t="n"/>
      <c r="J478" s="14" t="n"/>
      <c r="K478" s="10">
        <f>IF(COUNTA(C478:J478)=0,"",IF(OR(C478&lt;&gt;Steuerung!$F$6,D478&lt;1,D478&gt;12),"Periode prüfen",IF(D478&lt;=Steuerung!$F$8,"IST gesperrt",IF(OR(E478="",F478="",COUNT(G478:I478)&lt;&gt;3),"Angaben fehlen","Wirksam"))))</f>
        <v/>
      </c>
      <c r="L478" s="8">
        <f>IF(K478="Wirksam",SUM(G478:H478)-I478,IF(K478="","","n.a."))</f>
        <v/>
      </c>
    </row>
    <row r="479" ht="21" customHeight="1">
      <c r="C479" s="14" t="n"/>
      <c r="D479" s="14" t="n"/>
      <c r="E479" s="14" t="n"/>
      <c r="F479" s="14" t="n"/>
      <c r="G479" s="16" t="n"/>
      <c r="H479" s="16" t="n"/>
      <c r="I479" s="16" t="n"/>
      <c r="J479" s="14" t="n"/>
      <c r="K479" s="10">
        <f>IF(COUNTA(C479:J479)=0,"",IF(OR(C479&lt;&gt;Steuerung!$F$6,D479&lt;1,D479&gt;12),"Periode prüfen",IF(D479&lt;=Steuerung!$F$8,"IST gesperrt",IF(OR(E479="",F479="",COUNT(G479:I479)&lt;&gt;3),"Angaben fehlen","Wirksam"))))</f>
        <v/>
      </c>
      <c r="L479" s="8">
        <f>IF(K479="Wirksam",SUM(G479:H479)-I479,IF(K479="","","n.a."))</f>
        <v/>
      </c>
    </row>
    <row r="480" ht="21" customHeight="1">
      <c r="C480" s="14" t="n"/>
      <c r="D480" s="14" t="n"/>
      <c r="E480" s="14" t="n"/>
      <c r="F480" s="14" t="n"/>
      <c r="G480" s="16" t="n"/>
      <c r="H480" s="16" t="n"/>
      <c r="I480" s="16" t="n"/>
      <c r="J480" s="14" t="n"/>
      <c r="K480" s="10">
        <f>IF(COUNTA(C480:J480)=0,"",IF(OR(C480&lt;&gt;Steuerung!$F$6,D480&lt;1,D480&gt;12),"Periode prüfen",IF(D480&lt;=Steuerung!$F$8,"IST gesperrt",IF(OR(E480="",F480="",COUNT(G480:I480)&lt;&gt;3),"Angaben fehlen","Wirksam"))))</f>
        <v/>
      </c>
      <c r="L480" s="8">
        <f>IF(K480="Wirksam",SUM(G480:H480)-I480,IF(K480="","","n.a."))</f>
        <v/>
      </c>
    </row>
    <row r="481" ht="21" customHeight="1">
      <c r="C481" s="14" t="n"/>
      <c r="D481" s="14" t="n"/>
      <c r="E481" s="14" t="n"/>
      <c r="F481" s="14" t="n"/>
      <c r="G481" s="16" t="n"/>
      <c r="H481" s="16" t="n"/>
      <c r="I481" s="16" t="n"/>
      <c r="J481" s="14" t="n"/>
      <c r="K481" s="10">
        <f>IF(COUNTA(C481:J481)=0,"",IF(OR(C481&lt;&gt;Steuerung!$F$6,D481&lt;1,D481&gt;12),"Periode prüfen",IF(D481&lt;=Steuerung!$F$8,"IST gesperrt",IF(OR(E481="",F481="",COUNT(G481:I481)&lt;&gt;3),"Angaben fehlen","Wirksam"))))</f>
        <v/>
      </c>
      <c r="L481" s="8">
        <f>IF(K481="Wirksam",SUM(G481:H481)-I481,IF(K481="","","n.a."))</f>
        <v/>
      </c>
    </row>
    <row r="482" ht="21" customHeight="1">
      <c r="C482" s="14" t="n"/>
      <c r="D482" s="14" t="n"/>
      <c r="E482" s="14" t="n"/>
      <c r="F482" s="14" t="n"/>
      <c r="G482" s="16" t="n"/>
      <c r="H482" s="16" t="n"/>
      <c r="I482" s="16" t="n"/>
      <c r="J482" s="14" t="n"/>
      <c r="K482" s="10">
        <f>IF(COUNTA(C482:J482)=0,"",IF(OR(C482&lt;&gt;Steuerung!$F$6,D482&lt;1,D482&gt;12),"Periode prüfen",IF(D482&lt;=Steuerung!$F$8,"IST gesperrt",IF(OR(E482="",F482="",COUNT(G482:I482)&lt;&gt;3),"Angaben fehlen","Wirksam"))))</f>
        <v/>
      </c>
      <c r="L482" s="8">
        <f>IF(K482="Wirksam",SUM(G482:H482)-I482,IF(K482="","","n.a."))</f>
        <v/>
      </c>
    </row>
    <row r="483" ht="21" customHeight="1">
      <c r="C483" s="14" t="n"/>
      <c r="D483" s="14" t="n"/>
      <c r="E483" s="14" t="n"/>
      <c r="F483" s="14" t="n"/>
      <c r="G483" s="16" t="n"/>
      <c r="H483" s="16" t="n"/>
      <c r="I483" s="16" t="n"/>
      <c r="J483" s="14" t="n"/>
      <c r="K483" s="10">
        <f>IF(COUNTA(C483:J483)=0,"",IF(OR(C483&lt;&gt;Steuerung!$F$6,D483&lt;1,D483&gt;12),"Periode prüfen",IF(D483&lt;=Steuerung!$F$8,"IST gesperrt",IF(OR(E483="",F483="",COUNT(G483:I483)&lt;&gt;3),"Angaben fehlen","Wirksam"))))</f>
        <v/>
      </c>
      <c r="L483" s="8">
        <f>IF(K483="Wirksam",SUM(G483:H483)-I483,IF(K483="","","n.a."))</f>
        <v/>
      </c>
    </row>
    <row r="484" ht="21" customHeight="1">
      <c r="C484" s="14" t="n"/>
      <c r="D484" s="14" t="n"/>
      <c r="E484" s="14" t="n"/>
      <c r="F484" s="14" t="n"/>
      <c r="G484" s="16" t="n"/>
      <c r="H484" s="16" t="n"/>
      <c r="I484" s="16" t="n"/>
      <c r="J484" s="14" t="n"/>
      <c r="K484" s="10">
        <f>IF(COUNTA(C484:J484)=0,"",IF(OR(C484&lt;&gt;Steuerung!$F$6,D484&lt;1,D484&gt;12),"Periode prüfen",IF(D484&lt;=Steuerung!$F$8,"IST gesperrt",IF(OR(E484="",F484="",COUNT(G484:I484)&lt;&gt;3),"Angaben fehlen","Wirksam"))))</f>
        <v/>
      </c>
      <c r="L484" s="8">
        <f>IF(K484="Wirksam",SUM(G484:H484)-I484,IF(K484="","","n.a."))</f>
        <v/>
      </c>
    </row>
    <row r="485" ht="21" customHeight="1">
      <c r="C485" s="14" t="n"/>
      <c r="D485" s="14" t="n"/>
      <c r="E485" s="14" t="n"/>
      <c r="F485" s="14" t="n"/>
      <c r="G485" s="16" t="n"/>
      <c r="H485" s="16" t="n"/>
      <c r="I485" s="16" t="n"/>
      <c r="J485" s="14" t="n"/>
      <c r="K485" s="10">
        <f>IF(COUNTA(C485:J485)=0,"",IF(OR(C485&lt;&gt;Steuerung!$F$6,D485&lt;1,D485&gt;12),"Periode prüfen",IF(D485&lt;=Steuerung!$F$8,"IST gesperrt",IF(OR(E485="",F485="",COUNT(G485:I485)&lt;&gt;3),"Angaben fehlen","Wirksam"))))</f>
        <v/>
      </c>
      <c r="L485" s="8">
        <f>IF(K485="Wirksam",SUM(G485:H485)-I485,IF(K485="","","n.a."))</f>
        <v/>
      </c>
    </row>
    <row r="486" ht="21" customHeight="1">
      <c r="C486" s="14" t="n"/>
      <c r="D486" s="14" t="n"/>
      <c r="E486" s="14" t="n"/>
      <c r="F486" s="14" t="n"/>
      <c r="G486" s="16" t="n"/>
      <c r="H486" s="16" t="n"/>
      <c r="I486" s="16" t="n"/>
      <c r="J486" s="14" t="n"/>
      <c r="K486" s="10">
        <f>IF(COUNTA(C486:J486)=0,"",IF(OR(C486&lt;&gt;Steuerung!$F$6,D486&lt;1,D486&gt;12),"Periode prüfen",IF(D486&lt;=Steuerung!$F$8,"IST gesperrt",IF(OR(E486="",F486="",COUNT(G486:I486)&lt;&gt;3),"Angaben fehlen","Wirksam"))))</f>
        <v/>
      </c>
      <c r="L486" s="8">
        <f>IF(K486="Wirksam",SUM(G486:H486)-I486,IF(K486="","","n.a."))</f>
        <v/>
      </c>
    </row>
    <row r="487" ht="21" customHeight="1">
      <c r="C487" s="14" t="n"/>
      <c r="D487" s="14" t="n"/>
      <c r="E487" s="14" t="n"/>
      <c r="F487" s="14" t="n"/>
      <c r="G487" s="16" t="n"/>
      <c r="H487" s="16" t="n"/>
      <c r="I487" s="16" t="n"/>
      <c r="J487" s="14" t="n"/>
      <c r="K487" s="10">
        <f>IF(COUNTA(C487:J487)=0,"",IF(OR(C487&lt;&gt;Steuerung!$F$6,D487&lt;1,D487&gt;12),"Periode prüfen",IF(D487&lt;=Steuerung!$F$8,"IST gesperrt",IF(OR(E487="",F487="",COUNT(G487:I487)&lt;&gt;3),"Angaben fehlen","Wirksam"))))</f>
        <v/>
      </c>
      <c r="L487" s="8">
        <f>IF(K487="Wirksam",SUM(G487:H487)-I487,IF(K487="","","n.a."))</f>
        <v/>
      </c>
    </row>
    <row r="488" ht="21" customHeight="1">
      <c r="C488" s="14" t="n"/>
      <c r="D488" s="14" t="n"/>
      <c r="E488" s="14" t="n"/>
      <c r="F488" s="14" t="n"/>
      <c r="G488" s="16" t="n"/>
      <c r="H488" s="16" t="n"/>
      <c r="I488" s="16" t="n"/>
      <c r="J488" s="14" t="n"/>
      <c r="K488" s="10">
        <f>IF(COUNTA(C488:J488)=0,"",IF(OR(C488&lt;&gt;Steuerung!$F$6,D488&lt;1,D488&gt;12),"Periode prüfen",IF(D488&lt;=Steuerung!$F$8,"IST gesperrt",IF(OR(E488="",F488="",COUNT(G488:I488)&lt;&gt;3),"Angaben fehlen","Wirksam"))))</f>
        <v/>
      </c>
      <c r="L488" s="8">
        <f>IF(K488="Wirksam",SUM(G488:H488)-I488,IF(K488="","","n.a."))</f>
        <v/>
      </c>
    </row>
    <row r="489" ht="21" customHeight="1">
      <c r="C489" s="14" t="n"/>
      <c r="D489" s="14" t="n"/>
      <c r="E489" s="14" t="n"/>
      <c r="F489" s="14" t="n"/>
      <c r="G489" s="16" t="n"/>
      <c r="H489" s="16" t="n"/>
      <c r="I489" s="16" t="n"/>
      <c r="J489" s="14" t="n"/>
      <c r="K489" s="10">
        <f>IF(COUNTA(C489:J489)=0,"",IF(OR(C489&lt;&gt;Steuerung!$F$6,D489&lt;1,D489&gt;12),"Periode prüfen",IF(D489&lt;=Steuerung!$F$8,"IST gesperrt",IF(OR(E489="",F489="",COUNT(G489:I489)&lt;&gt;3),"Angaben fehlen","Wirksam"))))</f>
        <v/>
      </c>
      <c r="L489" s="8">
        <f>IF(K489="Wirksam",SUM(G489:H489)-I489,IF(K489="","","n.a."))</f>
        <v/>
      </c>
    </row>
    <row r="490" ht="21" customHeight="1">
      <c r="C490" s="14" t="n"/>
      <c r="D490" s="14" t="n"/>
      <c r="E490" s="14" t="n"/>
      <c r="F490" s="14" t="n"/>
      <c r="G490" s="16" t="n"/>
      <c r="H490" s="16" t="n"/>
      <c r="I490" s="16" t="n"/>
      <c r="J490" s="14" t="n"/>
      <c r="K490" s="10">
        <f>IF(COUNTA(C490:J490)=0,"",IF(OR(C490&lt;&gt;Steuerung!$F$6,D490&lt;1,D490&gt;12),"Periode prüfen",IF(D490&lt;=Steuerung!$F$8,"IST gesperrt",IF(OR(E490="",F490="",COUNT(G490:I490)&lt;&gt;3),"Angaben fehlen","Wirksam"))))</f>
        <v/>
      </c>
      <c r="L490" s="8">
        <f>IF(K490="Wirksam",SUM(G490:H490)-I490,IF(K490="","","n.a."))</f>
        <v/>
      </c>
    </row>
    <row r="491" ht="21" customHeight="1">
      <c r="C491" s="14" t="n"/>
      <c r="D491" s="14" t="n"/>
      <c r="E491" s="14" t="n"/>
      <c r="F491" s="14" t="n"/>
      <c r="G491" s="16" t="n"/>
      <c r="H491" s="16" t="n"/>
      <c r="I491" s="16" t="n"/>
      <c r="J491" s="14" t="n"/>
      <c r="K491" s="10">
        <f>IF(COUNTA(C491:J491)=0,"",IF(OR(C491&lt;&gt;Steuerung!$F$6,D491&lt;1,D491&gt;12),"Periode prüfen",IF(D491&lt;=Steuerung!$F$8,"IST gesperrt",IF(OR(E491="",F491="",COUNT(G491:I491)&lt;&gt;3),"Angaben fehlen","Wirksam"))))</f>
        <v/>
      </c>
      <c r="L491" s="8">
        <f>IF(K491="Wirksam",SUM(G491:H491)-I491,IF(K491="","","n.a."))</f>
        <v/>
      </c>
    </row>
    <row r="492" ht="21" customHeight="1">
      <c r="C492" s="14" t="n"/>
      <c r="D492" s="14" t="n"/>
      <c r="E492" s="14" t="n"/>
      <c r="F492" s="14" t="n"/>
      <c r="G492" s="16" t="n"/>
      <c r="H492" s="16" t="n"/>
      <c r="I492" s="16" t="n"/>
      <c r="J492" s="14" t="n"/>
      <c r="K492" s="10">
        <f>IF(COUNTA(C492:J492)=0,"",IF(OR(C492&lt;&gt;Steuerung!$F$6,D492&lt;1,D492&gt;12),"Periode prüfen",IF(D492&lt;=Steuerung!$F$8,"IST gesperrt",IF(OR(E492="",F492="",COUNT(G492:I492)&lt;&gt;3),"Angaben fehlen","Wirksam"))))</f>
        <v/>
      </c>
      <c r="L492" s="8">
        <f>IF(K492="Wirksam",SUM(G492:H492)-I492,IF(K492="","","n.a."))</f>
        <v/>
      </c>
    </row>
    <row r="493" ht="21" customHeight="1">
      <c r="C493" s="14" t="n"/>
      <c r="D493" s="14" t="n"/>
      <c r="E493" s="14" t="n"/>
      <c r="F493" s="14" t="n"/>
      <c r="G493" s="16" t="n"/>
      <c r="H493" s="16" t="n"/>
      <c r="I493" s="16" t="n"/>
      <c r="J493" s="14" t="n"/>
      <c r="K493" s="10">
        <f>IF(COUNTA(C493:J493)=0,"",IF(OR(C493&lt;&gt;Steuerung!$F$6,D493&lt;1,D493&gt;12),"Periode prüfen",IF(D493&lt;=Steuerung!$F$8,"IST gesperrt",IF(OR(E493="",F493="",COUNT(G493:I493)&lt;&gt;3),"Angaben fehlen","Wirksam"))))</f>
        <v/>
      </c>
      <c r="L493" s="8">
        <f>IF(K493="Wirksam",SUM(G493:H493)-I493,IF(K493="","","n.a."))</f>
        <v/>
      </c>
    </row>
    <row r="494" ht="21" customHeight="1">
      <c r="C494" s="14" t="n"/>
      <c r="D494" s="14" t="n"/>
      <c r="E494" s="14" t="n"/>
      <c r="F494" s="14" t="n"/>
      <c r="G494" s="16" t="n"/>
      <c r="H494" s="16" t="n"/>
      <c r="I494" s="16" t="n"/>
      <c r="J494" s="14" t="n"/>
      <c r="K494" s="10">
        <f>IF(COUNTA(C494:J494)=0,"",IF(OR(C494&lt;&gt;Steuerung!$F$6,D494&lt;1,D494&gt;12),"Periode prüfen",IF(D494&lt;=Steuerung!$F$8,"IST gesperrt",IF(OR(E494="",F494="",COUNT(G494:I494)&lt;&gt;3),"Angaben fehlen","Wirksam"))))</f>
        <v/>
      </c>
      <c r="L494" s="8">
        <f>IF(K494="Wirksam",SUM(G494:H494)-I494,IF(K494="","","n.a."))</f>
        <v/>
      </c>
    </row>
    <row r="495" ht="21" customHeight="1">
      <c r="C495" s="14" t="n"/>
      <c r="D495" s="14" t="n"/>
      <c r="E495" s="14" t="n"/>
      <c r="F495" s="14" t="n"/>
      <c r="G495" s="16" t="n"/>
      <c r="H495" s="16" t="n"/>
      <c r="I495" s="16" t="n"/>
      <c r="J495" s="14" t="n"/>
      <c r="K495" s="10">
        <f>IF(COUNTA(C495:J495)=0,"",IF(OR(C495&lt;&gt;Steuerung!$F$6,D495&lt;1,D495&gt;12),"Periode prüfen",IF(D495&lt;=Steuerung!$F$8,"IST gesperrt",IF(OR(E495="",F495="",COUNT(G495:I495)&lt;&gt;3),"Angaben fehlen","Wirksam"))))</f>
        <v/>
      </c>
      <c r="L495" s="8">
        <f>IF(K495="Wirksam",SUM(G495:H495)-I495,IF(K495="","","n.a."))</f>
        <v/>
      </c>
    </row>
    <row r="496" ht="21" customHeight="1">
      <c r="C496" s="14" t="n"/>
      <c r="D496" s="14" t="n"/>
      <c r="E496" s="14" t="n"/>
      <c r="F496" s="14" t="n"/>
      <c r="G496" s="16" t="n"/>
      <c r="H496" s="16" t="n"/>
      <c r="I496" s="16" t="n"/>
      <c r="J496" s="14" t="n"/>
      <c r="K496" s="10">
        <f>IF(COUNTA(C496:J496)=0,"",IF(OR(C496&lt;&gt;Steuerung!$F$6,D496&lt;1,D496&gt;12),"Periode prüfen",IF(D496&lt;=Steuerung!$F$8,"IST gesperrt",IF(OR(E496="",F496="",COUNT(G496:I496)&lt;&gt;3),"Angaben fehlen","Wirksam"))))</f>
        <v/>
      </c>
      <c r="L496" s="8">
        <f>IF(K496="Wirksam",SUM(G496:H496)-I496,IF(K496="","","n.a."))</f>
        <v/>
      </c>
    </row>
    <row r="497" ht="21" customHeight="1">
      <c r="C497" s="14" t="n"/>
      <c r="D497" s="14" t="n"/>
      <c r="E497" s="14" t="n"/>
      <c r="F497" s="14" t="n"/>
      <c r="G497" s="16" t="n"/>
      <c r="H497" s="16" t="n"/>
      <c r="I497" s="16" t="n"/>
      <c r="J497" s="14" t="n"/>
      <c r="K497" s="10">
        <f>IF(COUNTA(C497:J497)=0,"",IF(OR(C497&lt;&gt;Steuerung!$F$6,D497&lt;1,D497&gt;12),"Periode prüfen",IF(D497&lt;=Steuerung!$F$8,"IST gesperrt",IF(OR(E497="",F497="",COUNT(G497:I497)&lt;&gt;3),"Angaben fehlen","Wirksam"))))</f>
        <v/>
      </c>
      <c r="L497" s="8">
        <f>IF(K497="Wirksam",SUM(G497:H497)-I497,IF(K497="","","n.a."))</f>
        <v/>
      </c>
    </row>
    <row r="498" ht="21" customHeight="1">
      <c r="C498" s="14" t="n"/>
      <c r="D498" s="14" t="n"/>
      <c r="E498" s="14" t="n"/>
      <c r="F498" s="14" t="n"/>
      <c r="G498" s="16" t="n"/>
      <c r="H498" s="16" t="n"/>
      <c r="I498" s="16" t="n"/>
      <c r="J498" s="14" t="n"/>
      <c r="K498" s="10">
        <f>IF(COUNTA(C498:J498)=0,"",IF(OR(C498&lt;&gt;Steuerung!$F$6,D498&lt;1,D498&gt;12),"Periode prüfen",IF(D498&lt;=Steuerung!$F$8,"IST gesperrt",IF(OR(E498="",F498="",COUNT(G498:I498)&lt;&gt;3),"Angaben fehlen","Wirksam"))))</f>
        <v/>
      </c>
      <c r="L498" s="8">
        <f>IF(K498="Wirksam",SUM(G498:H498)-I498,IF(K498="","","n.a."))</f>
        <v/>
      </c>
    </row>
    <row r="499" ht="21" customHeight="1">
      <c r="C499" s="14" t="n"/>
      <c r="D499" s="14" t="n"/>
      <c r="E499" s="14" t="n"/>
      <c r="F499" s="14" t="n"/>
      <c r="G499" s="16" t="n"/>
      <c r="H499" s="16" t="n"/>
      <c r="I499" s="16" t="n"/>
      <c r="J499" s="14" t="n"/>
      <c r="K499" s="10">
        <f>IF(COUNTA(C499:J499)=0,"",IF(OR(C499&lt;&gt;Steuerung!$F$6,D499&lt;1,D499&gt;12),"Periode prüfen",IF(D499&lt;=Steuerung!$F$8,"IST gesperrt",IF(OR(E499="",F499="",COUNT(G499:I499)&lt;&gt;3),"Angaben fehlen","Wirksam"))))</f>
        <v/>
      </c>
      <c r="L499" s="8">
        <f>IF(K499="Wirksam",SUM(G499:H499)-I499,IF(K499="","","n.a."))</f>
        <v/>
      </c>
    </row>
    <row r="500" ht="21" customHeight="1">
      <c r="C500" s="14" t="n"/>
      <c r="D500" s="14" t="n"/>
      <c r="E500" s="14" t="n"/>
      <c r="F500" s="14" t="n"/>
      <c r="G500" s="16" t="n"/>
      <c r="H500" s="16" t="n"/>
      <c r="I500" s="16" t="n"/>
      <c r="J500" s="14" t="n"/>
      <c r="K500" s="10">
        <f>IF(COUNTA(C500:J500)=0,"",IF(OR(C500&lt;&gt;Steuerung!$F$6,D500&lt;1,D500&gt;12),"Periode prüfen",IF(D500&lt;=Steuerung!$F$8,"IST gesperrt",IF(OR(E500="",F500="",COUNT(G500:I500)&lt;&gt;3),"Angaben fehlen","Wirksam"))))</f>
        <v/>
      </c>
      <c r="L500" s="8">
        <f>IF(K500="Wirksam",SUM(G500:H500)-I500,IF(K500="","","n.a."))</f>
        <v/>
      </c>
    </row>
    <row r="501" ht="21" customHeight="1">
      <c r="C501" s="14" t="n"/>
      <c r="D501" s="14" t="n"/>
      <c r="E501" s="14" t="n"/>
      <c r="F501" s="14" t="n"/>
      <c r="G501" s="16" t="n"/>
      <c r="H501" s="16" t="n"/>
      <c r="I501" s="16" t="n"/>
      <c r="J501" s="14" t="n"/>
      <c r="K501" s="10">
        <f>IF(COUNTA(C501:J501)=0,"",IF(OR(C501&lt;&gt;Steuerung!$F$6,D501&lt;1,D501&gt;12),"Periode prüfen",IF(D501&lt;=Steuerung!$F$8,"IST gesperrt",IF(OR(E501="",F501="",COUNT(G501:I501)&lt;&gt;3),"Angaben fehlen","Wirksam"))))</f>
        <v/>
      </c>
      <c r="L501" s="8">
        <f>IF(K501="Wirksam",SUM(G501:H501)-I501,IF(K501="","","n.a."))</f>
        <v/>
      </c>
    </row>
    <row r="502" ht="21" customHeight="1">
      <c r="C502" s="14" t="n"/>
      <c r="D502" s="14" t="n"/>
      <c r="E502" s="14" t="n"/>
      <c r="F502" s="14" t="n"/>
      <c r="G502" s="16" t="n"/>
      <c r="H502" s="16" t="n"/>
      <c r="I502" s="16" t="n"/>
      <c r="J502" s="14" t="n"/>
      <c r="K502" s="10">
        <f>IF(COUNTA(C502:J502)=0,"",IF(OR(C502&lt;&gt;Steuerung!$F$6,D502&lt;1,D502&gt;12),"Periode prüfen",IF(D502&lt;=Steuerung!$F$8,"IST gesperrt",IF(OR(E502="",F502="",COUNT(G502:I502)&lt;&gt;3),"Angaben fehlen","Wirksam"))))</f>
        <v/>
      </c>
      <c r="L502" s="8">
        <f>IF(K502="Wirksam",SUM(G502:H502)-I502,IF(K502="","","n.a."))</f>
        <v/>
      </c>
    </row>
    <row r="503" ht="21" customHeight="1">
      <c r="C503" s="14" t="n"/>
      <c r="D503" s="14" t="n"/>
      <c r="E503" s="14" t="n"/>
      <c r="F503" s="14" t="n"/>
      <c r="G503" s="16" t="n"/>
      <c r="H503" s="16" t="n"/>
      <c r="I503" s="16" t="n"/>
      <c r="J503" s="14" t="n"/>
      <c r="K503" s="10">
        <f>IF(COUNTA(C503:J503)=0,"",IF(OR(C503&lt;&gt;Steuerung!$F$6,D503&lt;1,D503&gt;12),"Periode prüfen",IF(D503&lt;=Steuerung!$F$8,"IST gesperrt",IF(OR(E503="",F503="",COUNT(G503:I503)&lt;&gt;3),"Angaben fehlen","Wirksam"))))</f>
        <v/>
      </c>
      <c r="L503" s="8">
        <f>IF(K503="Wirksam",SUM(G503:H503)-I503,IF(K503="","","n.a."))</f>
        <v/>
      </c>
    </row>
    <row r="504" ht="21" customHeight="1">
      <c r="C504" s="14" t="n"/>
      <c r="D504" s="14" t="n"/>
      <c r="E504" s="14" t="n"/>
      <c r="F504" s="14" t="n"/>
      <c r="G504" s="16" t="n"/>
      <c r="H504" s="16" t="n"/>
      <c r="I504" s="16" t="n"/>
      <c r="J504" s="14" t="n"/>
      <c r="K504" s="10">
        <f>IF(COUNTA(C504:J504)=0,"",IF(OR(C504&lt;&gt;Steuerung!$F$6,D504&lt;1,D504&gt;12),"Periode prüfen",IF(D504&lt;=Steuerung!$F$8,"IST gesperrt",IF(OR(E504="",F504="",COUNT(G504:I504)&lt;&gt;3),"Angaben fehlen","Wirksam"))))</f>
        <v/>
      </c>
      <c r="L504" s="8">
        <f>IF(K504="Wirksam",SUM(G504:H504)-I504,IF(K504="","","n.a."))</f>
        <v/>
      </c>
    </row>
    <row r="505" ht="21" customHeight="1">
      <c r="C505" s="14" t="n"/>
      <c r="D505" s="14" t="n"/>
      <c r="E505" s="14" t="n"/>
      <c r="F505" s="14" t="n"/>
      <c r="G505" s="16" t="n"/>
      <c r="H505" s="16" t="n"/>
      <c r="I505" s="16" t="n"/>
      <c r="J505" s="14" t="n"/>
      <c r="K505" s="10">
        <f>IF(COUNTA(C505:J505)=0,"",IF(OR(C505&lt;&gt;Steuerung!$F$6,D505&lt;1,D505&gt;12),"Periode prüfen",IF(D505&lt;=Steuerung!$F$8,"IST gesperrt",IF(OR(E505="",F505="",COUNT(G505:I505)&lt;&gt;3),"Angaben fehlen","Wirksam"))))</f>
        <v/>
      </c>
      <c r="L505" s="8">
        <f>IF(K505="Wirksam",SUM(G505:H505)-I505,IF(K505="","","n.a."))</f>
        <v/>
      </c>
    </row>
    <row r="506" ht="21" customHeight="1">
      <c r="C506" s="14" t="n"/>
      <c r="D506" s="14" t="n"/>
      <c r="E506" s="14" t="n"/>
      <c r="F506" s="14" t="n"/>
      <c r="G506" s="16" t="n"/>
      <c r="H506" s="16" t="n"/>
      <c r="I506" s="16" t="n"/>
      <c r="J506" s="14" t="n"/>
      <c r="K506" s="10">
        <f>IF(COUNTA(C506:J506)=0,"",IF(OR(C506&lt;&gt;Steuerung!$F$6,D506&lt;1,D506&gt;12),"Periode prüfen",IF(D506&lt;=Steuerung!$F$8,"IST gesperrt",IF(OR(E506="",F506="",COUNT(G506:I506)&lt;&gt;3),"Angaben fehlen","Wirksam"))))</f>
        <v/>
      </c>
      <c r="L506" s="8">
        <f>IF(K506="Wirksam",SUM(G506:H506)-I506,IF(K506="","","n.a."))</f>
        <v/>
      </c>
    </row>
  </sheetData>
  <mergeCells count="2">
    <mergeCell ref="C2:M2"/>
    <mergeCell ref="C3:M3"/>
  </mergeCells>
  <conditionalFormatting sqref="K7:K506">
    <cfRule type="containsText" priority="1" operator="containsText" dxfId="0" text="fehlen"/>
  </conditionalFormatting>
  <dataValidations count="1">
    <dataValidation sqref="E7:E506" showDropDown="0" showInputMessage="0" showErrorMessage="0" allowBlank="0" type="list">
      <formula1>"West,Süd-West,Ost,Berlin,Verwaltung"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F59E0B"/>
    <outlinePr summaryBelow="1" summaryRight="1"/>
    <pageSetUpPr/>
  </sheetPr>
  <dimension ref="A1:O6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10" defaultColWidth="8.83203125" defaultRowHeight="14"/>
  <cols>
    <col width="2.5" customWidth="1" min="1" max="2"/>
    <col width="12" customWidth="1" min="3" max="4"/>
    <col width="22" customWidth="1" min="5" max="13"/>
    <col width="15" customWidth="1" min="14" max="15"/>
  </cols>
  <sheetData>
    <row r="1">
      <c r="A1" s="48" t="n"/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  <c r="O1" s="48" t="n"/>
    </row>
    <row r="2" ht="30" customHeight="1">
      <c r="A2" s="48" t="n"/>
      <c r="B2" s="48" t="n"/>
      <c r="C2" s="53" t="inlineStr">
        <is>
          <t>Importierte Monats-GuV</t>
        </is>
      </c>
      <c r="D2" s="60" t="n"/>
      <c r="E2" s="60" t="n"/>
      <c r="F2" s="60" t="n"/>
      <c r="G2" s="60" t="n"/>
      <c r="H2" s="60" t="n"/>
      <c r="I2" s="60" t="n"/>
      <c r="J2" s="60" t="n"/>
      <c r="K2" s="60" t="n"/>
      <c r="L2" s="60" t="n"/>
      <c r="M2" s="60" t="n"/>
      <c r="N2" s="60" t="n"/>
      <c r="O2" s="60" t="n"/>
    </row>
    <row r="3" ht="32" customHeight="1">
      <c r="A3" s="48" t="n"/>
      <c r="B3" s="48" t="n"/>
      <c r="C3" s="54" t="inlineStr">
        <is>
          <t>Befüllung über TVF_Import.ts. Eine Zeile je Jahr und Monat. Vorhandene Monate werden gezielt ersetzt. Originalquellen bleiben erhalten.</t>
        </is>
      </c>
    </row>
    <row r="4">
      <c r="A4" s="48" t="n"/>
      <c r="B4" s="48" t="n"/>
      <c r="C4" s="48" t="n"/>
      <c r="D4" s="48" t="n"/>
      <c r="E4" s="48" t="n"/>
      <c r="F4" s="48" t="n"/>
      <c r="G4" s="48" t="n"/>
      <c r="H4" s="48" t="n"/>
      <c r="I4" s="48" t="n"/>
      <c r="J4" s="48" t="n"/>
      <c r="K4" s="48" t="n"/>
      <c r="L4" s="48" t="n"/>
      <c r="M4" s="48" t="n"/>
      <c r="N4" s="48" t="n"/>
      <c r="O4" s="48" t="n"/>
    </row>
    <row r="5">
      <c r="A5" s="48" t="n"/>
      <c r="B5" s="48" t="n"/>
      <c r="C5" s="48" t="n"/>
      <c r="D5" s="48" t="n"/>
      <c r="E5" s="48" t="n"/>
      <c r="F5" s="48" t="n"/>
      <c r="G5" s="48" t="n"/>
      <c r="H5" s="48" t="n"/>
      <c r="I5" s="48" t="n"/>
      <c r="J5" s="48" t="n"/>
      <c r="K5" s="48" t="n"/>
      <c r="L5" s="48" t="n"/>
      <c r="M5" s="48" t="n"/>
      <c r="N5" s="48" t="n"/>
      <c r="O5" s="48" t="n"/>
    </row>
    <row r="6" ht="36" customHeight="1">
      <c r="A6" s="48" t="n"/>
      <c r="B6" s="48" t="n"/>
      <c r="C6" s="3" t="inlineStr">
        <is>
          <t>Jahr</t>
        </is>
      </c>
      <c r="D6" s="3" t="inlineStr">
        <is>
          <t>Monat</t>
        </is>
      </c>
      <c r="E6" s="3" t="inlineStr">
        <is>
          <t>Umsatz</t>
        </is>
      </c>
      <c r="F6" s="3" t="inlineStr">
        <is>
          <t>Bestand</t>
        </is>
      </c>
      <c r="G6" s="3" t="inlineStr">
        <is>
          <t>Sonstige_Ertraege</t>
        </is>
      </c>
      <c r="H6" s="3" t="inlineStr">
        <is>
          <t>Materialaufwand</t>
        </is>
      </c>
      <c r="I6" s="3" t="inlineStr">
        <is>
          <t>Personalaufwand</t>
        </is>
      </c>
      <c r="J6" s="3" t="inlineStr">
        <is>
          <t>Sonstiger_Aufwand</t>
        </is>
      </c>
      <c r="K6" s="3" t="inlineStr">
        <is>
          <t>Abschreibungen</t>
        </is>
      </c>
      <c r="L6" s="3" t="inlineStr">
        <is>
          <t>Finanzergebnis</t>
        </is>
      </c>
      <c r="M6" s="3" t="inlineStr">
        <is>
          <t>Neutrales_Ergebnis</t>
        </is>
      </c>
      <c r="N6" s="48" t="n"/>
      <c r="O6" s="48" t="n"/>
    </row>
    <row r="7" ht="21" customHeight="1">
      <c r="A7" s="48" t="n"/>
      <c r="B7" s="48" t="n"/>
      <c r="C7" s="48" t="n"/>
      <c r="D7" s="48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48" t="n"/>
      <c r="O7" s="48" t="n"/>
    </row>
    <row r="8" ht="21" customHeight="1">
      <c r="A8" s="48" t="n"/>
      <c r="B8" s="48" t="n"/>
      <c r="C8" s="48" t="n"/>
      <c r="D8" s="48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48" t="n"/>
      <c r="O8" s="48" t="n"/>
    </row>
    <row r="9">
      <c r="A9" s="48" t="n"/>
      <c r="B9" s="48" t="n"/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  <c r="N9" s="48" t="n"/>
      <c r="O9" s="48" t="n"/>
    </row>
    <row r="10">
      <c r="A10" s="48" t="n"/>
      <c r="B10" s="48" t="n"/>
      <c r="C10" s="48" t="n"/>
      <c r="D10" s="48" t="n"/>
      <c r="E10" s="48" t="n"/>
      <c r="F10" s="48" t="n"/>
      <c r="G10" s="48" t="n"/>
      <c r="H10" s="48" t="n"/>
      <c r="I10" s="48" t="n"/>
      <c r="J10" s="48" t="n"/>
      <c r="K10" s="48" t="n"/>
      <c r="L10" s="48" t="n"/>
      <c r="M10" s="48" t="n"/>
      <c r="N10" s="48" t="n"/>
      <c r="O10" s="48" t="n"/>
    </row>
    <row r="11">
      <c r="A11" s="48" t="n"/>
      <c r="B11" s="48" t="n"/>
      <c r="C11" s="48" t="n"/>
      <c r="D11" s="48" t="n"/>
      <c r="E11" s="48" t="n"/>
      <c r="F11" s="48" t="n"/>
      <c r="G11" s="48" t="n"/>
      <c r="H11" s="48" t="n"/>
      <c r="I11" s="48" t="n"/>
      <c r="J11" s="48" t="n"/>
      <c r="K11" s="48" t="n"/>
      <c r="L11" s="48" t="n"/>
      <c r="M11" s="48" t="n"/>
      <c r="N11" s="48" t="n"/>
      <c r="O11" s="48" t="n"/>
    </row>
    <row r="12">
      <c r="A12" s="48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</row>
    <row r="13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</row>
    <row r="14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</row>
    <row r="15">
      <c r="A15" s="48" t="n"/>
      <c r="B15" s="48" t="n"/>
      <c r="C15" s="48" t="n"/>
      <c r="D15" s="48" t="n"/>
      <c r="E15" s="48" t="n"/>
      <c r="F15" s="48" t="n"/>
      <c r="G15" s="48" t="n"/>
      <c r="H15" s="48" t="n"/>
      <c r="I15" s="48" t="n"/>
      <c r="J15" s="48" t="n"/>
      <c r="K15" s="48" t="n"/>
      <c r="L15" s="48" t="n"/>
      <c r="M15" s="48" t="n"/>
      <c r="N15" s="48" t="n"/>
      <c r="O15" s="48" t="n"/>
    </row>
    <row r="16">
      <c r="A16" s="48" t="n"/>
      <c r="B16" s="48" t="n"/>
      <c r="C16" s="48" t="n"/>
      <c r="D16" s="48" t="n"/>
      <c r="E16" s="48" t="n"/>
      <c r="F16" s="48" t="n"/>
      <c r="G16" s="48" t="n"/>
      <c r="H16" s="48" t="n"/>
      <c r="I16" s="48" t="n"/>
      <c r="J16" s="48" t="n"/>
      <c r="K16" s="48" t="n"/>
      <c r="L16" s="48" t="n"/>
      <c r="M16" s="48" t="n"/>
      <c r="N16" s="48" t="n"/>
      <c r="O16" s="48" t="n"/>
    </row>
    <row r="17">
      <c r="A17" s="48" t="n"/>
      <c r="B17" s="48" t="n"/>
      <c r="C17" s="48" t="n"/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 t="n"/>
    </row>
    <row r="18">
      <c r="A18" s="48" t="n"/>
      <c r="B18" s="48" t="n"/>
      <c r="C18" s="48" t="n"/>
      <c r="D18" s="48" t="n"/>
      <c r="E18" s="48" t="n"/>
      <c r="F18" s="48" t="n"/>
      <c r="G18" s="48" t="n"/>
      <c r="H18" s="48" t="n"/>
      <c r="I18" s="48" t="n"/>
      <c r="J18" s="48" t="n"/>
      <c r="K18" s="48" t="n"/>
      <c r="L18" s="48" t="n"/>
      <c r="M18" s="48" t="n"/>
      <c r="N18" s="48" t="n"/>
      <c r="O18" s="48" t="n"/>
    </row>
    <row r="19">
      <c r="A19" s="48" t="n"/>
      <c r="B19" s="48" t="n"/>
      <c r="C19" s="48" t="n"/>
      <c r="D19" s="48" t="n"/>
      <c r="E19" s="48" t="n"/>
      <c r="F19" s="48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 t="n"/>
    </row>
    <row r="20">
      <c r="A20" s="48" t="n"/>
      <c r="B20" s="48" t="n"/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8" t="n"/>
      <c r="O20" s="48" t="n"/>
    </row>
    <row r="21">
      <c r="A21" s="48" t="n"/>
      <c r="B21" s="48" t="n"/>
      <c r="C21" s="48" t="n"/>
      <c r="D21" s="48" t="n"/>
      <c r="E21" s="48" t="n"/>
      <c r="F21" s="48" t="n"/>
      <c r="G21" s="48" t="n"/>
      <c r="H21" s="48" t="n"/>
      <c r="I21" s="48" t="n"/>
      <c r="J21" s="48" t="n"/>
      <c r="K21" s="48" t="n"/>
      <c r="L21" s="48" t="n"/>
      <c r="M21" s="48" t="n"/>
      <c r="N21" s="48" t="n"/>
      <c r="O21" s="48" t="n"/>
    </row>
    <row r="22">
      <c r="A22" s="48" t="n"/>
      <c r="B22" s="48" t="n"/>
      <c r="C22" s="48" t="n"/>
      <c r="D22" s="48" t="n"/>
      <c r="E22" s="48" t="n"/>
      <c r="F22" s="48" t="n"/>
      <c r="G22" s="48" t="n"/>
      <c r="H22" s="48" t="n"/>
      <c r="I22" s="48" t="n"/>
      <c r="J22" s="48" t="n"/>
      <c r="K22" s="48" t="n"/>
      <c r="L22" s="48" t="n"/>
      <c r="M22" s="48" t="n"/>
      <c r="N22" s="48" t="n"/>
      <c r="O22" s="48" t="n"/>
    </row>
    <row r="23">
      <c r="A23" s="48" t="n"/>
      <c r="B23" s="48" t="n"/>
      <c r="C23" s="48" t="n"/>
      <c r="D23" s="48" t="n"/>
      <c r="E23" s="48" t="n"/>
      <c r="F23" s="48" t="n"/>
      <c r="G23" s="48" t="n"/>
      <c r="H23" s="48" t="n"/>
      <c r="I23" s="48" t="n"/>
      <c r="J23" s="48" t="n"/>
      <c r="K23" s="48" t="n"/>
      <c r="L23" s="48" t="n"/>
      <c r="M23" s="48" t="n"/>
      <c r="N23" s="48" t="n"/>
      <c r="O23" s="48" t="n"/>
    </row>
    <row r="24">
      <c r="A24" s="48" t="n"/>
      <c r="B24" s="48" t="n"/>
      <c r="C24" s="48" t="n"/>
      <c r="D24" s="48" t="n"/>
      <c r="E24" s="48" t="n"/>
      <c r="F24" s="48" t="n"/>
      <c r="G24" s="48" t="n"/>
      <c r="H24" s="48" t="n"/>
      <c r="I24" s="48" t="n"/>
      <c r="J24" s="48" t="n"/>
      <c r="K24" s="48" t="n"/>
      <c r="L24" s="48" t="n"/>
      <c r="M24" s="48" t="n"/>
      <c r="N24" s="48" t="n"/>
      <c r="O24" s="48" t="n"/>
    </row>
    <row r="25">
      <c r="A25" s="48" t="n"/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</row>
    <row r="26">
      <c r="A26" s="48" t="n"/>
      <c r="B26" s="48" t="n"/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 t="n"/>
    </row>
    <row r="27">
      <c r="A27" s="48" t="n"/>
      <c r="B27" s="48" t="n"/>
      <c r="C27" s="48" t="n"/>
      <c r="D27" s="48" t="n"/>
      <c r="E27" s="48" t="n"/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 t="n"/>
    </row>
    <row r="28">
      <c r="A28" s="48" t="n"/>
      <c r="B28" s="48" t="n"/>
      <c r="C28" s="48" t="n"/>
      <c r="D28" s="48" t="n"/>
      <c r="E28" s="48" t="n"/>
      <c r="F28" s="48" t="n"/>
      <c r="G28" s="48" t="n"/>
      <c r="H28" s="48" t="n"/>
      <c r="I28" s="48" t="n"/>
      <c r="J28" s="48" t="n"/>
      <c r="K28" s="48" t="n"/>
      <c r="L28" s="48" t="n"/>
      <c r="M28" s="48" t="n"/>
      <c r="N28" s="48" t="n"/>
      <c r="O28" s="48" t="n"/>
    </row>
    <row r="29">
      <c r="A29" s="48" t="n"/>
      <c r="B29" s="48" t="n"/>
      <c r="C29" s="48" t="n"/>
      <c r="D29" s="48" t="n"/>
      <c r="E29" s="48" t="n"/>
      <c r="F29" s="48" t="n"/>
      <c r="G29" s="48" t="n"/>
      <c r="H29" s="48" t="n"/>
      <c r="I29" s="48" t="n"/>
      <c r="J29" s="48" t="n"/>
      <c r="K29" s="48" t="n"/>
      <c r="L29" s="48" t="n"/>
      <c r="M29" s="48" t="n"/>
      <c r="N29" s="48" t="n"/>
      <c r="O29" s="48" t="n"/>
    </row>
    <row r="30">
      <c r="A30" s="48" t="n"/>
      <c r="B30" s="48" t="n"/>
      <c r="C30" s="48" t="n"/>
      <c r="D30" s="48" t="n"/>
      <c r="E30" s="48" t="n"/>
      <c r="F30" s="48" t="n"/>
      <c r="G30" s="48" t="n"/>
      <c r="H30" s="48" t="n"/>
      <c r="I30" s="48" t="n"/>
      <c r="J30" s="48" t="n"/>
      <c r="K30" s="48" t="n"/>
      <c r="L30" s="48" t="n"/>
      <c r="M30" s="48" t="n"/>
      <c r="N30" s="48" t="n"/>
      <c r="O30" s="48" t="n"/>
    </row>
    <row r="31">
      <c r="A31" s="48" t="n"/>
      <c r="B31" s="48" t="n"/>
      <c r="C31" s="48" t="n"/>
      <c r="D31" s="48" t="n"/>
      <c r="E31" s="48" t="n"/>
      <c r="F31" s="48" t="n"/>
      <c r="G31" s="48" t="n"/>
      <c r="H31" s="48" t="n"/>
      <c r="I31" s="48" t="n"/>
      <c r="J31" s="48" t="n"/>
      <c r="K31" s="48" t="n"/>
      <c r="L31" s="48" t="n"/>
      <c r="M31" s="48" t="n"/>
      <c r="N31" s="48" t="n"/>
      <c r="O31" s="48" t="n"/>
    </row>
    <row r="32">
      <c r="A32" s="48" t="n"/>
      <c r="B32" s="48" t="n"/>
      <c r="C32" s="48" t="n"/>
      <c r="D32" s="48" t="n"/>
      <c r="E32" s="48" t="n"/>
      <c r="F32" s="48" t="n"/>
      <c r="G32" s="48" t="n"/>
      <c r="H32" s="48" t="n"/>
      <c r="I32" s="48" t="n"/>
      <c r="J32" s="48" t="n"/>
      <c r="K32" s="48" t="n"/>
      <c r="L32" s="48" t="n"/>
      <c r="M32" s="48" t="n"/>
      <c r="N32" s="48" t="n"/>
      <c r="O32" s="48" t="n"/>
    </row>
    <row r="33">
      <c r="A33" s="48" t="n"/>
      <c r="B33" s="48" t="n"/>
      <c r="C33" s="48" t="n"/>
      <c r="D33" s="48" t="n"/>
      <c r="E33" s="48" t="n"/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  <c r="O33" s="48" t="n"/>
    </row>
    <row r="34">
      <c r="A34" s="48" t="n"/>
      <c r="B34" s="48" t="n"/>
      <c r="C34" s="48" t="n"/>
      <c r="D34" s="48" t="n"/>
      <c r="E34" s="48" t="n"/>
      <c r="F34" s="48" t="n"/>
      <c r="G34" s="48" t="n"/>
      <c r="H34" s="48" t="n"/>
      <c r="I34" s="48" t="n"/>
      <c r="J34" s="48" t="n"/>
      <c r="K34" s="48" t="n"/>
      <c r="L34" s="48" t="n"/>
      <c r="M34" s="48" t="n"/>
      <c r="N34" s="48" t="n"/>
      <c r="O34" s="48" t="n"/>
    </row>
    <row r="35">
      <c r="A35" s="48" t="n"/>
      <c r="B35" s="48" t="n"/>
      <c r="C35" s="48" t="n"/>
      <c r="D35" s="48" t="n"/>
      <c r="E35" s="48" t="n"/>
      <c r="F35" s="48" t="n"/>
      <c r="G35" s="48" t="n"/>
      <c r="H35" s="48" t="n"/>
      <c r="I35" s="48" t="n"/>
      <c r="J35" s="48" t="n"/>
      <c r="K35" s="48" t="n"/>
      <c r="L35" s="48" t="n"/>
      <c r="M35" s="48" t="n"/>
      <c r="N35" s="48" t="n"/>
      <c r="O35" s="48" t="n"/>
    </row>
    <row r="36">
      <c r="A36" s="48" t="n"/>
      <c r="B36" s="48" t="n"/>
      <c r="C36" s="48" t="n"/>
      <c r="D36" s="48" t="n"/>
      <c r="E36" s="48" t="n"/>
      <c r="F36" s="48" t="n"/>
      <c r="G36" s="48" t="n"/>
      <c r="H36" s="48" t="n"/>
      <c r="I36" s="48" t="n"/>
      <c r="J36" s="48" t="n"/>
      <c r="K36" s="48" t="n"/>
      <c r="L36" s="48" t="n"/>
      <c r="M36" s="48" t="n"/>
      <c r="N36" s="48" t="n"/>
      <c r="O36" s="48" t="n"/>
    </row>
    <row r="37">
      <c r="A37" s="48" t="n"/>
      <c r="B37" s="48" t="n"/>
      <c r="C37" s="48" t="n"/>
      <c r="D37" s="48" t="n"/>
      <c r="E37" s="48" t="n"/>
      <c r="F37" s="48" t="n"/>
      <c r="G37" s="48" t="n"/>
      <c r="H37" s="48" t="n"/>
      <c r="I37" s="48" t="n"/>
      <c r="J37" s="48" t="n"/>
      <c r="K37" s="48" t="n"/>
      <c r="L37" s="48" t="n"/>
      <c r="M37" s="48" t="n"/>
      <c r="N37" s="48" t="n"/>
      <c r="O37" s="48" t="n"/>
    </row>
    <row r="38">
      <c r="A38" s="48" t="n"/>
      <c r="B38" s="48" t="n"/>
      <c r="C38" s="48" t="n"/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/>
      <c r="M38" s="48" t="n"/>
      <c r="N38" s="48" t="n"/>
      <c r="O38" s="48" t="n"/>
    </row>
    <row r="39">
      <c r="A39" s="48" t="n"/>
      <c r="B39" s="48" t="n"/>
      <c r="C39" s="48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</row>
    <row r="40">
      <c r="A40" s="48" t="n"/>
      <c r="B40" s="48" t="n"/>
      <c r="C40" s="48" t="n"/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 t="n"/>
    </row>
    <row r="41">
      <c r="A41" s="48" t="n"/>
      <c r="B41" s="48" t="n"/>
      <c r="C41" s="48" t="n"/>
      <c r="D41" s="48" t="n"/>
      <c r="E41" s="48" t="n"/>
      <c r="F41" s="48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</row>
    <row r="42">
      <c r="A42" s="48" t="n"/>
      <c r="B42" s="48" t="n"/>
      <c r="C42" s="48" t="n"/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8" t="n"/>
    </row>
    <row r="43">
      <c r="A43" s="48" t="n"/>
      <c r="B43" s="48" t="n"/>
      <c r="C43" s="48" t="n"/>
      <c r="D43" s="48" t="n"/>
      <c r="E43" s="48" t="n"/>
      <c r="F43" s="48" t="n"/>
      <c r="G43" s="48" t="n"/>
      <c r="H43" s="48" t="n"/>
      <c r="I43" s="48" t="n"/>
      <c r="J43" s="48" t="n"/>
      <c r="K43" s="48" t="n"/>
      <c r="L43" s="48" t="n"/>
      <c r="M43" s="48" t="n"/>
      <c r="N43" s="48" t="n"/>
      <c r="O43" s="48" t="n"/>
    </row>
    <row r="44">
      <c r="A44" s="48" t="n"/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</row>
    <row r="45">
      <c r="A45" s="48" t="n"/>
      <c r="B45" s="48" t="n"/>
      <c r="C45" s="48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 t="n"/>
    </row>
    <row r="46">
      <c r="A46" s="48" t="n"/>
      <c r="B46" s="48" t="n"/>
      <c r="C46" s="48" t="n"/>
      <c r="D46" s="48" t="n"/>
      <c r="E46" s="48" t="n"/>
      <c r="F46" s="48" t="n"/>
      <c r="G46" s="48" t="n"/>
      <c r="H46" s="48" t="n"/>
      <c r="I46" s="48" t="n"/>
      <c r="J46" s="48" t="n"/>
      <c r="K46" s="48" t="n"/>
      <c r="L46" s="48" t="n"/>
      <c r="M46" s="48" t="n"/>
      <c r="N46" s="48" t="n"/>
      <c r="O46" s="48" t="n"/>
    </row>
    <row r="47">
      <c r="A47" s="48" t="n"/>
      <c r="B47" s="48" t="n"/>
      <c r="C47" s="48" t="n"/>
      <c r="D47" s="48" t="n"/>
      <c r="E47" s="48" t="n"/>
      <c r="F47" s="48" t="n"/>
      <c r="G47" s="48" t="n"/>
      <c r="H47" s="48" t="n"/>
      <c r="I47" s="48" t="n"/>
      <c r="J47" s="48" t="n"/>
      <c r="K47" s="48" t="n"/>
      <c r="L47" s="48" t="n"/>
      <c r="M47" s="48" t="n"/>
      <c r="N47" s="48" t="n"/>
      <c r="O47" s="48" t="n"/>
    </row>
    <row r="48">
      <c r="A48" s="48" t="n"/>
      <c r="B48" s="48" t="n"/>
      <c r="C48" s="48" t="n"/>
      <c r="D48" s="48" t="n"/>
      <c r="E48" s="48" t="n"/>
      <c r="F48" s="48" t="n"/>
      <c r="G48" s="48" t="n"/>
      <c r="H48" s="48" t="n"/>
      <c r="I48" s="48" t="n"/>
      <c r="J48" s="48" t="n"/>
      <c r="K48" s="48" t="n"/>
      <c r="L48" s="48" t="n"/>
      <c r="M48" s="48" t="n"/>
      <c r="N48" s="48" t="n"/>
      <c r="O48" s="48" t="n"/>
    </row>
    <row r="49">
      <c r="A49" s="48" t="n"/>
      <c r="B49" s="48" t="n"/>
      <c r="C49" s="48" t="n"/>
      <c r="D49" s="48" t="n"/>
      <c r="E49" s="48" t="n"/>
      <c r="F49" s="48" t="n"/>
      <c r="G49" s="48" t="n"/>
      <c r="H49" s="48" t="n"/>
      <c r="I49" s="48" t="n"/>
      <c r="J49" s="48" t="n"/>
      <c r="K49" s="48" t="n"/>
      <c r="L49" s="48" t="n"/>
      <c r="M49" s="48" t="n"/>
      <c r="N49" s="48" t="n"/>
      <c r="O49" s="48" t="n"/>
    </row>
    <row r="50">
      <c r="A50" s="48" t="n"/>
      <c r="B50" s="48" t="n"/>
      <c r="C50" s="48" t="n"/>
      <c r="D50" s="48" t="n"/>
      <c r="E50" s="48" t="n"/>
      <c r="F50" s="48" t="n"/>
      <c r="G50" s="48" t="n"/>
      <c r="H50" s="48" t="n"/>
      <c r="I50" s="48" t="n"/>
      <c r="J50" s="48" t="n"/>
      <c r="K50" s="48" t="n"/>
      <c r="L50" s="48" t="n"/>
      <c r="M50" s="48" t="n"/>
      <c r="N50" s="48" t="n"/>
      <c r="O50" s="48" t="n"/>
    </row>
    <row r="51">
      <c r="A51" s="48" t="n"/>
      <c r="B51" s="48" t="n"/>
      <c r="C51" s="48" t="n"/>
      <c r="D51" s="48" t="n"/>
      <c r="E51" s="48" t="n"/>
      <c r="F51" s="48" t="n"/>
      <c r="G51" s="48" t="n"/>
      <c r="H51" s="48" t="n"/>
      <c r="I51" s="48" t="n"/>
      <c r="J51" s="48" t="n"/>
      <c r="K51" s="48" t="n"/>
      <c r="L51" s="48" t="n"/>
      <c r="M51" s="48" t="n"/>
      <c r="N51" s="48" t="n"/>
      <c r="O51" s="48" t="n"/>
    </row>
    <row r="52">
      <c r="A52" s="48" t="n"/>
      <c r="B52" s="48" t="n"/>
      <c r="C52" s="48" t="n"/>
      <c r="D52" s="48" t="n"/>
      <c r="E52" s="48" t="n"/>
      <c r="F52" s="48" t="n"/>
      <c r="G52" s="48" t="n"/>
      <c r="H52" s="48" t="n"/>
      <c r="I52" s="48" t="n"/>
      <c r="J52" s="48" t="n"/>
      <c r="K52" s="48" t="n"/>
      <c r="L52" s="48" t="n"/>
      <c r="M52" s="48" t="n"/>
      <c r="N52" s="48" t="n"/>
      <c r="O52" s="48" t="n"/>
    </row>
    <row r="53">
      <c r="A53" s="48" t="n"/>
      <c r="B53" s="48" t="n"/>
      <c r="C53" s="48" t="n"/>
      <c r="D53" s="48" t="n"/>
      <c r="E53" s="48" t="n"/>
      <c r="F53" s="48" t="n"/>
      <c r="G53" s="48" t="n"/>
      <c r="H53" s="48" t="n"/>
      <c r="I53" s="48" t="n"/>
      <c r="J53" s="48" t="n"/>
      <c r="K53" s="48" t="n"/>
      <c r="L53" s="48" t="n"/>
      <c r="M53" s="48" t="n"/>
      <c r="N53" s="48" t="n"/>
      <c r="O53" s="48" t="n"/>
    </row>
    <row r="54">
      <c r="A54" s="48" t="n"/>
      <c r="B54" s="48" t="n"/>
      <c r="C54" s="48" t="n"/>
      <c r="D54" s="48" t="n"/>
      <c r="E54" s="48" t="n"/>
      <c r="F54" s="48" t="n"/>
      <c r="G54" s="48" t="n"/>
      <c r="H54" s="48" t="n"/>
      <c r="I54" s="48" t="n"/>
      <c r="J54" s="48" t="n"/>
      <c r="K54" s="48" t="n"/>
      <c r="L54" s="48" t="n"/>
      <c r="M54" s="48" t="n"/>
      <c r="N54" s="48" t="n"/>
      <c r="O54" s="48" t="n"/>
    </row>
    <row r="55">
      <c r="A55" s="48" t="n"/>
      <c r="B55" s="48" t="n"/>
      <c r="C55" s="48" t="n"/>
      <c r="D55" s="48" t="n"/>
      <c r="E55" s="48" t="n"/>
      <c r="F55" s="48" t="n"/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 t="n"/>
    </row>
    <row r="56">
      <c r="A56" s="48" t="n"/>
      <c r="B56" s="48" t="n"/>
      <c r="C56" s="48" t="n"/>
      <c r="D56" s="48" t="n"/>
      <c r="E56" s="48" t="n"/>
      <c r="F56" s="48" t="n"/>
      <c r="G56" s="48" t="n"/>
      <c r="H56" s="48" t="n"/>
      <c r="I56" s="48" t="n"/>
      <c r="J56" s="48" t="n"/>
      <c r="K56" s="48" t="n"/>
      <c r="L56" s="48" t="n"/>
      <c r="M56" s="48" t="n"/>
      <c r="N56" s="48" t="n"/>
      <c r="O56" s="48" t="n"/>
    </row>
    <row r="57">
      <c r="A57" s="48" t="n"/>
      <c r="B57" s="48" t="n"/>
      <c r="C57" s="48" t="n"/>
      <c r="D57" s="48" t="n"/>
      <c r="E57" s="48" t="n"/>
      <c r="F57" s="48" t="n"/>
      <c r="G57" s="48" t="n"/>
      <c r="H57" s="48" t="n"/>
      <c r="I57" s="48" t="n"/>
      <c r="J57" s="48" t="n"/>
      <c r="K57" s="48" t="n"/>
      <c r="L57" s="48" t="n"/>
      <c r="M57" s="48" t="n"/>
      <c r="N57" s="48" t="n"/>
      <c r="O57" s="48" t="n"/>
    </row>
    <row r="58">
      <c r="A58" s="48" t="n"/>
      <c r="B58" s="48" t="n"/>
      <c r="C58" s="48" t="n"/>
      <c r="D58" s="48" t="n"/>
      <c r="E58" s="48" t="n"/>
      <c r="F58" s="48" t="n"/>
      <c r="G58" s="48" t="n"/>
      <c r="H58" s="48" t="n"/>
      <c r="I58" s="48" t="n"/>
      <c r="J58" s="48" t="n"/>
      <c r="K58" s="48" t="n"/>
      <c r="L58" s="48" t="n"/>
      <c r="M58" s="48" t="n"/>
      <c r="N58" s="48" t="n"/>
      <c r="O58" s="48" t="n"/>
    </row>
    <row r="59">
      <c r="A59" s="48" t="n"/>
      <c r="B59" s="48" t="n"/>
      <c r="C59" s="48" t="n"/>
      <c r="D59" s="48" t="n"/>
      <c r="E59" s="48" t="n"/>
      <c r="F59" s="48" t="n"/>
      <c r="G59" s="48" t="n"/>
      <c r="H59" s="48" t="n"/>
      <c r="I59" s="48" t="n"/>
      <c r="J59" s="48" t="n"/>
      <c r="K59" s="48" t="n"/>
      <c r="L59" s="48" t="n"/>
      <c r="M59" s="48" t="n"/>
      <c r="N59" s="48" t="n"/>
      <c r="O59" s="48" t="n"/>
    </row>
    <row r="60">
      <c r="A60" s="48" t="n"/>
      <c r="B60" s="48" t="n"/>
      <c r="C60" s="48" t="n"/>
      <c r="D60" s="48" t="n"/>
      <c r="E60" s="48" t="n"/>
      <c r="F60" s="48" t="n"/>
      <c r="G60" s="48" t="n"/>
      <c r="H60" s="48" t="n"/>
      <c r="I60" s="48" t="n"/>
      <c r="J60" s="48" t="n"/>
      <c r="K60" s="48" t="n"/>
      <c r="L60" s="48" t="n"/>
      <c r="M60" s="48" t="n"/>
      <c r="N60" s="48" t="n"/>
      <c r="O60" s="48" t="n"/>
    </row>
  </sheetData>
  <mergeCells count="2">
    <mergeCell ref="C3:O3"/>
    <mergeCell ref="C2:O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CBD5E1"/>
    <outlinePr summaryBelow="1" summaryRight="1"/>
    <pageSetUpPr/>
  </sheetPr>
  <dimension ref="A1:Z3571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10" defaultColWidth="8.83203125" defaultRowHeight="14"/>
  <cols>
    <col width="15" customWidth="1" min="1" max="2"/>
    <col width="19" customWidth="1" min="3" max="26"/>
  </cols>
  <sheetData>
    <row r="1">
      <c r="A1" s="48" t="n"/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  <c r="O1" s="48" t="n"/>
      <c r="P1" s="48" t="n"/>
      <c r="Q1" s="48" t="n"/>
      <c r="R1" s="48" t="n"/>
      <c r="S1" s="48" t="n"/>
      <c r="T1" s="48" t="n"/>
      <c r="U1" s="48" t="n"/>
      <c r="V1" s="48" t="n"/>
      <c r="W1" s="48" t="n"/>
      <c r="X1" s="48" t="n"/>
      <c r="Y1" s="48" t="n"/>
      <c r="Z1" s="48" t="n"/>
    </row>
    <row r="2" ht="30" customHeight="1">
      <c r="A2" s="48" t="n"/>
      <c r="B2" s="48" t="n"/>
      <c r="C2" s="53" t="inlineStr">
        <is>
          <t>Finanzen – Quelldaten</t>
        </is>
      </c>
      <c r="D2" s="60" t="n"/>
      <c r="E2" s="60" t="n"/>
      <c r="F2" s="60" t="n"/>
      <c r="G2" s="60" t="n"/>
      <c r="H2" s="60" t="n"/>
      <c r="I2" s="60" t="n"/>
      <c r="J2" s="60" t="n"/>
      <c r="K2" s="60" t="n"/>
      <c r="L2" s="60" t="n"/>
      <c r="M2" s="60" t="n"/>
      <c r="N2" s="60" t="n"/>
      <c r="O2" s="60" t="n"/>
      <c r="P2" s="60" t="n"/>
      <c r="Q2" s="60" t="n"/>
      <c r="R2" s="60" t="n"/>
      <c r="S2" s="60" t="n"/>
      <c r="T2" s="60" t="n"/>
      <c r="U2" s="60" t="n"/>
      <c r="V2" s="60" t="n"/>
      <c r="W2" s="60" t="n"/>
      <c r="X2" s="60" t="n"/>
      <c r="Y2" s="60" t="n"/>
      <c r="Z2" s="60" t="n"/>
    </row>
    <row r="3" ht="32" customHeight="1">
      <c r="A3" s="48" t="n"/>
      <c r="B3" s="48" t="n"/>
      <c r="C3" s="54" t="inlineStr">
        <is>
          <t>Quelle: controlling-cockpit.zip, dashboard-static/assets/data.js. Exportierter Datenstand, keine Live-Verbindung.</t>
        </is>
      </c>
    </row>
    <row r="4">
      <c r="A4" s="48" t="n"/>
      <c r="B4" s="48" t="n"/>
      <c r="C4" s="48" t="n"/>
      <c r="D4" s="48" t="n"/>
      <c r="E4" s="48" t="n"/>
      <c r="F4" s="48" t="n"/>
      <c r="G4" s="48" t="n"/>
      <c r="H4" s="48" t="n"/>
      <c r="I4" s="48" t="n"/>
      <c r="J4" s="48" t="n"/>
      <c r="K4" s="48" t="n"/>
      <c r="L4" s="48" t="n"/>
      <c r="M4" s="48" t="n"/>
      <c r="N4" s="48" t="n"/>
      <c r="O4" s="48" t="n"/>
      <c r="P4" s="48" t="n"/>
      <c r="Q4" s="48" t="n"/>
      <c r="R4" s="48" t="n"/>
      <c r="S4" s="48" t="n"/>
      <c r="T4" s="48" t="n"/>
      <c r="U4" s="48" t="n"/>
      <c r="V4" s="48" t="n"/>
      <c r="W4" s="48" t="n"/>
      <c r="X4" s="48" t="n"/>
      <c r="Y4" s="48" t="n"/>
      <c r="Z4" s="48" t="n"/>
    </row>
    <row r="5">
      <c r="A5" s="48" t="n"/>
      <c r="B5" s="48" t="n"/>
      <c r="C5" s="48" t="n"/>
      <c r="D5" s="48" t="n"/>
      <c r="E5" s="48" t="n"/>
      <c r="F5" s="48" t="n"/>
      <c r="G5" s="48" t="n"/>
      <c r="H5" s="48" t="n"/>
      <c r="I5" s="48" t="n"/>
      <c r="J5" s="48" t="n"/>
      <c r="K5" s="48" t="n"/>
      <c r="L5" s="48" t="n"/>
      <c r="M5" s="48" t="n"/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</row>
    <row r="6" ht="24" customHeight="1">
      <c r="A6" s="52" t="inlineStr">
        <is>
          <t>v_kennzahlen_monat</t>
        </is>
      </c>
      <c r="K6" s="48" t="n"/>
      <c r="L6" s="48" t="n"/>
      <c r="M6" s="48" t="n"/>
      <c r="N6" s="48" t="n"/>
      <c r="O6" s="48" t="n"/>
      <c r="P6" s="48" t="n"/>
      <c r="Q6" s="48" t="n"/>
      <c r="R6" s="48" t="n"/>
      <c r="S6" s="48" t="n"/>
      <c r="T6" s="48" t="n"/>
      <c r="U6" s="48" t="n"/>
      <c r="V6" s="48" t="n"/>
      <c r="W6" s="48" t="n"/>
      <c r="X6" s="48" t="n"/>
      <c r="Y6" s="48" t="n"/>
      <c r="Z6" s="48" t="n"/>
    </row>
    <row r="7" ht="36" customHeight="1">
      <c r="A7" s="3" t="inlineStr">
        <is>
          <t>jahr</t>
        </is>
      </c>
      <c r="B7" s="3" t="inlineStr">
        <is>
          <t>monat</t>
        </is>
      </c>
      <c r="C7" s="3" t="inlineStr">
        <is>
          <t>umsatzerloese</t>
        </is>
      </c>
      <c r="D7" s="3" t="inlineStr">
        <is>
          <t>bestandsveraenderung</t>
        </is>
      </c>
      <c r="E7" s="3" t="inlineStr">
        <is>
          <t>gesamtleistung</t>
        </is>
      </c>
      <c r="F7" s="3" t="inlineStr">
        <is>
          <t>ebitda</t>
        </is>
      </c>
      <c r="G7" s="3" t="inlineStr">
        <is>
          <t>neutrales_ergebnis</t>
        </is>
      </c>
      <c r="H7" s="3" t="inlineStr">
        <is>
          <t>ebitda_nach_neutral</t>
        </is>
      </c>
      <c r="I7" s="3" t="inlineStr">
        <is>
          <t>abschreibungen</t>
        </is>
      </c>
      <c r="J7" s="3" t="inlineStr">
        <is>
          <t>finanzergebnis</t>
        </is>
      </c>
      <c r="K7" s="48" t="n"/>
      <c r="L7" s="48" t="n"/>
      <c r="M7" s="48" t="n"/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</row>
    <row r="8" ht="21" customHeight="1">
      <c r="A8" s="4" t="n">
        <v>2026</v>
      </c>
      <c r="B8" s="4" t="n">
        <v>1</v>
      </c>
      <c r="C8" s="5" t="n">
        <v>639565.45</v>
      </c>
      <c r="D8" s="5" t="n">
        <v>1280847.26</v>
      </c>
      <c r="E8" s="5" t="n">
        <v>1920412.71</v>
      </c>
      <c r="F8" s="5" t="n">
        <v>294942.37</v>
      </c>
      <c r="G8" s="5" t="n">
        <v>-4710.2</v>
      </c>
      <c r="H8" s="5" t="n">
        <v>290232.17</v>
      </c>
      <c r="I8" s="5" t="n">
        <v>-9645.450000000001</v>
      </c>
      <c r="J8" s="5" t="n">
        <v>-5854.47</v>
      </c>
      <c r="K8" s="48" t="n"/>
      <c r="L8" s="48" t="n"/>
      <c r="M8" s="48" t="n"/>
      <c r="N8" s="48" t="n"/>
      <c r="O8" s="48" t="n"/>
      <c r="P8" s="48" t="n"/>
      <c r="Q8" s="48" t="n"/>
      <c r="R8" s="48" t="n"/>
      <c r="S8" s="48" t="n"/>
      <c r="T8" s="48" t="n"/>
      <c r="U8" s="48" t="n"/>
      <c r="V8" s="48" t="n"/>
      <c r="W8" s="48" t="n"/>
      <c r="X8" s="48" t="n"/>
      <c r="Y8" s="48" t="n"/>
      <c r="Z8" s="48" t="n"/>
    </row>
    <row r="9" ht="21" customHeight="1">
      <c r="A9" s="4" t="n">
        <v>2026</v>
      </c>
      <c r="B9" s="4" t="n">
        <v>2</v>
      </c>
      <c r="C9" s="5" t="n">
        <v>2777244.65</v>
      </c>
      <c r="D9" s="5" t="n">
        <v>-200176.92</v>
      </c>
      <c r="E9" s="5" t="n">
        <v>2577067.73</v>
      </c>
      <c r="F9" s="5" t="n">
        <v>318570.76</v>
      </c>
      <c r="G9" s="5" t="n">
        <v>-3717.47</v>
      </c>
      <c r="H9" s="5" t="n">
        <v>314853.29</v>
      </c>
      <c r="I9" s="5" t="n">
        <v>-9711.51</v>
      </c>
      <c r="J9" s="5" t="n">
        <v>-6903.55</v>
      </c>
      <c r="K9" s="48" t="n"/>
      <c r="L9" s="48" t="n"/>
      <c r="M9" s="48" t="n"/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</row>
    <row r="10" ht="21" customHeight="1">
      <c r="A10" s="4" t="n">
        <v>2026</v>
      </c>
      <c r="B10" s="4" t="n">
        <v>3</v>
      </c>
      <c r="C10" s="5" t="n">
        <v>1213541.38</v>
      </c>
      <c r="D10" s="5" t="n">
        <v>1198671.49</v>
      </c>
      <c r="E10" s="5" t="n">
        <v>2412212.87</v>
      </c>
      <c r="F10" s="5" t="n">
        <v>23595.18</v>
      </c>
      <c r="G10" s="5" t="n">
        <v>-13169.88</v>
      </c>
      <c r="H10" s="5" t="n">
        <v>10425.3</v>
      </c>
      <c r="I10" s="5" t="n">
        <v>-9824.139999999999</v>
      </c>
      <c r="J10" s="5" t="n">
        <v>-9432.18</v>
      </c>
      <c r="K10" s="48" t="n"/>
      <c r="L10" s="48" t="n"/>
      <c r="M10" s="48" t="n"/>
      <c r="N10" s="48" t="n"/>
      <c r="O10" s="48" t="n"/>
      <c r="P10" s="48" t="n"/>
      <c r="Q10" s="48" t="n"/>
      <c r="R10" s="48" t="n"/>
      <c r="S10" s="48" t="n"/>
      <c r="T10" s="48" t="n"/>
      <c r="U10" s="48" t="n"/>
      <c r="V10" s="48" t="n"/>
      <c r="W10" s="48" t="n"/>
      <c r="X10" s="48" t="n"/>
      <c r="Y10" s="48" t="n"/>
      <c r="Z10" s="48" t="n"/>
    </row>
    <row r="11" ht="21" customHeight="1">
      <c r="A11" s="4" t="n">
        <v>2026</v>
      </c>
      <c r="B11" s="4" t="n">
        <v>4</v>
      </c>
      <c r="C11" s="5" t="n">
        <v>678343.59</v>
      </c>
      <c r="D11" s="5" t="n">
        <v>1261219.89</v>
      </c>
      <c r="E11" s="5" t="n">
        <v>1939563.48</v>
      </c>
      <c r="F11" s="5" t="n">
        <v>-179274.07</v>
      </c>
      <c r="G11" s="5" t="n">
        <v>-5173.46</v>
      </c>
      <c r="H11" s="5" t="n">
        <v>-184447.53</v>
      </c>
      <c r="I11" s="5" t="n">
        <v>-9599.860000000001</v>
      </c>
      <c r="J11" s="5" t="n">
        <v>-8779.92</v>
      </c>
      <c r="K11" s="48" t="n"/>
      <c r="L11" s="48" t="n"/>
      <c r="M11" s="48" t="n"/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</row>
    <row r="12" ht="21" customHeight="1">
      <c r="A12" s="4" t="n">
        <v>2026</v>
      </c>
      <c r="B12" s="4" t="n">
        <v>5</v>
      </c>
      <c r="C12" s="5" t="n">
        <v>1347585.48</v>
      </c>
      <c r="D12" s="5" t="n">
        <v>-263604.09</v>
      </c>
      <c r="E12" s="5" t="n">
        <v>1083981.39</v>
      </c>
      <c r="F12" s="5" t="n">
        <v>-141241.9</v>
      </c>
      <c r="G12" s="5" t="n">
        <v>-2569.29</v>
      </c>
      <c r="H12" s="5" t="n">
        <v>-143811.19</v>
      </c>
      <c r="I12" s="5" t="n">
        <v>-9655.030000000001</v>
      </c>
      <c r="J12" s="5" t="n">
        <v>-15584.75</v>
      </c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</row>
    <row r="13" ht="21" customHeight="1">
      <c r="A13" s="4" t="n">
        <v>2026</v>
      </c>
      <c r="B13" s="4" t="n">
        <v>6</v>
      </c>
      <c r="C13" s="5" t="n">
        <v>2470042.1</v>
      </c>
      <c r="D13" s="5" t="n">
        <v>314645.23</v>
      </c>
      <c r="E13" s="5" t="n">
        <v>2784687.33</v>
      </c>
      <c r="F13" s="5" t="n">
        <v>58553.86</v>
      </c>
      <c r="G13" s="5" t="n">
        <v>0</v>
      </c>
      <c r="H13" s="5" t="n">
        <v>58553.86</v>
      </c>
      <c r="I13" s="5" t="n">
        <v>-9047.959999999999</v>
      </c>
      <c r="J13" s="5" t="n">
        <v>-12744.5</v>
      </c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</row>
    <row r="14" ht="21" customHeight="1">
      <c r="A14" s="4" t="n">
        <v>2026</v>
      </c>
      <c r="B14" s="4" t="n">
        <v>7</v>
      </c>
      <c r="C14" s="5" t="n">
        <v>1323928.2</v>
      </c>
      <c r="D14" s="5" t="n">
        <v>294716.46</v>
      </c>
      <c r="E14" s="5" t="n">
        <v>1618644.66</v>
      </c>
      <c r="F14" s="5" t="n">
        <v>-495291.54</v>
      </c>
      <c r="G14" s="5" t="n">
        <v>-18831</v>
      </c>
      <c r="H14" s="5" t="n">
        <v>-514122.54</v>
      </c>
      <c r="I14" s="5" t="n">
        <v>-9082.969999999999</v>
      </c>
      <c r="J14" s="5" t="n">
        <v>-8079.09</v>
      </c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</row>
    <row r="15" ht="21" customHeight="1">
      <c r="A15" s="4" t="n">
        <v>2026</v>
      </c>
      <c r="B15" s="4" t="n">
        <v>8</v>
      </c>
      <c r="C15" s="5" t="n">
        <v>854339.84</v>
      </c>
      <c r="D15" s="5" t="n">
        <v>1022525.14</v>
      </c>
      <c r="E15" s="5" t="n">
        <v>1876864.98</v>
      </c>
      <c r="F15" s="5" t="n">
        <v>-138242.37</v>
      </c>
      <c r="G15" s="5" t="n">
        <v>1492.2</v>
      </c>
      <c r="H15" s="5" t="n">
        <v>-136750.17</v>
      </c>
      <c r="I15" s="5" t="n">
        <v>-9109.85</v>
      </c>
      <c r="J15" s="5" t="n">
        <v>-58785.49</v>
      </c>
      <c r="K15" s="48" t="n"/>
      <c r="L15" s="48" t="n"/>
      <c r="M15" s="48" t="n"/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</row>
    <row r="16" ht="21" customHeight="1">
      <c r="A16" s="4" t="n">
        <v>2026</v>
      </c>
      <c r="B16" s="4" t="n">
        <v>9</v>
      </c>
      <c r="C16" s="5" t="n">
        <v>885382.71</v>
      </c>
      <c r="D16" s="5" t="n">
        <v>0</v>
      </c>
      <c r="E16" s="5" t="n">
        <v>885382.71</v>
      </c>
      <c r="F16" s="5" t="n">
        <v>-1453149.19</v>
      </c>
      <c r="G16" s="5" t="n">
        <v>312223.42</v>
      </c>
      <c r="H16" s="5" t="n">
        <v>-1140925.77</v>
      </c>
      <c r="I16" s="5" t="n">
        <v>-9102</v>
      </c>
      <c r="J16" s="5" t="n">
        <v>5347.05</v>
      </c>
      <c r="K16" s="48" t="n"/>
      <c r="L16" s="48" t="n"/>
      <c r="M16" s="48" t="n"/>
      <c r="N16" s="48" t="n"/>
      <c r="O16" s="48" t="n"/>
      <c r="P16" s="48" t="n"/>
      <c r="Q16" s="48" t="n"/>
      <c r="R16" s="48" t="n"/>
      <c r="S16" s="48" t="n"/>
      <c r="T16" s="48" t="n"/>
      <c r="U16" s="48" t="n"/>
      <c r="V16" s="48" t="n"/>
      <c r="W16" s="48" t="n"/>
      <c r="X16" s="48" t="n"/>
      <c r="Y16" s="48" t="n"/>
      <c r="Z16" s="48" t="n"/>
    </row>
    <row r="17">
      <c r="A17" s="48" t="n"/>
      <c r="B17" s="48" t="n"/>
      <c r="C17" s="48" t="n"/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</row>
    <row r="18">
      <c r="A18" s="48" t="n"/>
      <c r="B18" s="48" t="n"/>
      <c r="C18" s="48" t="n"/>
      <c r="D18" s="48" t="n"/>
      <c r="E18" s="48" t="n"/>
      <c r="F18" s="48" t="n"/>
      <c r="G18" s="48" t="n"/>
      <c r="H18" s="48" t="n"/>
      <c r="I18" s="48" t="n"/>
      <c r="J18" s="48" t="n"/>
      <c r="K18" s="48" t="n"/>
      <c r="L18" s="48" t="n"/>
      <c r="M18" s="48" t="n"/>
      <c r="N18" s="48" t="n"/>
      <c r="O18" s="48" t="n"/>
      <c r="P18" s="48" t="n"/>
      <c r="Q18" s="48" t="n"/>
      <c r="R18" s="48" t="n"/>
      <c r="S18" s="48" t="n"/>
      <c r="T18" s="48" t="n"/>
      <c r="U18" s="48" t="n"/>
      <c r="V18" s="48" t="n"/>
      <c r="W18" s="48" t="n"/>
      <c r="X18" s="48" t="n"/>
      <c r="Y18" s="48" t="n"/>
      <c r="Z18" s="48" t="n"/>
    </row>
    <row r="19">
      <c r="A19" s="48" t="n"/>
      <c r="B19" s="48" t="n"/>
      <c r="C19" s="48" t="n"/>
      <c r="D19" s="48" t="n"/>
      <c r="E19" s="48" t="n"/>
      <c r="F19" s="48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</row>
    <row r="20" ht="24" customHeight="1">
      <c r="A20" s="52" t="inlineStr">
        <is>
          <t>v_ebitda_monat</t>
        </is>
      </c>
      <c r="I20" s="48" t="n"/>
      <c r="J20" s="48" t="n"/>
      <c r="K20" s="48" t="n"/>
      <c r="L20" s="48" t="n"/>
      <c r="M20" s="48" t="n"/>
      <c r="N20" s="48" t="n"/>
      <c r="O20" s="48" t="n"/>
      <c r="P20" s="48" t="n"/>
      <c r="Q20" s="48" t="n"/>
      <c r="R20" s="48" t="n"/>
      <c r="S20" s="48" t="n"/>
      <c r="T20" s="48" t="n"/>
      <c r="U20" s="48" t="n"/>
      <c r="V20" s="48" t="n"/>
      <c r="W20" s="48" t="n"/>
      <c r="X20" s="48" t="n"/>
      <c r="Y20" s="48" t="n"/>
      <c r="Z20" s="48" t="n"/>
    </row>
    <row r="21" ht="36" customHeight="1">
      <c r="A21" s="3" t="inlineStr">
        <is>
          <t>jahr</t>
        </is>
      </c>
      <c r="B21" s="3" t="inlineStr">
        <is>
          <t>monat</t>
        </is>
      </c>
      <c r="C21" s="3" t="inlineStr">
        <is>
          <t>art</t>
        </is>
      </c>
      <c r="D21" s="3" t="inlineStr">
        <is>
          <t>operatives_ergebnis</t>
        </is>
      </c>
      <c r="E21" s="3" t="inlineStr">
        <is>
          <t>overhead</t>
        </is>
      </c>
      <c r="F21" s="3" t="inlineStr">
        <is>
          <t>bewertung</t>
        </is>
      </c>
      <c r="G21" s="3" t="inlineStr">
        <is>
          <t>ebitda</t>
        </is>
      </c>
      <c r="H21" s="3" t="inlineStr">
        <is>
          <t>gerechnet</t>
        </is>
      </c>
      <c r="I21" s="48" t="n"/>
      <c r="J21" s="48" t="n"/>
      <c r="K21" s="48" t="n"/>
      <c r="L21" s="48" t="n"/>
      <c r="M21" s="48" t="n"/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</row>
    <row r="22" ht="21" customHeight="1">
      <c r="A22" s="4" t="n">
        <v>2026</v>
      </c>
      <c r="B22" s="4" t="n">
        <v>1</v>
      </c>
      <c r="C22" s="48" t="inlineStr">
        <is>
          <t>IST</t>
        </is>
      </c>
      <c r="D22" s="5" t="n">
        <v>383991.37</v>
      </c>
      <c r="E22" s="5" t="n">
        <v>-89049</v>
      </c>
      <c r="F22" s="5" t="n">
        <v>0</v>
      </c>
      <c r="G22" s="5" t="n">
        <v>294942.37</v>
      </c>
      <c r="H22" s="48" t="b">
        <v>1</v>
      </c>
      <c r="I22" s="48" t="n"/>
      <c r="J22" s="48" t="n"/>
      <c r="K22" s="48" t="n"/>
      <c r="L22" s="48" t="n"/>
      <c r="M22" s="48" t="n"/>
      <c r="N22" s="48" t="n"/>
      <c r="O22" s="48" t="n"/>
      <c r="P22" s="48" t="n"/>
      <c r="Q22" s="48" t="n"/>
      <c r="R22" s="48" t="n"/>
      <c r="S22" s="48" t="n"/>
      <c r="T22" s="48" t="n"/>
      <c r="U22" s="48" t="n"/>
      <c r="V22" s="48" t="n"/>
      <c r="W22" s="48" t="n"/>
      <c r="X22" s="48" t="n"/>
      <c r="Y22" s="48" t="n"/>
      <c r="Z22" s="48" t="n"/>
    </row>
    <row r="23" ht="21" customHeight="1">
      <c r="A23" s="4" t="n">
        <v>2026</v>
      </c>
      <c r="B23" s="4" t="n">
        <v>2</v>
      </c>
      <c r="C23" s="48" t="inlineStr">
        <is>
          <t>IST</t>
        </is>
      </c>
      <c r="D23" s="5" t="n">
        <v>422833.76</v>
      </c>
      <c r="E23" s="5" t="n">
        <v>-104263</v>
      </c>
      <c r="F23" s="5" t="n">
        <v>0</v>
      </c>
      <c r="G23" s="5" t="n">
        <v>318570.76</v>
      </c>
      <c r="H23" s="48" t="b">
        <v>1</v>
      </c>
      <c r="I23" s="48" t="n"/>
      <c r="J23" s="48" t="n"/>
      <c r="K23" s="48" t="n"/>
      <c r="L23" s="48" t="n"/>
      <c r="M23" s="48" t="n"/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</row>
    <row r="24" ht="21" customHeight="1">
      <c r="A24" s="4" t="n">
        <v>2026</v>
      </c>
      <c r="B24" s="4" t="n">
        <v>3</v>
      </c>
      <c r="C24" s="48" t="inlineStr">
        <is>
          <t>IST</t>
        </is>
      </c>
      <c r="D24" s="5" t="n">
        <v>174843.18</v>
      </c>
      <c r="E24" s="5" t="n">
        <v>-151248</v>
      </c>
      <c r="F24" s="5" t="n">
        <v>0</v>
      </c>
      <c r="G24" s="5" t="n">
        <v>23595.18</v>
      </c>
      <c r="H24" s="48" t="b">
        <v>1</v>
      </c>
      <c r="I24" s="48" t="n"/>
      <c r="J24" s="48" t="n"/>
      <c r="K24" s="48" t="n"/>
      <c r="L24" s="48" t="n"/>
      <c r="M24" s="48" t="n"/>
      <c r="N24" s="48" t="n"/>
      <c r="O24" s="48" t="n"/>
      <c r="P24" s="48" t="n"/>
      <c r="Q24" s="48" t="n"/>
      <c r="R24" s="48" t="n"/>
      <c r="S24" s="48" t="n"/>
      <c r="T24" s="48" t="n"/>
      <c r="U24" s="48" t="n"/>
      <c r="V24" s="48" t="n"/>
      <c r="W24" s="48" t="n"/>
      <c r="X24" s="48" t="n"/>
      <c r="Y24" s="48" t="n"/>
      <c r="Z24" s="48" t="n"/>
    </row>
    <row r="25" ht="21" customHeight="1">
      <c r="A25" s="4" t="n">
        <v>2026</v>
      </c>
      <c r="B25" s="4" t="n">
        <v>4</v>
      </c>
      <c r="C25" s="48" t="inlineStr">
        <is>
          <t>IST</t>
        </is>
      </c>
      <c r="D25" s="5" t="n">
        <v>-27218.07</v>
      </c>
      <c r="E25" s="5" t="n">
        <v>-152056</v>
      </c>
      <c r="F25" s="5" t="n">
        <v>0</v>
      </c>
      <c r="G25" s="5" t="n">
        <v>-179274.07</v>
      </c>
      <c r="H25" s="48" t="b">
        <v>1</v>
      </c>
      <c r="I25" s="48" t="n"/>
      <c r="J25" s="48" t="n"/>
      <c r="K25" s="48" t="n"/>
      <c r="L25" s="48" t="n"/>
      <c r="M25" s="48" t="n"/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</row>
    <row r="26" ht="21" customHeight="1">
      <c r="A26" s="4" t="n">
        <v>2026</v>
      </c>
      <c r="B26" s="4" t="n">
        <v>5</v>
      </c>
      <c r="C26" s="48" t="inlineStr">
        <is>
          <t>IST</t>
        </is>
      </c>
      <c r="D26" s="5" t="n">
        <v>21820.1</v>
      </c>
      <c r="E26" s="5" t="n">
        <v>-163062</v>
      </c>
      <c r="F26" s="5" t="n">
        <v>0</v>
      </c>
      <c r="G26" s="5" t="n">
        <v>-141241.9</v>
      </c>
      <c r="H26" s="48" t="b">
        <v>1</v>
      </c>
      <c r="I26" s="48" t="n"/>
      <c r="J26" s="48" t="n"/>
      <c r="K26" s="48" t="n"/>
      <c r="L26" s="48" t="n"/>
      <c r="M26" s="48" t="n"/>
      <c r="N26" s="48" t="n"/>
      <c r="O26" s="48" t="n"/>
      <c r="P26" s="48" t="n"/>
      <c r="Q26" s="48" t="n"/>
      <c r="R26" s="48" t="n"/>
      <c r="S26" s="48" t="n"/>
      <c r="T26" s="48" t="n"/>
      <c r="U26" s="48" t="n"/>
      <c r="V26" s="48" t="n"/>
      <c r="W26" s="48" t="n"/>
      <c r="X26" s="48" t="n"/>
      <c r="Y26" s="48" t="n"/>
      <c r="Z26" s="48" t="n"/>
    </row>
    <row r="27" ht="21" customHeight="1">
      <c r="A27" s="4" t="n">
        <v>2026</v>
      </c>
      <c r="B27" s="4" t="n">
        <v>6</v>
      </c>
      <c r="C27" s="48" t="inlineStr">
        <is>
          <t>IST</t>
        </is>
      </c>
      <c r="D27" s="5" t="n">
        <v>207195.86</v>
      </c>
      <c r="E27" s="5" t="n">
        <v>-148642</v>
      </c>
      <c r="F27" s="5" t="n">
        <v>0</v>
      </c>
      <c r="G27" s="5" t="n">
        <v>58553.86</v>
      </c>
      <c r="H27" s="48" t="b">
        <v>1</v>
      </c>
      <c r="I27" s="48" t="n"/>
      <c r="J27" s="48" t="n"/>
      <c r="K27" s="48" t="n"/>
      <c r="L27" s="48" t="n"/>
      <c r="M27" s="48" t="n"/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</row>
    <row r="28" ht="21" customHeight="1">
      <c r="A28" s="4" t="n">
        <v>2026</v>
      </c>
      <c r="B28" s="4" t="n">
        <v>7</v>
      </c>
      <c r="C28" s="48" t="inlineStr">
        <is>
          <t>IST</t>
        </is>
      </c>
      <c r="D28" s="5" t="n">
        <v>-346650.54</v>
      </c>
      <c r="E28" s="5" t="n">
        <v>-148641</v>
      </c>
      <c r="F28" s="5" t="n">
        <v>0</v>
      </c>
      <c r="G28" s="5" t="n">
        <v>-495291.54</v>
      </c>
      <c r="H28" s="48" t="b">
        <v>1</v>
      </c>
      <c r="I28" s="48" t="n"/>
      <c r="J28" s="48" t="n"/>
      <c r="K28" s="48" t="n"/>
      <c r="L28" s="48" t="n"/>
      <c r="M28" s="48" t="n"/>
      <c r="N28" s="48" t="n"/>
      <c r="O28" s="48" t="n"/>
      <c r="P28" s="48" t="n"/>
      <c r="Q28" s="48" t="n"/>
      <c r="R28" s="48" t="n"/>
      <c r="S28" s="48" t="n"/>
      <c r="T28" s="48" t="n"/>
      <c r="U28" s="48" t="n"/>
      <c r="V28" s="48" t="n"/>
      <c r="W28" s="48" t="n"/>
      <c r="X28" s="48" t="n"/>
      <c r="Y28" s="48" t="n"/>
      <c r="Z28" s="48" t="n"/>
    </row>
    <row r="29" ht="21" customHeight="1">
      <c r="A29" s="4" t="n">
        <v>2026</v>
      </c>
      <c r="B29" s="4" t="n">
        <v>8</v>
      </c>
      <c r="C29" s="48" t="inlineStr">
        <is>
          <t>IST</t>
        </is>
      </c>
      <c r="D29" s="5" t="n">
        <v>14315.63</v>
      </c>
      <c r="E29" s="5" t="n">
        <v>-152558</v>
      </c>
      <c r="F29" s="5" t="n">
        <v>0</v>
      </c>
      <c r="G29" s="5" t="n">
        <v>-138242.37</v>
      </c>
      <c r="H29" s="48" t="b">
        <v>1</v>
      </c>
      <c r="I29" s="48" t="n"/>
      <c r="J29" s="48" t="n"/>
      <c r="K29" s="48" t="n"/>
      <c r="L29" s="48" t="n"/>
      <c r="M29" s="48" t="n"/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</row>
    <row r="30" ht="21" customHeight="1">
      <c r="A30" s="4" t="n">
        <v>2026</v>
      </c>
      <c r="B30" s="4" t="n">
        <v>9</v>
      </c>
      <c r="C30" s="48" t="inlineStr">
        <is>
          <t>FC</t>
        </is>
      </c>
      <c r="D30" s="5" t="n">
        <v>468444</v>
      </c>
      <c r="E30" s="5" t="n">
        <v>-158558</v>
      </c>
      <c r="F30" s="5" t="n">
        <v>0</v>
      </c>
      <c r="G30" s="5" t="n">
        <v>309886</v>
      </c>
      <c r="H30" s="48" t="b">
        <v>0</v>
      </c>
      <c r="I30" s="48" t="n"/>
      <c r="J30" s="48" t="n"/>
      <c r="K30" s="48" t="n"/>
      <c r="L30" s="48" t="n"/>
      <c r="M30" s="48" t="n"/>
      <c r="N30" s="48" t="n"/>
      <c r="O30" s="48" t="n"/>
      <c r="P30" s="48" t="n"/>
      <c r="Q30" s="48" t="n"/>
      <c r="R30" s="48" t="n"/>
      <c r="S30" s="48" t="n"/>
      <c r="T30" s="48" t="n"/>
      <c r="U30" s="48" t="n"/>
      <c r="V30" s="48" t="n"/>
      <c r="W30" s="48" t="n"/>
      <c r="X30" s="48" t="n"/>
      <c r="Y30" s="48" t="n"/>
      <c r="Z30" s="48" t="n"/>
    </row>
    <row r="31" ht="21" customHeight="1">
      <c r="A31" s="4" t="n">
        <v>2026</v>
      </c>
      <c r="B31" s="4" t="n">
        <v>10</v>
      </c>
      <c r="C31" s="48" t="inlineStr">
        <is>
          <t>FC</t>
        </is>
      </c>
      <c r="D31" s="5" t="n">
        <v>261250</v>
      </c>
      <c r="E31" s="5" t="n">
        <v>-142558</v>
      </c>
      <c r="F31" s="5" t="n">
        <v>0</v>
      </c>
      <c r="G31" s="5" t="n">
        <v>118692</v>
      </c>
      <c r="H31" s="48" t="b">
        <v>0</v>
      </c>
      <c r="I31" s="48" t="n"/>
      <c r="J31" s="48" t="n"/>
      <c r="K31" s="48" t="n"/>
      <c r="L31" s="48" t="n"/>
      <c r="M31" s="48" t="n"/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</row>
    <row r="32" ht="21" customHeight="1">
      <c r="A32" s="4" t="n">
        <v>2026</v>
      </c>
      <c r="B32" s="4" t="n">
        <v>11</v>
      </c>
      <c r="C32" s="48" t="inlineStr">
        <is>
          <t>FC</t>
        </is>
      </c>
      <c r="D32" s="5" t="n">
        <v>516650</v>
      </c>
      <c r="E32" s="5" t="n">
        <v>-136558</v>
      </c>
      <c r="F32" s="5" t="n">
        <v>0</v>
      </c>
      <c r="G32" s="5" t="n">
        <v>380092</v>
      </c>
      <c r="H32" s="48" t="b">
        <v>0</v>
      </c>
      <c r="I32" s="48" t="n"/>
      <c r="J32" s="48" t="n"/>
      <c r="K32" s="48" t="n"/>
      <c r="L32" s="48" t="n"/>
      <c r="M32" s="48" t="n"/>
      <c r="N32" s="48" t="n"/>
      <c r="O32" s="48" t="n"/>
      <c r="P32" s="48" t="n"/>
      <c r="Q32" s="48" t="n"/>
      <c r="R32" s="48" t="n"/>
      <c r="S32" s="48" t="n"/>
      <c r="T32" s="48" t="n"/>
      <c r="U32" s="48" t="n"/>
      <c r="V32" s="48" t="n"/>
      <c r="W32" s="48" t="n"/>
      <c r="X32" s="48" t="n"/>
      <c r="Y32" s="48" t="n"/>
      <c r="Z32" s="48" t="n"/>
    </row>
    <row r="33" ht="21" customHeight="1">
      <c r="A33" s="4" t="n">
        <v>2026</v>
      </c>
      <c r="B33" s="4" t="n">
        <v>12</v>
      </c>
      <c r="C33" s="48" t="inlineStr">
        <is>
          <t>FC</t>
        </is>
      </c>
      <c r="D33" s="5" t="n">
        <v>26153</v>
      </c>
      <c r="E33" s="5" t="n">
        <v>-136558</v>
      </c>
      <c r="F33" s="5" t="n">
        <v>0</v>
      </c>
      <c r="G33" s="5" t="n">
        <v>-110405</v>
      </c>
      <c r="H33" s="48" t="b">
        <v>0</v>
      </c>
      <c r="I33" s="48" t="n"/>
      <c r="J33" s="48" t="n"/>
      <c r="K33" s="48" t="n"/>
      <c r="L33" s="48" t="n"/>
      <c r="M33" s="48" t="n"/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</row>
    <row r="34">
      <c r="A34" s="48" t="n"/>
      <c r="B34" s="48" t="n"/>
      <c r="C34" s="48" t="n"/>
      <c r="D34" s="48" t="n"/>
      <c r="E34" s="48" t="n"/>
      <c r="F34" s="48" t="n"/>
      <c r="G34" s="48" t="n"/>
      <c r="H34" s="48" t="n"/>
      <c r="I34" s="48" t="n"/>
      <c r="J34" s="48" t="n"/>
      <c r="K34" s="48" t="n"/>
      <c r="L34" s="48" t="n"/>
      <c r="M34" s="48" t="n"/>
      <c r="N34" s="48" t="n"/>
      <c r="O34" s="48" t="n"/>
      <c r="P34" s="48" t="n"/>
      <c r="Q34" s="48" t="n"/>
      <c r="R34" s="48" t="n"/>
      <c r="S34" s="48" t="n"/>
      <c r="T34" s="48" t="n"/>
      <c r="U34" s="48" t="n"/>
      <c r="V34" s="48" t="n"/>
      <c r="W34" s="48" t="n"/>
      <c r="X34" s="48" t="n"/>
      <c r="Y34" s="48" t="n"/>
      <c r="Z34" s="48" t="n"/>
    </row>
    <row r="35">
      <c r="A35" s="48" t="n"/>
      <c r="B35" s="48" t="n"/>
      <c r="C35" s="48" t="n"/>
      <c r="D35" s="48" t="n"/>
      <c r="E35" s="48" t="n"/>
      <c r="F35" s="48" t="n"/>
      <c r="G35" s="48" t="n"/>
      <c r="H35" s="48" t="n"/>
      <c r="I35" s="48" t="n"/>
      <c r="J35" s="48" t="n"/>
      <c r="K35" s="48" t="n"/>
      <c r="L35" s="48" t="n"/>
      <c r="M35" s="48" t="n"/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</row>
    <row r="36">
      <c r="A36" s="48" t="n"/>
      <c r="B36" s="48" t="n"/>
      <c r="C36" s="48" t="n"/>
      <c r="D36" s="48" t="n"/>
      <c r="E36" s="48" t="n"/>
      <c r="F36" s="48" t="n"/>
      <c r="G36" s="48" t="n"/>
      <c r="H36" s="48" t="n"/>
      <c r="I36" s="48" t="n"/>
      <c r="J36" s="48" t="n"/>
      <c r="K36" s="48" t="n"/>
      <c r="L36" s="48" t="n"/>
      <c r="M36" s="48" t="n"/>
      <c r="N36" s="48" t="n"/>
      <c r="O36" s="48" t="n"/>
      <c r="P36" s="48" t="n"/>
      <c r="Q36" s="48" t="n"/>
      <c r="R36" s="48" t="n"/>
      <c r="S36" s="48" t="n"/>
      <c r="T36" s="48" t="n"/>
      <c r="U36" s="48" t="n"/>
      <c r="V36" s="48" t="n"/>
      <c r="W36" s="48" t="n"/>
      <c r="X36" s="48" t="n"/>
      <c r="Y36" s="48" t="n"/>
      <c r="Z36" s="48" t="n"/>
    </row>
    <row r="37" ht="24" customHeight="1">
      <c r="A37" s="52" t="inlineStr">
        <is>
          <t>v_ebitda_jahr</t>
        </is>
      </c>
      <c r="K37" s="48" t="n"/>
      <c r="L37" s="48" t="n"/>
      <c r="M37" s="48" t="n"/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</row>
    <row r="38" ht="36" customHeight="1">
      <c r="A38" s="3" t="inlineStr">
        <is>
          <t>jahr</t>
        </is>
      </c>
      <c r="B38" s="3" t="inlineStr">
        <is>
          <t>ist_bis</t>
        </is>
      </c>
      <c r="C38" s="3" t="inlineStr">
        <is>
          <t>ist</t>
        </is>
      </c>
      <c r="D38" s="3" t="inlineStr">
        <is>
          <t>fc</t>
        </is>
      </c>
      <c r="E38" s="3" t="inlineStr">
        <is>
          <t>ebitda_reihe</t>
        </is>
      </c>
      <c r="F38" s="3" t="inlineStr">
        <is>
          <t>bewertung_offen</t>
        </is>
      </c>
      <c r="G38" s="3" t="inlineStr">
        <is>
          <t>bewertung_nachrichtlich</t>
        </is>
      </c>
      <c r="H38" s="3" t="inlineStr">
        <is>
          <t>bewertet_gesamt</t>
        </is>
      </c>
      <c r="I38" s="3" t="inlineStr">
        <is>
          <t>ebitda</t>
        </is>
      </c>
      <c r="J38" s="3" t="inlineStr">
        <is>
          <t>ebitda_mit_nachrichtlich</t>
        </is>
      </c>
      <c r="K38" s="48" t="n"/>
      <c r="L38" s="48" t="n"/>
      <c r="M38" s="48" t="n"/>
      <c r="N38" s="48" t="n"/>
      <c r="O38" s="48" t="n"/>
      <c r="P38" s="48" t="n"/>
      <c r="Q38" s="48" t="n"/>
      <c r="R38" s="48" t="n"/>
      <c r="S38" s="48" t="n"/>
      <c r="T38" s="48" t="n"/>
      <c r="U38" s="48" t="n"/>
      <c r="V38" s="48" t="n"/>
      <c r="W38" s="48" t="n"/>
      <c r="X38" s="48" t="n"/>
      <c r="Y38" s="48" t="n"/>
      <c r="Z38" s="48" t="n"/>
    </row>
    <row r="39" ht="21" customHeight="1">
      <c r="A39" s="4" t="n">
        <v>2026</v>
      </c>
      <c r="B39" s="5" t="n">
        <v>8</v>
      </c>
      <c r="C39" s="5" t="n">
        <v>-258387.71</v>
      </c>
      <c r="D39" s="5" t="n">
        <v>698265</v>
      </c>
      <c r="E39" s="5" t="n">
        <v>439877.29</v>
      </c>
      <c r="F39" s="5" t="n">
        <v>0</v>
      </c>
      <c r="G39" s="5" t="n">
        <v>0</v>
      </c>
      <c r="H39" s="5" t="n">
        <v>-743000</v>
      </c>
      <c r="I39" s="5" t="n">
        <v>439877.29</v>
      </c>
      <c r="J39" s="5" t="n">
        <v>439877.29</v>
      </c>
      <c r="K39" s="48" t="n"/>
      <c r="L39" s="48" t="n"/>
      <c r="M39" s="48" t="n"/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</row>
    <row r="40">
      <c r="A40" s="48" t="n"/>
      <c r="B40" s="48" t="n"/>
      <c r="C40" s="48" t="n"/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 t="n"/>
      <c r="P40" s="48" t="n"/>
      <c r="Q40" s="48" t="n"/>
      <c r="R40" s="48" t="n"/>
      <c r="S40" s="48" t="n"/>
      <c r="T40" s="48" t="n"/>
      <c r="U40" s="48" t="n"/>
      <c r="V40" s="48" t="n"/>
      <c r="W40" s="48" t="n"/>
      <c r="X40" s="48" t="n"/>
      <c r="Y40" s="48" t="n"/>
      <c r="Z40" s="48" t="n"/>
    </row>
    <row r="41">
      <c r="A41" s="48" t="n"/>
      <c r="B41" s="48" t="n"/>
      <c r="C41" s="48" t="n"/>
      <c r="D41" s="48" t="n"/>
      <c r="E41" s="48" t="n"/>
      <c r="F41" s="48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</row>
    <row r="42">
      <c r="A42" s="48" t="n"/>
      <c r="B42" s="48" t="n"/>
      <c r="C42" s="48" t="n"/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8" t="n"/>
      <c r="P42" s="48" t="n"/>
      <c r="Q42" s="48" t="n"/>
      <c r="R42" s="48" t="n"/>
      <c r="S42" s="48" t="n"/>
      <c r="T42" s="48" t="n"/>
      <c r="U42" s="48" t="n"/>
      <c r="V42" s="48" t="n"/>
      <c r="W42" s="48" t="n"/>
      <c r="X42" s="48" t="n"/>
      <c r="Y42" s="48" t="n"/>
      <c r="Z42" s="48" t="n"/>
    </row>
    <row r="43" ht="24" customHeight="1">
      <c r="A43" s="52" t="inlineStr">
        <is>
          <t>v_guv_staffel</t>
        </is>
      </c>
      <c r="G43" s="48" t="n"/>
      <c r="H43" s="48" t="n"/>
      <c r="I43" s="48" t="n"/>
      <c r="J43" s="48" t="n"/>
      <c r="K43" s="48" t="n"/>
      <c r="L43" s="48" t="n"/>
      <c r="M43" s="48" t="n"/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</row>
    <row r="44" ht="36" customHeight="1">
      <c r="A44" s="3" t="inlineStr">
        <is>
          <t>jahr</t>
        </is>
      </c>
      <c r="B44" s="3" t="inlineStr">
        <is>
          <t>monat</t>
        </is>
      </c>
      <c r="C44" s="3" t="inlineStr">
        <is>
          <t>guv_sort</t>
        </is>
      </c>
      <c r="D44" s="3" t="inlineStr">
        <is>
          <t>guv_gruppe</t>
        </is>
      </c>
      <c r="E44" s="3" t="inlineStr">
        <is>
          <t>betrag</t>
        </is>
      </c>
      <c r="F44" s="3" t="inlineStr">
        <is>
          <t>belege</t>
        </is>
      </c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  <c r="P44" s="48" t="n"/>
      <c r="Q44" s="48" t="n"/>
      <c r="R44" s="48" t="n"/>
      <c r="S44" s="48" t="n"/>
      <c r="T44" s="48" t="n"/>
      <c r="U44" s="48" t="n"/>
      <c r="V44" s="48" t="n"/>
      <c r="W44" s="48" t="n"/>
      <c r="X44" s="48" t="n"/>
      <c r="Y44" s="48" t="n"/>
      <c r="Z44" s="48" t="n"/>
    </row>
    <row r="45" ht="21" customHeight="1">
      <c r="A45" s="4" t="n">
        <v>2026</v>
      </c>
      <c r="B45" s="4" t="n">
        <v>1</v>
      </c>
      <c r="C45" s="4" t="n">
        <v>10</v>
      </c>
      <c r="D45" s="48" t="inlineStr">
        <is>
          <t>1 Umsatzerlöse</t>
        </is>
      </c>
      <c r="E45" s="5" t="n">
        <v>639565.45</v>
      </c>
      <c r="F45" s="4" t="n">
        <v>102</v>
      </c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</row>
    <row r="46" ht="21" customHeight="1">
      <c r="A46" s="4" t="n">
        <v>2026</v>
      </c>
      <c r="B46" s="4" t="n">
        <v>1</v>
      </c>
      <c r="C46" s="4" t="n">
        <v>20</v>
      </c>
      <c r="D46" s="48" t="inlineStr">
        <is>
          <t>2 Bestandsveränderungen</t>
        </is>
      </c>
      <c r="E46" s="5" t="n">
        <v>1280847.26</v>
      </c>
      <c r="F46" s="4" t="n">
        <v>22</v>
      </c>
      <c r="G46" s="48" t="n"/>
      <c r="H46" s="48" t="n"/>
      <c r="I46" s="48" t="n"/>
      <c r="J46" s="48" t="n"/>
      <c r="K46" s="48" t="n"/>
      <c r="L46" s="48" t="n"/>
      <c r="M46" s="48" t="n"/>
      <c r="N46" s="48" t="n"/>
      <c r="O46" s="48" t="n"/>
      <c r="P46" s="48" t="n"/>
      <c r="Q46" s="48" t="n"/>
      <c r="R46" s="48" t="n"/>
      <c r="S46" s="48" t="n"/>
      <c r="T46" s="48" t="n"/>
      <c r="U46" s="48" t="n"/>
      <c r="V46" s="48" t="n"/>
      <c r="W46" s="48" t="n"/>
      <c r="X46" s="48" t="n"/>
      <c r="Y46" s="48" t="n"/>
      <c r="Z46" s="48" t="n"/>
    </row>
    <row r="47" ht="21" customHeight="1">
      <c r="A47" s="4" t="n">
        <v>2026</v>
      </c>
      <c r="B47" s="4" t="n">
        <v>1</v>
      </c>
      <c r="C47" s="4" t="n">
        <v>30</v>
      </c>
      <c r="D47" s="48" t="inlineStr">
        <is>
          <t>3 Sonstige betriebliche Erträge</t>
        </is>
      </c>
      <c r="E47" s="5" t="n">
        <v>12030.21</v>
      </c>
      <c r="F47" s="4" t="n">
        <v>13</v>
      </c>
      <c r="G47" s="48" t="n"/>
      <c r="H47" s="48" t="n"/>
      <c r="I47" s="48" t="n"/>
      <c r="J47" s="48" t="n"/>
      <c r="K47" s="48" t="n"/>
      <c r="L47" s="48" t="n"/>
      <c r="M47" s="48" t="n"/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</row>
    <row r="48" ht="21" customHeight="1">
      <c r="A48" s="4" t="n">
        <v>2026</v>
      </c>
      <c r="B48" s="4" t="n">
        <v>1</v>
      </c>
      <c r="C48" s="4" t="n">
        <v>40</v>
      </c>
      <c r="D48" s="48" t="inlineStr">
        <is>
          <t>4 Materialaufwand</t>
        </is>
      </c>
      <c r="E48" s="5" t="n">
        <v>-1080421</v>
      </c>
      <c r="F48" s="4" t="n">
        <v>320</v>
      </c>
      <c r="G48" s="48" t="n"/>
      <c r="H48" s="48" t="n"/>
      <c r="I48" s="48" t="n"/>
      <c r="J48" s="48" t="n"/>
      <c r="K48" s="48" t="n"/>
      <c r="L48" s="48" t="n"/>
      <c r="M48" s="48" t="n"/>
      <c r="N48" s="48" t="n"/>
      <c r="O48" s="48" t="n"/>
      <c r="P48" s="48" t="n"/>
      <c r="Q48" s="48" t="n"/>
      <c r="R48" s="48" t="n"/>
      <c r="S48" s="48" t="n"/>
      <c r="T48" s="48" t="n"/>
      <c r="U48" s="48" t="n"/>
      <c r="V48" s="48" t="n"/>
      <c r="W48" s="48" t="n"/>
      <c r="X48" s="48" t="n"/>
      <c r="Y48" s="48" t="n"/>
      <c r="Z48" s="48" t="n"/>
    </row>
    <row r="49" ht="21" customHeight="1">
      <c r="A49" s="4" t="n">
        <v>2026</v>
      </c>
      <c r="B49" s="4" t="n">
        <v>1</v>
      </c>
      <c r="C49" s="4" t="n">
        <v>50</v>
      </c>
      <c r="D49" s="48" t="inlineStr">
        <is>
          <t>5 Personalaufwand</t>
        </is>
      </c>
      <c r="E49" s="5" t="n">
        <v>-338608.8</v>
      </c>
      <c r="F49" s="4" t="n">
        <v>111</v>
      </c>
      <c r="G49" s="48" t="n"/>
      <c r="H49" s="48" t="n"/>
      <c r="I49" s="48" t="n"/>
      <c r="J49" s="48" t="n"/>
      <c r="K49" s="48" t="n"/>
      <c r="L49" s="48" t="n"/>
      <c r="M49" s="48" t="n"/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</row>
    <row r="50" ht="21" customHeight="1">
      <c r="A50" s="4" t="n">
        <v>2026</v>
      </c>
      <c r="B50" s="4" t="n">
        <v>1</v>
      </c>
      <c r="C50" s="4" t="n">
        <v>60</v>
      </c>
      <c r="D50" s="48" t="inlineStr">
        <is>
          <t>6 Abschreibungen</t>
        </is>
      </c>
      <c r="E50" s="5" t="n">
        <v>-9645.450000000001</v>
      </c>
      <c r="F50" s="4" t="n">
        <v>39</v>
      </c>
      <c r="G50" s="48" t="n"/>
      <c r="H50" s="48" t="n"/>
      <c r="I50" s="48" t="n"/>
      <c r="J50" s="48" t="n"/>
      <c r="K50" s="48" t="n"/>
      <c r="L50" s="48" t="n"/>
      <c r="M50" s="48" t="n"/>
      <c r="N50" s="48" t="n"/>
      <c r="O50" s="48" t="n"/>
      <c r="P50" s="48" t="n"/>
      <c r="Q50" s="48" t="n"/>
      <c r="R50" s="48" t="n"/>
      <c r="S50" s="48" t="n"/>
      <c r="T50" s="48" t="n"/>
      <c r="U50" s="48" t="n"/>
      <c r="V50" s="48" t="n"/>
      <c r="W50" s="48" t="n"/>
      <c r="X50" s="48" t="n"/>
      <c r="Y50" s="48" t="n"/>
      <c r="Z50" s="48" t="n"/>
    </row>
    <row r="51" ht="21" customHeight="1">
      <c r="A51" s="4" t="n">
        <v>2026</v>
      </c>
      <c r="B51" s="4" t="n">
        <v>1</v>
      </c>
      <c r="C51" s="4" t="n">
        <v>70</v>
      </c>
      <c r="D51" s="48" t="inlineStr">
        <is>
          <t>7 Sonstige betriebliche Aufwendungen</t>
        </is>
      </c>
      <c r="E51" s="5" t="n">
        <v>-223180.95</v>
      </c>
      <c r="F51" s="4" t="n">
        <v>339</v>
      </c>
      <c r="G51" s="48" t="n"/>
      <c r="H51" s="48" t="n"/>
      <c r="I51" s="48" t="n"/>
      <c r="J51" s="48" t="n"/>
      <c r="K51" s="48" t="n"/>
      <c r="L51" s="48" t="n"/>
      <c r="M51" s="48" t="n"/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</row>
    <row r="52" ht="21" customHeight="1">
      <c r="A52" s="4" t="n">
        <v>2026</v>
      </c>
      <c r="B52" s="4" t="n">
        <v>1</v>
      </c>
      <c r="C52" s="4" t="n">
        <v>80</v>
      </c>
      <c r="D52" s="48" t="inlineStr">
        <is>
          <t>8 Finanzergebnis</t>
        </is>
      </c>
      <c r="E52" s="5" t="n">
        <v>-5854.47</v>
      </c>
      <c r="F52" s="4" t="n">
        <v>7</v>
      </c>
      <c r="G52" s="48" t="n"/>
      <c r="H52" s="48" t="n"/>
      <c r="I52" s="48" t="n"/>
      <c r="J52" s="48" t="n"/>
      <c r="K52" s="48" t="n"/>
      <c r="L52" s="48" t="n"/>
      <c r="M52" s="48" t="n"/>
      <c r="N52" s="48" t="n"/>
      <c r="O52" s="48" t="n"/>
      <c r="P52" s="48" t="n"/>
      <c r="Q52" s="48" t="n"/>
      <c r="R52" s="48" t="n"/>
      <c r="S52" s="48" t="n"/>
      <c r="T52" s="48" t="n"/>
      <c r="U52" s="48" t="n"/>
      <c r="V52" s="48" t="n"/>
      <c r="W52" s="48" t="n"/>
      <c r="X52" s="48" t="n"/>
      <c r="Y52" s="48" t="n"/>
      <c r="Z52" s="48" t="n"/>
    </row>
    <row r="53" ht="21" customHeight="1">
      <c r="A53" s="4" t="n">
        <v>2026</v>
      </c>
      <c r="B53" s="4" t="n">
        <v>2</v>
      </c>
      <c r="C53" s="4" t="n">
        <v>10</v>
      </c>
      <c r="D53" s="48" t="inlineStr">
        <is>
          <t>1 Umsatzerlöse</t>
        </is>
      </c>
      <c r="E53" s="5" t="n">
        <v>2777244.65</v>
      </c>
      <c r="F53" s="4" t="n">
        <v>96</v>
      </c>
      <c r="G53" s="48" t="n"/>
      <c r="H53" s="48" t="n"/>
      <c r="I53" s="48" t="n"/>
      <c r="J53" s="48" t="n"/>
      <c r="K53" s="48" t="n"/>
      <c r="L53" s="48" t="n"/>
      <c r="M53" s="48" t="n"/>
      <c r="N53" s="48" t="n"/>
      <c r="O53" s="48" t="n"/>
      <c r="P53" s="48" t="n"/>
      <c r="Q53" s="48" t="n"/>
      <c r="R53" s="48" t="n"/>
      <c r="S53" s="48" t="n"/>
      <c r="T53" s="48" t="n"/>
      <c r="U53" s="48" t="n"/>
      <c r="V53" s="48" t="n"/>
      <c r="W53" s="48" t="n"/>
      <c r="X53" s="48" t="n"/>
      <c r="Y53" s="48" t="n"/>
      <c r="Z53" s="48" t="n"/>
    </row>
    <row r="54" ht="21" customHeight="1">
      <c r="A54" s="4" t="n">
        <v>2026</v>
      </c>
      <c r="B54" s="4" t="n">
        <v>2</v>
      </c>
      <c r="C54" s="4" t="n">
        <v>20</v>
      </c>
      <c r="D54" s="48" t="inlineStr">
        <is>
          <t>2 Bestandsveränderungen</t>
        </is>
      </c>
      <c r="E54" s="5" t="n">
        <v>-200176.92</v>
      </c>
      <c r="F54" s="4" t="n">
        <v>19</v>
      </c>
      <c r="G54" s="48" t="n"/>
      <c r="H54" s="48" t="n"/>
      <c r="I54" s="48" t="n"/>
      <c r="J54" s="48" t="n"/>
      <c r="K54" s="48" t="n"/>
      <c r="L54" s="48" t="n"/>
      <c r="M54" s="48" t="n"/>
      <c r="N54" s="48" t="n"/>
      <c r="O54" s="48" t="n"/>
      <c r="P54" s="48" t="n"/>
      <c r="Q54" s="48" t="n"/>
      <c r="R54" s="48" t="n"/>
      <c r="S54" s="48" t="n"/>
      <c r="T54" s="48" t="n"/>
      <c r="U54" s="48" t="n"/>
      <c r="V54" s="48" t="n"/>
      <c r="W54" s="48" t="n"/>
      <c r="X54" s="48" t="n"/>
      <c r="Y54" s="48" t="n"/>
      <c r="Z54" s="48" t="n"/>
    </row>
    <row r="55" ht="21" customHeight="1">
      <c r="A55" s="4" t="n">
        <v>2026</v>
      </c>
      <c r="B55" s="4" t="n">
        <v>2</v>
      </c>
      <c r="C55" s="4" t="n">
        <v>30</v>
      </c>
      <c r="D55" s="48" t="inlineStr">
        <is>
          <t>3 Sonstige betriebliche Erträge</t>
        </is>
      </c>
      <c r="E55" s="5" t="n">
        <v>22190.76</v>
      </c>
      <c r="F55" s="4" t="n">
        <v>15</v>
      </c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 t="n"/>
      <c r="P55" s="48" t="n"/>
      <c r="Q55" s="48" t="n"/>
      <c r="R55" s="48" t="n"/>
      <c r="S55" s="48" t="n"/>
      <c r="T55" s="48" t="n"/>
      <c r="U55" s="48" t="n"/>
      <c r="V55" s="48" t="n"/>
      <c r="W55" s="48" t="n"/>
      <c r="X55" s="48" t="n"/>
      <c r="Y55" s="48" t="n"/>
      <c r="Z55" s="48" t="n"/>
    </row>
    <row r="56" ht="21" customHeight="1">
      <c r="A56" s="4" t="n">
        <v>2026</v>
      </c>
      <c r="B56" s="4" t="n">
        <v>2</v>
      </c>
      <c r="C56" s="4" t="n">
        <v>40</v>
      </c>
      <c r="D56" s="48" t="inlineStr">
        <is>
          <t>4 Materialaufwand</t>
        </is>
      </c>
      <c r="E56" s="5" t="n">
        <v>-1706242.27</v>
      </c>
      <c r="F56" s="4" t="n">
        <v>430</v>
      </c>
      <c r="G56" s="48" t="n"/>
      <c r="H56" s="48" t="n"/>
      <c r="I56" s="48" t="n"/>
      <c r="J56" s="48" t="n"/>
      <c r="K56" s="48" t="n"/>
      <c r="L56" s="48" t="n"/>
      <c r="M56" s="48" t="n"/>
      <c r="N56" s="48" t="n"/>
      <c r="O56" s="48" t="n"/>
      <c r="P56" s="48" t="n"/>
      <c r="Q56" s="48" t="n"/>
      <c r="R56" s="48" t="n"/>
      <c r="S56" s="48" t="n"/>
      <c r="T56" s="48" t="n"/>
      <c r="U56" s="48" t="n"/>
      <c r="V56" s="48" t="n"/>
      <c r="W56" s="48" t="n"/>
      <c r="X56" s="48" t="n"/>
      <c r="Y56" s="48" t="n"/>
      <c r="Z56" s="48" t="n"/>
    </row>
    <row r="57" ht="21" customHeight="1">
      <c r="A57" s="4" t="n">
        <v>2026</v>
      </c>
      <c r="B57" s="4" t="n">
        <v>2</v>
      </c>
      <c r="C57" s="4" t="n">
        <v>50</v>
      </c>
      <c r="D57" s="48" t="inlineStr">
        <is>
          <t>5 Personalaufwand</t>
        </is>
      </c>
      <c r="E57" s="5" t="n">
        <v>-363244</v>
      </c>
      <c r="F57" s="4" t="n">
        <v>97</v>
      </c>
      <c r="G57" s="48" t="n"/>
      <c r="H57" s="48" t="n"/>
      <c r="I57" s="48" t="n"/>
      <c r="J57" s="48" t="n"/>
      <c r="K57" s="48" t="n"/>
      <c r="L57" s="48" t="n"/>
      <c r="M57" s="48" t="n"/>
      <c r="N57" s="48" t="n"/>
      <c r="O57" s="48" t="n"/>
      <c r="P57" s="48" t="n"/>
      <c r="Q57" s="48" t="n"/>
      <c r="R57" s="48" t="n"/>
      <c r="S57" s="48" t="n"/>
      <c r="T57" s="48" t="n"/>
      <c r="U57" s="48" t="n"/>
      <c r="V57" s="48" t="n"/>
      <c r="W57" s="48" t="n"/>
      <c r="X57" s="48" t="n"/>
      <c r="Y57" s="48" t="n"/>
      <c r="Z57" s="48" t="n"/>
    </row>
    <row r="58" ht="21" customHeight="1">
      <c r="A58" s="4" t="n">
        <v>2026</v>
      </c>
      <c r="B58" s="4" t="n">
        <v>2</v>
      </c>
      <c r="C58" s="4" t="n">
        <v>60</v>
      </c>
      <c r="D58" s="48" t="inlineStr">
        <is>
          <t>6 Abschreibungen</t>
        </is>
      </c>
      <c r="E58" s="5" t="n">
        <v>-9711.51</v>
      </c>
      <c r="F58" s="4" t="n">
        <v>41</v>
      </c>
      <c r="G58" s="48" t="n"/>
      <c r="H58" s="48" t="n"/>
      <c r="I58" s="48" t="n"/>
      <c r="J58" s="48" t="n"/>
      <c r="K58" s="48" t="n"/>
      <c r="L58" s="48" t="n"/>
      <c r="M58" s="48" t="n"/>
      <c r="N58" s="48" t="n"/>
      <c r="O58" s="48" t="n"/>
      <c r="P58" s="48" t="n"/>
      <c r="Q58" s="48" t="n"/>
      <c r="R58" s="48" t="n"/>
      <c r="S58" s="48" t="n"/>
      <c r="T58" s="48" t="n"/>
      <c r="U58" s="48" t="n"/>
      <c r="V58" s="48" t="n"/>
      <c r="W58" s="48" t="n"/>
      <c r="X58" s="48" t="n"/>
      <c r="Y58" s="48" t="n"/>
      <c r="Z58" s="48" t="n"/>
    </row>
    <row r="59" ht="21" customHeight="1">
      <c r="A59" s="4" t="n">
        <v>2026</v>
      </c>
      <c r="B59" s="4" t="n">
        <v>2</v>
      </c>
      <c r="C59" s="4" t="n">
        <v>70</v>
      </c>
      <c r="D59" s="48" t="inlineStr">
        <is>
          <t>7 Sonstige betriebliche Aufwendungen</t>
        </is>
      </c>
      <c r="E59" s="5" t="n">
        <v>-214918.93</v>
      </c>
      <c r="F59" s="4" t="n">
        <v>562</v>
      </c>
      <c r="G59" s="48" t="n"/>
      <c r="H59" s="48" t="n"/>
      <c r="I59" s="48" t="n"/>
      <c r="J59" s="48" t="n"/>
      <c r="K59" s="48" t="n"/>
      <c r="L59" s="48" t="n"/>
      <c r="M59" s="48" t="n"/>
      <c r="N59" s="48" t="n"/>
      <c r="O59" s="48" t="n"/>
      <c r="P59" s="48" t="n"/>
      <c r="Q59" s="48" t="n"/>
      <c r="R59" s="48" t="n"/>
      <c r="S59" s="48" t="n"/>
      <c r="T59" s="48" t="n"/>
      <c r="U59" s="48" t="n"/>
      <c r="V59" s="48" t="n"/>
      <c r="W59" s="48" t="n"/>
      <c r="X59" s="48" t="n"/>
      <c r="Y59" s="48" t="n"/>
      <c r="Z59" s="48" t="n"/>
    </row>
    <row r="60" ht="21" customHeight="1">
      <c r="A60" s="4" t="n">
        <v>2026</v>
      </c>
      <c r="B60" s="4" t="n">
        <v>2</v>
      </c>
      <c r="C60" s="4" t="n">
        <v>80</v>
      </c>
      <c r="D60" s="48" t="inlineStr">
        <is>
          <t>8 Finanzergebnis</t>
        </is>
      </c>
      <c r="E60" s="5" t="n">
        <v>-6903.55</v>
      </c>
      <c r="F60" s="4" t="n">
        <v>15</v>
      </c>
      <c r="G60" s="48" t="n"/>
      <c r="H60" s="48" t="n"/>
      <c r="I60" s="48" t="n"/>
      <c r="J60" s="48" t="n"/>
      <c r="K60" s="48" t="n"/>
      <c r="L60" s="48" t="n"/>
      <c r="M60" s="48" t="n"/>
      <c r="N60" s="48" t="n"/>
      <c r="O60" s="48" t="n"/>
      <c r="P60" s="48" t="n"/>
      <c r="Q60" s="48" t="n"/>
      <c r="R60" s="48" t="n"/>
      <c r="S60" s="48" t="n"/>
      <c r="T60" s="48" t="n"/>
      <c r="U60" s="48" t="n"/>
      <c r="V60" s="48" t="n"/>
      <c r="W60" s="48" t="n"/>
      <c r="X60" s="48" t="n"/>
      <c r="Y60" s="48" t="n"/>
      <c r="Z60" s="48" t="n"/>
    </row>
    <row r="61" ht="21" customHeight="1">
      <c r="A61" s="7" t="n">
        <v>2026</v>
      </c>
      <c r="B61" s="7" t="n">
        <v>3</v>
      </c>
      <c r="C61" s="7" t="n">
        <v>10</v>
      </c>
      <c r="D61" s="10" t="inlineStr">
        <is>
          <t>1 Umsatzerlöse</t>
        </is>
      </c>
      <c r="E61" s="8" t="n">
        <v>1213541.38</v>
      </c>
      <c r="F61" s="7" t="n">
        <v>132</v>
      </c>
    </row>
    <row r="62" ht="21" customHeight="1">
      <c r="A62" s="7" t="n">
        <v>2026</v>
      </c>
      <c r="B62" s="7" t="n">
        <v>3</v>
      </c>
      <c r="C62" s="7" t="n">
        <v>20</v>
      </c>
      <c r="D62" s="10" t="inlineStr">
        <is>
          <t>2 Bestandsveränderungen</t>
        </is>
      </c>
      <c r="E62" s="8" t="n">
        <v>1198671.49</v>
      </c>
      <c r="F62" s="7" t="n">
        <v>17</v>
      </c>
    </row>
    <row r="63" ht="21" customHeight="1">
      <c r="A63" s="7" t="n">
        <v>2026</v>
      </c>
      <c r="B63" s="7" t="n">
        <v>3</v>
      </c>
      <c r="C63" s="7" t="n">
        <v>30</v>
      </c>
      <c r="D63" s="10" t="inlineStr">
        <is>
          <t>3 Sonstige betriebliche Erträge</t>
        </is>
      </c>
      <c r="E63" s="8" t="n">
        <v>15409.39</v>
      </c>
      <c r="F63" s="7" t="n">
        <v>18</v>
      </c>
    </row>
    <row r="64" ht="21" customHeight="1">
      <c r="A64" s="7" t="n">
        <v>2026</v>
      </c>
      <c r="B64" s="7" t="n">
        <v>3</v>
      </c>
      <c r="C64" s="7" t="n">
        <v>40</v>
      </c>
      <c r="D64" s="10" t="inlineStr">
        <is>
          <t>4 Materialaufwand</t>
        </is>
      </c>
      <c r="E64" s="8" t="n">
        <v>-1746548.03</v>
      </c>
      <c r="F64" s="7" t="n">
        <v>516</v>
      </c>
    </row>
    <row r="65" ht="21" customHeight="1">
      <c r="A65" s="7" t="n">
        <v>2026</v>
      </c>
      <c r="B65" s="7" t="n">
        <v>3</v>
      </c>
      <c r="C65" s="7" t="n">
        <v>50</v>
      </c>
      <c r="D65" s="10" t="inlineStr">
        <is>
          <t>5 Personalaufwand</t>
        </is>
      </c>
      <c r="E65" s="8" t="n">
        <v>-383792.43</v>
      </c>
      <c r="F65" s="7" t="n">
        <v>102</v>
      </c>
    </row>
    <row r="66" ht="21" customHeight="1">
      <c r="A66" s="7" t="n">
        <v>2026</v>
      </c>
      <c r="B66" s="7" t="n">
        <v>3</v>
      </c>
      <c r="C66" s="7" t="n">
        <v>60</v>
      </c>
      <c r="D66" s="10" t="inlineStr">
        <is>
          <t>6 Abschreibungen</t>
        </is>
      </c>
      <c r="E66" s="8" t="n">
        <v>-9824.139999999999</v>
      </c>
      <c r="F66" s="7" t="n">
        <v>39</v>
      </c>
    </row>
    <row r="67" ht="21" customHeight="1">
      <c r="A67" s="7" t="n">
        <v>2026</v>
      </c>
      <c r="B67" s="7" t="n">
        <v>3</v>
      </c>
      <c r="C67" s="7" t="n">
        <v>70</v>
      </c>
      <c r="D67" s="10" t="inlineStr">
        <is>
          <t>7 Sonstige betriebliche Aufwendungen</t>
        </is>
      </c>
      <c r="E67" s="8" t="n">
        <v>-286856.5</v>
      </c>
      <c r="F67" s="7" t="n">
        <v>723</v>
      </c>
    </row>
    <row r="68" ht="21" customHeight="1">
      <c r="A68" s="7" t="n">
        <v>2026</v>
      </c>
      <c r="B68" s="7" t="n">
        <v>3</v>
      </c>
      <c r="C68" s="7" t="n">
        <v>80</v>
      </c>
      <c r="D68" s="10" t="inlineStr">
        <is>
          <t>8 Finanzergebnis</t>
        </is>
      </c>
      <c r="E68" s="8" t="n">
        <v>-9432.18</v>
      </c>
      <c r="F68" s="7" t="n">
        <v>12</v>
      </c>
    </row>
    <row r="69" ht="21" customHeight="1">
      <c r="A69" s="7" t="n">
        <v>2026</v>
      </c>
      <c r="B69" s="7" t="n">
        <v>4</v>
      </c>
      <c r="C69" s="7" t="n">
        <v>10</v>
      </c>
      <c r="D69" s="10" t="inlineStr">
        <is>
          <t>1 Umsatzerlöse</t>
        </is>
      </c>
      <c r="E69" s="8" t="n">
        <v>678343.59</v>
      </c>
      <c r="F69" s="7" t="n">
        <v>136</v>
      </c>
    </row>
    <row r="70" ht="21" customHeight="1">
      <c r="A70" s="7" t="n">
        <v>2026</v>
      </c>
      <c r="B70" s="7" t="n">
        <v>4</v>
      </c>
      <c r="C70" s="7" t="n">
        <v>20</v>
      </c>
      <c r="D70" s="10" t="inlineStr">
        <is>
          <t>2 Bestandsveränderungen</t>
        </is>
      </c>
      <c r="E70" s="8" t="n">
        <v>1261219.89</v>
      </c>
      <c r="F70" s="7" t="n">
        <v>14</v>
      </c>
    </row>
    <row r="71" ht="21" customHeight="1">
      <c r="A71" s="7" t="n">
        <v>2026</v>
      </c>
      <c r="B71" s="7" t="n">
        <v>4</v>
      </c>
      <c r="C71" s="7" t="n">
        <v>30</v>
      </c>
      <c r="D71" s="10" t="inlineStr">
        <is>
          <t>3 Sonstige betriebliche Erträge</t>
        </is>
      </c>
      <c r="E71" s="8" t="n">
        <v>56063.55</v>
      </c>
      <c r="F71" s="7" t="n">
        <v>23</v>
      </c>
    </row>
    <row r="72" ht="21" customHeight="1">
      <c r="A72" s="7" t="n">
        <v>2026</v>
      </c>
      <c r="B72" s="7" t="n">
        <v>4</v>
      </c>
      <c r="C72" s="7" t="n">
        <v>40</v>
      </c>
      <c r="D72" s="10" t="inlineStr">
        <is>
          <t>4 Materialaufwand</t>
        </is>
      </c>
      <c r="E72" s="8" t="n">
        <v>-1520583.11</v>
      </c>
      <c r="F72" s="7" t="n">
        <v>518</v>
      </c>
    </row>
    <row r="73" ht="21" customHeight="1">
      <c r="A73" s="7" t="n">
        <v>2026</v>
      </c>
      <c r="B73" s="7" t="n">
        <v>4</v>
      </c>
      <c r="C73" s="7" t="n">
        <v>50</v>
      </c>
      <c r="D73" s="10" t="inlineStr">
        <is>
          <t>5 Personalaufwand</t>
        </is>
      </c>
      <c r="E73" s="8" t="n">
        <v>-383705.5</v>
      </c>
      <c r="F73" s="7" t="n">
        <v>103</v>
      </c>
    </row>
    <row r="74" ht="21" customHeight="1">
      <c r="A74" s="7" t="n">
        <v>2026</v>
      </c>
      <c r="B74" s="7" t="n">
        <v>4</v>
      </c>
      <c r="C74" s="7" t="n">
        <v>60</v>
      </c>
      <c r="D74" s="10" t="inlineStr">
        <is>
          <t>6 Abschreibungen</t>
        </is>
      </c>
      <c r="E74" s="8" t="n">
        <v>-9599.860000000001</v>
      </c>
      <c r="F74" s="7" t="n">
        <v>38</v>
      </c>
    </row>
    <row r="75" ht="21" customHeight="1">
      <c r="A75" s="7" t="n">
        <v>2026</v>
      </c>
      <c r="B75" s="7" t="n">
        <v>4</v>
      </c>
      <c r="C75" s="7" t="n">
        <v>70</v>
      </c>
      <c r="D75" s="10" t="inlineStr">
        <is>
          <t>7 Sonstige betriebliche Aufwendungen</t>
        </is>
      </c>
      <c r="E75" s="8" t="n">
        <v>-275785.95</v>
      </c>
      <c r="F75" s="7" t="n">
        <v>636</v>
      </c>
    </row>
    <row r="76" ht="21" customHeight="1">
      <c r="A76" s="7" t="n">
        <v>2026</v>
      </c>
      <c r="B76" s="7" t="n">
        <v>4</v>
      </c>
      <c r="C76" s="7" t="n">
        <v>80</v>
      </c>
      <c r="D76" s="10" t="inlineStr">
        <is>
          <t>8 Finanzergebnis</t>
        </is>
      </c>
      <c r="E76" s="8" t="n">
        <v>-8779.92</v>
      </c>
      <c r="F76" s="7" t="n">
        <v>11</v>
      </c>
    </row>
    <row r="77" ht="21" customHeight="1">
      <c r="A77" s="7" t="n">
        <v>2026</v>
      </c>
      <c r="B77" s="7" t="n">
        <v>5</v>
      </c>
      <c r="C77" s="7" t="n">
        <v>10</v>
      </c>
      <c r="D77" s="10" t="inlineStr">
        <is>
          <t>1 Umsatzerlöse</t>
        </is>
      </c>
      <c r="E77" s="8" t="n">
        <v>1347585.48</v>
      </c>
      <c r="F77" s="7" t="n">
        <v>130</v>
      </c>
    </row>
    <row r="78" ht="21" customHeight="1">
      <c r="A78" s="7" t="n">
        <v>2026</v>
      </c>
      <c r="B78" s="7" t="n">
        <v>5</v>
      </c>
      <c r="C78" s="7" t="n">
        <v>20</v>
      </c>
      <c r="D78" s="10" t="inlineStr">
        <is>
          <t>2 Bestandsveränderungen</t>
        </is>
      </c>
      <c r="E78" s="8" t="n">
        <v>-263604.09</v>
      </c>
      <c r="F78" s="7" t="n">
        <v>21</v>
      </c>
    </row>
    <row r="79" ht="21" customHeight="1">
      <c r="A79" s="7" t="n">
        <v>2026</v>
      </c>
      <c r="B79" s="7" t="n">
        <v>5</v>
      </c>
      <c r="C79" s="7" t="n">
        <v>30</v>
      </c>
      <c r="D79" s="10" t="inlineStr">
        <is>
          <t>3 Sonstige betriebliche Erträge</t>
        </is>
      </c>
      <c r="E79" s="8" t="n">
        <v>24678.87</v>
      </c>
      <c r="F79" s="7" t="n">
        <v>14</v>
      </c>
    </row>
    <row r="80" ht="21" customHeight="1">
      <c r="A80" s="7" t="n">
        <v>2026</v>
      </c>
      <c r="B80" s="7" t="n">
        <v>5</v>
      </c>
      <c r="C80" s="7" t="n">
        <v>40</v>
      </c>
      <c r="D80" s="10" t="inlineStr">
        <is>
          <t>4 Materialaufwand</t>
        </is>
      </c>
      <c r="E80" s="8" t="n">
        <v>-582901.1800000001</v>
      </c>
      <c r="F80" s="7" t="n">
        <v>346</v>
      </c>
    </row>
    <row r="81" ht="21" customHeight="1">
      <c r="A81" s="7" t="n">
        <v>2026</v>
      </c>
      <c r="B81" s="7" t="n">
        <v>5</v>
      </c>
      <c r="C81" s="7" t="n">
        <v>50</v>
      </c>
      <c r="D81" s="10" t="inlineStr">
        <is>
          <t>5 Personalaufwand</t>
        </is>
      </c>
      <c r="E81" s="8" t="n">
        <v>-432453.34</v>
      </c>
      <c r="F81" s="7" t="n">
        <v>141</v>
      </c>
    </row>
    <row r="82" ht="21" customHeight="1">
      <c r="A82" s="7" t="n">
        <v>2026</v>
      </c>
      <c r="B82" s="7" t="n">
        <v>5</v>
      </c>
      <c r="C82" s="7" t="n">
        <v>60</v>
      </c>
      <c r="D82" s="10" t="inlineStr">
        <is>
          <t>6 Abschreibungen</t>
        </is>
      </c>
      <c r="E82" s="8" t="n">
        <v>-9655.030000000001</v>
      </c>
      <c r="F82" s="7" t="n">
        <v>39</v>
      </c>
    </row>
    <row r="83" ht="21" customHeight="1">
      <c r="A83" s="7" t="n">
        <v>2026</v>
      </c>
      <c r="B83" s="7" t="n">
        <v>5</v>
      </c>
      <c r="C83" s="7" t="n">
        <v>70</v>
      </c>
      <c r="D83" s="10" t="inlineStr">
        <is>
          <t>7 Sonstige betriebliche Aufwendungen</t>
        </is>
      </c>
      <c r="E83" s="8" t="n">
        <v>-237116.93</v>
      </c>
      <c r="F83" s="7" t="n">
        <v>582</v>
      </c>
    </row>
    <row r="84" ht="21" customHeight="1">
      <c r="A84" s="7" t="n">
        <v>2026</v>
      </c>
      <c r="B84" s="7" t="n">
        <v>5</v>
      </c>
      <c r="C84" s="7" t="n">
        <v>80</v>
      </c>
      <c r="D84" s="10" t="inlineStr">
        <is>
          <t>8 Finanzergebnis</t>
        </is>
      </c>
      <c r="E84" s="8" t="n">
        <v>-15584.75</v>
      </c>
      <c r="F84" s="7" t="n">
        <v>11</v>
      </c>
    </row>
    <row r="85" ht="21" customHeight="1">
      <c r="A85" s="7" t="n">
        <v>2026</v>
      </c>
      <c r="B85" s="7" t="n">
        <v>6</v>
      </c>
      <c r="C85" s="7" t="n">
        <v>10</v>
      </c>
      <c r="D85" s="10" t="inlineStr">
        <is>
          <t>1 Umsatzerlöse</t>
        </is>
      </c>
      <c r="E85" s="8" t="n">
        <v>2470042.1</v>
      </c>
      <c r="F85" s="7" t="n">
        <v>162</v>
      </c>
    </row>
    <row r="86" ht="21" customHeight="1">
      <c r="A86" s="7" t="n">
        <v>2026</v>
      </c>
      <c r="B86" s="7" t="n">
        <v>6</v>
      </c>
      <c r="C86" s="7" t="n">
        <v>20</v>
      </c>
      <c r="D86" s="10" t="inlineStr">
        <is>
          <t>2 Bestandsveränderungen</t>
        </is>
      </c>
      <c r="E86" s="8" t="n">
        <v>314645.23</v>
      </c>
      <c r="F86" s="7" t="n">
        <v>18</v>
      </c>
    </row>
    <row r="87" ht="21" customHeight="1">
      <c r="A87" s="7" t="n">
        <v>2026</v>
      </c>
      <c r="B87" s="7" t="n">
        <v>6</v>
      </c>
      <c r="C87" s="7" t="n">
        <v>30</v>
      </c>
      <c r="D87" s="10" t="inlineStr">
        <is>
          <t>3 Sonstige betriebliche Erträge</t>
        </is>
      </c>
      <c r="E87" s="8" t="n">
        <v>17068.34</v>
      </c>
      <c r="F87" s="7" t="n">
        <v>17</v>
      </c>
    </row>
    <row r="88" ht="21" customHeight="1">
      <c r="A88" s="7" t="n">
        <v>2026</v>
      </c>
      <c r="B88" s="7" t="n">
        <v>6</v>
      </c>
      <c r="C88" s="7" t="n">
        <v>40</v>
      </c>
      <c r="D88" s="10" t="inlineStr">
        <is>
          <t>4 Materialaufwand</t>
        </is>
      </c>
      <c r="E88" s="8" t="n">
        <v>-2109049.83</v>
      </c>
      <c r="F88" s="7" t="n">
        <v>381</v>
      </c>
    </row>
    <row r="89" ht="21" customHeight="1">
      <c r="A89" s="7" t="n">
        <v>2026</v>
      </c>
      <c r="B89" s="7" t="n">
        <v>6</v>
      </c>
      <c r="C89" s="7" t="n">
        <v>50</v>
      </c>
      <c r="D89" s="10" t="inlineStr">
        <is>
          <t>5 Personalaufwand</t>
        </is>
      </c>
      <c r="E89" s="8" t="n">
        <v>-378900.06</v>
      </c>
      <c r="F89" s="7" t="n">
        <v>104</v>
      </c>
    </row>
    <row r="90" ht="21" customHeight="1">
      <c r="A90" s="7" t="n">
        <v>2026</v>
      </c>
      <c r="B90" s="7" t="n">
        <v>6</v>
      </c>
      <c r="C90" s="7" t="n">
        <v>60</v>
      </c>
      <c r="D90" s="10" t="inlineStr">
        <is>
          <t>6 Abschreibungen</t>
        </is>
      </c>
      <c r="E90" s="8" t="n">
        <v>-9047.959999999999</v>
      </c>
      <c r="F90" s="7" t="n">
        <v>41</v>
      </c>
    </row>
    <row r="91" ht="21" customHeight="1">
      <c r="A91" s="7" t="n">
        <v>2026</v>
      </c>
      <c r="B91" s="7" t="n">
        <v>6</v>
      </c>
      <c r="C91" s="7" t="n">
        <v>70</v>
      </c>
      <c r="D91" s="10" t="inlineStr">
        <is>
          <t>7 Sonstige betriebliche Aufwendungen</t>
        </is>
      </c>
      <c r="E91" s="8" t="n">
        <v>-255251.92</v>
      </c>
      <c r="F91" s="7" t="n">
        <v>622</v>
      </c>
    </row>
    <row r="92" ht="21" customHeight="1">
      <c r="A92" s="7" t="n">
        <v>2026</v>
      </c>
      <c r="B92" s="7" t="n">
        <v>6</v>
      </c>
      <c r="C92" s="7" t="n">
        <v>80</v>
      </c>
      <c r="D92" s="10" t="inlineStr">
        <is>
          <t>8 Finanzergebnis</t>
        </is>
      </c>
      <c r="E92" s="8" t="n">
        <v>-12828.32</v>
      </c>
      <c r="F92" s="7" t="n">
        <v>17</v>
      </c>
    </row>
    <row r="93" ht="21" customHeight="1">
      <c r="A93" s="7" t="n">
        <v>2026</v>
      </c>
      <c r="B93" s="7" t="n">
        <v>7</v>
      </c>
      <c r="C93" s="7" t="n">
        <v>10</v>
      </c>
      <c r="D93" s="10" t="inlineStr">
        <is>
          <t>1 Umsatzerlöse</t>
        </is>
      </c>
      <c r="E93" s="8" t="n">
        <v>1323928.2</v>
      </c>
      <c r="F93" s="7" t="n">
        <v>142</v>
      </c>
    </row>
    <row r="94" ht="21" customHeight="1">
      <c r="A94" s="7" t="n">
        <v>2026</v>
      </c>
      <c r="B94" s="7" t="n">
        <v>7</v>
      </c>
      <c r="C94" s="7" t="n">
        <v>20</v>
      </c>
      <c r="D94" s="10" t="inlineStr">
        <is>
          <t>2 Bestandsveränderungen</t>
        </is>
      </c>
      <c r="E94" s="8" t="n">
        <v>294716.46</v>
      </c>
      <c r="F94" s="7" t="n">
        <v>17</v>
      </c>
    </row>
    <row r="95" ht="21" customHeight="1">
      <c r="A95" s="7" t="n">
        <v>2026</v>
      </c>
      <c r="B95" s="7" t="n">
        <v>7</v>
      </c>
      <c r="C95" s="7" t="n">
        <v>30</v>
      </c>
      <c r="D95" s="10" t="inlineStr">
        <is>
          <t>3 Sonstige betriebliche Erträge</t>
        </is>
      </c>
      <c r="E95" s="8" t="n">
        <v>15326.23</v>
      </c>
      <c r="F95" s="7" t="n">
        <v>12</v>
      </c>
    </row>
    <row r="96" ht="21" customHeight="1">
      <c r="A96" s="7" t="n">
        <v>2026</v>
      </c>
      <c r="B96" s="7" t="n">
        <v>7</v>
      </c>
      <c r="C96" s="7" t="n">
        <v>40</v>
      </c>
      <c r="D96" s="10" t="inlineStr">
        <is>
          <t>4 Materialaufwand</t>
        </is>
      </c>
      <c r="E96" s="8" t="n">
        <v>-1512452.36</v>
      </c>
      <c r="F96" s="7" t="n">
        <v>500</v>
      </c>
    </row>
    <row r="97" ht="21" customHeight="1">
      <c r="A97" s="7" t="n">
        <v>2026</v>
      </c>
      <c r="B97" s="7" t="n">
        <v>7</v>
      </c>
      <c r="C97" s="7" t="n">
        <v>50</v>
      </c>
      <c r="D97" s="10" t="inlineStr">
        <is>
          <t>5 Personalaufwand</t>
        </is>
      </c>
      <c r="E97" s="8" t="n">
        <v>-390395</v>
      </c>
      <c r="F97" s="7" t="n">
        <v>101</v>
      </c>
    </row>
    <row r="98" ht="21" customHeight="1">
      <c r="A98" s="7" t="n">
        <v>2026</v>
      </c>
      <c r="B98" s="7" t="n">
        <v>7</v>
      </c>
      <c r="C98" s="7" t="n">
        <v>60</v>
      </c>
      <c r="D98" s="10" t="inlineStr">
        <is>
          <t>6 Abschreibungen</t>
        </is>
      </c>
      <c r="E98" s="8" t="n">
        <v>-9082.969999999999</v>
      </c>
      <c r="F98" s="7" t="n">
        <v>38</v>
      </c>
    </row>
    <row r="99" ht="21" customHeight="1">
      <c r="A99" s="7" t="n">
        <v>2026</v>
      </c>
      <c r="B99" s="7" t="n">
        <v>7</v>
      </c>
      <c r="C99" s="7" t="n">
        <v>70</v>
      </c>
      <c r="D99" s="10" t="inlineStr">
        <is>
          <t>7 Sonstige betriebliche Aufwendungen</t>
        </is>
      </c>
      <c r="E99" s="8" t="n">
        <v>-245246.07</v>
      </c>
      <c r="F99" s="7" t="n">
        <v>573</v>
      </c>
    </row>
    <row r="100" ht="21" customHeight="1">
      <c r="A100" s="7" t="n">
        <v>2026</v>
      </c>
      <c r="B100" s="7" t="n">
        <v>7</v>
      </c>
      <c r="C100" s="7" t="n">
        <v>80</v>
      </c>
      <c r="D100" s="10" t="inlineStr">
        <is>
          <t>8 Finanzergebnis</t>
        </is>
      </c>
      <c r="E100" s="8" t="n">
        <v>-8079.09</v>
      </c>
      <c r="F100" s="7" t="n">
        <v>22</v>
      </c>
    </row>
    <row r="101" ht="21" customHeight="1">
      <c r="A101" s="7" t="n">
        <v>2026</v>
      </c>
      <c r="B101" s="7" t="n">
        <v>8</v>
      </c>
      <c r="C101" s="7" t="n">
        <v>10</v>
      </c>
      <c r="D101" s="10" t="inlineStr">
        <is>
          <t>1 Umsatzerlöse</t>
        </is>
      </c>
      <c r="E101" s="8" t="n">
        <v>854339.84</v>
      </c>
      <c r="F101" s="7" t="n">
        <v>183</v>
      </c>
    </row>
    <row r="102" ht="21" customHeight="1">
      <c r="A102" s="7" t="n">
        <v>2026</v>
      </c>
      <c r="B102" s="7" t="n">
        <v>8</v>
      </c>
      <c r="C102" s="7" t="n">
        <v>20</v>
      </c>
      <c r="D102" s="10" t="inlineStr">
        <is>
          <t>2 Bestandsveränderungen</t>
        </is>
      </c>
      <c r="E102" s="8" t="n">
        <v>1022525.14</v>
      </c>
      <c r="F102" s="7" t="n">
        <v>31</v>
      </c>
    </row>
    <row r="103" ht="21" customHeight="1">
      <c r="A103" s="7" t="n">
        <v>2026</v>
      </c>
      <c r="B103" s="7" t="n">
        <v>8</v>
      </c>
      <c r="C103" s="7" t="n">
        <v>30</v>
      </c>
      <c r="D103" s="10" t="inlineStr">
        <is>
          <t>3 Sonstige betriebliche Erträge</t>
        </is>
      </c>
      <c r="E103" s="8" t="n">
        <v>14281.36</v>
      </c>
      <c r="F103" s="7" t="n">
        <v>18</v>
      </c>
    </row>
    <row r="104" ht="21" customHeight="1">
      <c r="A104" s="7" t="n">
        <v>2026</v>
      </c>
      <c r="B104" s="7" t="n">
        <v>8</v>
      </c>
      <c r="C104" s="7" t="n">
        <v>40</v>
      </c>
      <c r="D104" s="10" t="inlineStr">
        <is>
          <t>4 Materialaufwand</t>
        </is>
      </c>
      <c r="E104" s="8" t="n">
        <v>-1436882.3</v>
      </c>
      <c r="F104" s="7" t="n">
        <v>507</v>
      </c>
    </row>
    <row r="105" ht="21" customHeight="1">
      <c r="A105" s="7" t="n">
        <v>2026</v>
      </c>
      <c r="B105" s="7" t="n">
        <v>8</v>
      </c>
      <c r="C105" s="7" t="n">
        <v>50</v>
      </c>
      <c r="D105" s="10" t="inlineStr">
        <is>
          <t>5 Personalaufwand</t>
        </is>
      </c>
      <c r="E105" s="8" t="n">
        <v>-399129.54</v>
      </c>
      <c r="F105" s="7" t="n">
        <v>109</v>
      </c>
    </row>
    <row r="106" ht="21" customHeight="1">
      <c r="A106" s="7" t="n">
        <v>2026</v>
      </c>
      <c r="B106" s="7" t="n">
        <v>8</v>
      </c>
      <c r="C106" s="7" t="n">
        <v>60</v>
      </c>
      <c r="D106" s="10" t="inlineStr">
        <is>
          <t>6 Abschreibungen</t>
        </is>
      </c>
      <c r="E106" s="8" t="n">
        <v>-9109.85</v>
      </c>
      <c r="F106" s="7" t="n">
        <v>37</v>
      </c>
    </row>
    <row r="107" ht="21" customHeight="1">
      <c r="A107" s="7" t="n">
        <v>2026</v>
      </c>
      <c r="B107" s="7" t="n">
        <v>8</v>
      </c>
      <c r="C107" s="7" t="n">
        <v>70</v>
      </c>
      <c r="D107" s="10" t="inlineStr">
        <is>
          <t>7 Sonstige betriebliche Aufwendungen</t>
        </is>
      </c>
      <c r="E107" s="8" t="n">
        <v>-191884.67</v>
      </c>
      <c r="F107" s="7" t="n">
        <v>690</v>
      </c>
    </row>
    <row r="108" ht="21" customHeight="1">
      <c r="A108" s="7" t="n">
        <v>2026</v>
      </c>
      <c r="B108" s="7" t="n">
        <v>8</v>
      </c>
      <c r="C108" s="7" t="n">
        <v>80</v>
      </c>
      <c r="D108" s="10" t="inlineStr">
        <is>
          <t>8 Finanzergebnis</t>
        </is>
      </c>
      <c r="E108" s="8" t="n">
        <v>-12425.47</v>
      </c>
      <c r="F108" s="7" t="n">
        <v>23</v>
      </c>
    </row>
    <row r="109" ht="21" customHeight="1">
      <c r="A109" s="7" t="n">
        <v>2026</v>
      </c>
      <c r="B109" s="7" t="n">
        <v>9</v>
      </c>
      <c r="C109" s="7" t="n">
        <v>10</v>
      </c>
      <c r="D109" s="10" t="inlineStr">
        <is>
          <t>1 Umsatzerlöse</t>
        </is>
      </c>
      <c r="E109" s="8" t="n">
        <v>885382.71</v>
      </c>
      <c r="F109" s="7" t="n">
        <v>72</v>
      </c>
    </row>
    <row r="110" ht="21" customHeight="1">
      <c r="A110" s="7" t="n">
        <v>2026</v>
      </c>
      <c r="B110" s="7" t="n">
        <v>9</v>
      </c>
      <c r="C110" s="7" t="n">
        <v>30</v>
      </c>
      <c r="D110" s="10" t="inlineStr">
        <is>
          <t>3 Sonstige betriebliche Erträge</t>
        </is>
      </c>
      <c r="E110" s="8" t="n">
        <v>325242.43</v>
      </c>
      <c r="F110" s="7" t="n">
        <v>17</v>
      </c>
    </row>
    <row r="111" ht="21" customHeight="1">
      <c r="A111" s="7" t="n">
        <v>2026</v>
      </c>
      <c r="B111" s="7" t="n">
        <v>9</v>
      </c>
      <c r="C111" s="7" t="n">
        <v>40</v>
      </c>
      <c r="D111" s="10" t="inlineStr">
        <is>
          <t>4 Materialaufwand</t>
        </is>
      </c>
      <c r="E111" s="8" t="n">
        <v>-1735737.84</v>
      </c>
      <c r="F111" s="7" t="n">
        <v>328</v>
      </c>
    </row>
    <row r="112" ht="21" customHeight="1">
      <c r="A112" s="7" t="n">
        <v>2026</v>
      </c>
      <c r="B112" s="7" t="n">
        <v>9</v>
      </c>
      <c r="C112" s="7" t="n">
        <v>50</v>
      </c>
      <c r="D112" s="10" t="inlineStr">
        <is>
          <t>5 Personalaufwand</t>
        </is>
      </c>
      <c r="E112" s="8" t="n">
        <v>-356776.51</v>
      </c>
      <c r="F112" s="7" t="n">
        <v>86</v>
      </c>
    </row>
    <row r="113" ht="21" customHeight="1">
      <c r="A113" s="7" t="n">
        <v>2026</v>
      </c>
      <c r="B113" s="7" t="n">
        <v>9</v>
      </c>
      <c r="C113" s="7" t="n">
        <v>60</v>
      </c>
      <c r="D113" s="10" t="inlineStr">
        <is>
          <t>6 Abschreibungen</t>
        </is>
      </c>
      <c r="E113" s="8" t="n">
        <v>-9102</v>
      </c>
      <c r="F113" s="7" t="n">
        <v>35</v>
      </c>
    </row>
    <row r="114" ht="21" customHeight="1">
      <c r="A114" s="7" t="n">
        <v>2026</v>
      </c>
      <c r="B114" s="7" t="n">
        <v>9</v>
      </c>
      <c r="C114" s="7" t="n">
        <v>70</v>
      </c>
      <c r="D114" s="10" t="inlineStr">
        <is>
          <t>7 Sonstige betriebliche Aufwendungen</t>
        </is>
      </c>
      <c r="E114" s="8" t="n">
        <v>-258426.01</v>
      </c>
      <c r="F114" s="7" t="n">
        <v>505</v>
      </c>
    </row>
    <row r="115" ht="21" customHeight="1">
      <c r="A115" s="7" t="n">
        <v>2026</v>
      </c>
      <c r="B115" s="7" t="n">
        <v>9</v>
      </c>
      <c r="C115" s="7" t="n">
        <v>80</v>
      </c>
      <c r="D115" s="10" t="inlineStr">
        <is>
          <t>8 Finanzergebnis</t>
        </is>
      </c>
      <c r="E115" s="8" t="n">
        <v>8366</v>
      </c>
      <c r="F115" s="7" t="n">
        <v>8</v>
      </c>
    </row>
    <row r="119" ht="24" customHeight="1">
      <c r="A119" s="58" t="inlineStr">
        <is>
          <t>v_forecast_monat</t>
        </is>
      </c>
    </row>
    <row r="120" ht="36" customHeight="1">
      <c r="A120" s="3" t="inlineStr">
        <is>
          <t>jahr</t>
        </is>
      </c>
      <c r="B120" s="3" t="inlineStr">
        <is>
          <t>region</t>
        </is>
      </c>
      <c r="C120" s="3" t="inlineStr">
        <is>
          <t>monat</t>
        </is>
      </c>
      <c r="D120" s="3" t="inlineStr">
        <is>
          <t>umsatz_plan</t>
        </is>
      </c>
      <c r="E120" s="3" t="inlineStr">
        <is>
          <t>kosten_plan</t>
        </is>
      </c>
      <c r="F120" s="3" t="inlineStr">
        <is>
          <t>umsatz_gemeldet</t>
        </is>
      </c>
      <c r="G120" s="3" t="inlineStr">
        <is>
          <t>kosten_gemeldet</t>
        </is>
      </c>
      <c r="H120" s="3" t="inlineStr">
        <is>
          <t>umsatz_sap</t>
        </is>
      </c>
      <c r="I120" s="3" t="inlineStr">
        <is>
          <t>kosten_sap</t>
        </is>
      </c>
      <c r="J120" s="3" t="inlineStr">
        <is>
          <t>db_plan</t>
        </is>
      </c>
      <c r="K120" s="3" t="inlineStr">
        <is>
          <t>db_sap</t>
        </is>
      </c>
      <c r="L120" s="3" t="inlineStr">
        <is>
          <t>umsatz_meldediff</t>
        </is>
      </c>
      <c r="M120" s="3" t="inlineStr">
        <is>
          <t>kosten_meldediff</t>
        </is>
      </c>
      <c r="N120" s="3" t="inlineStr">
        <is>
          <t>ba_plan</t>
        </is>
      </c>
      <c r="O120" s="3" t="inlineStr">
        <is>
          <t>ba_sap</t>
        </is>
      </c>
    </row>
    <row r="121" ht="21" customHeight="1">
      <c r="A121" s="7" t="n">
        <v>2026</v>
      </c>
      <c r="B121" s="10" t="inlineStr">
        <is>
          <t>Süd-West</t>
        </is>
      </c>
      <c r="C121" s="7" t="n">
        <v>6</v>
      </c>
      <c r="D121" s="8" t="n">
        <v>0</v>
      </c>
      <c r="E121" s="8" t="n">
        <v>0</v>
      </c>
      <c r="F121" s="8" t="n">
        <v>672893.3100000001</v>
      </c>
      <c r="G121" s="8" t="n">
        <v>-891420.95</v>
      </c>
      <c r="H121" s="8" t="n">
        <v>732119.79</v>
      </c>
      <c r="I121" s="8" t="n">
        <v>-541306.36</v>
      </c>
      <c r="J121" s="8" t="n">
        <v>0</v>
      </c>
      <c r="K121" s="8" t="n">
        <v>131586.95</v>
      </c>
      <c r="L121" s="8" t="n">
        <v>-59226.48</v>
      </c>
      <c r="M121" s="8" t="n">
        <v>-350114.59</v>
      </c>
      <c r="N121" s="8" t="n">
        <v>0</v>
      </c>
      <c r="O121" s="8" t="n">
        <v>-59226.48</v>
      </c>
    </row>
    <row r="122" ht="21" customHeight="1">
      <c r="A122" s="7" t="n">
        <v>2026</v>
      </c>
      <c r="B122" s="10" t="inlineStr">
        <is>
          <t>Ost</t>
        </is>
      </c>
      <c r="C122" s="7" t="n">
        <v>9</v>
      </c>
      <c r="D122" s="8" t="n">
        <v>336400</v>
      </c>
      <c r="E122" s="8" t="n">
        <v>-279000</v>
      </c>
      <c r="F122" s="8" t="n">
        <v>0</v>
      </c>
      <c r="G122" s="8" t="n">
        <v>0</v>
      </c>
      <c r="H122" s="8" t="n">
        <v>21979.5</v>
      </c>
      <c r="I122" s="8" t="n">
        <v>-56664.97</v>
      </c>
      <c r="J122" s="8" t="n">
        <v>57400</v>
      </c>
      <c r="K122" s="8" t="n">
        <v>-34685.47</v>
      </c>
      <c r="L122" s="8" t="n">
        <v>-21979.5</v>
      </c>
      <c r="M122" s="8" t="n">
        <v>56664.97</v>
      </c>
      <c r="N122" s="8" t="n">
        <v>0</v>
      </c>
      <c r="O122" s="8" t="n">
        <v>0</v>
      </c>
    </row>
    <row r="123" ht="21" customHeight="1">
      <c r="A123" s="7" t="n">
        <v>2026</v>
      </c>
      <c r="B123" s="10" t="inlineStr">
        <is>
          <t>Süd-West</t>
        </is>
      </c>
      <c r="C123" s="7" t="n">
        <v>7</v>
      </c>
      <c r="D123" s="8" t="n">
        <v>0</v>
      </c>
      <c r="E123" s="8" t="n">
        <v>0</v>
      </c>
      <c r="F123" s="8" t="n">
        <v>353807.94</v>
      </c>
      <c r="G123" s="8" t="n">
        <v>-658322.75</v>
      </c>
      <c r="H123" s="8" t="n">
        <v>600733.45</v>
      </c>
      <c r="I123" s="8" t="n">
        <v>-357821.82</v>
      </c>
      <c r="J123" s="8" t="n">
        <v>0</v>
      </c>
      <c r="K123" s="8" t="n">
        <v>-4013.88</v>
      </c>
      <c r="L123" s="8" t="n">
        <v>-246925.51</v>
      </c>
      <c r="M123" s="8" t="n">
        <v>-300500.93</v>
      </c>
      <c r="N123" s="8" t="n">
        <v>0</v>
      </c>
      <c r="O123" s="8" t="n">
        <v>-246925.51</v>
      </c>
    </row>
    <row r="124" ht="21" customHeight="1">
      <c r="A124" s="7" t="n">
        <v>2026</v>
      </c>
      <c r="B124" s="10" t="inlineStr">
        <is>
          <t>Berlin</t>
        </is>
      </c>
      <c r="C124" s="7" t="n">
        <v>6</v>
      </c>
      <c r="D124" s="8" t="n">
        <v>0</v>
      </c>
      <c r="E124" s="8" t="n">
        <v>0</v>
      </c>
      <c r="F124" s="8" t="n">
        <v>140043.52</v>
      </c>
      <c r="G124" s="8" t="n">
        <v>-92589.22</v>
      </c>
      <c r="H124" s="8" t="n">
        <v>295727.88</v>
      </c>
      <c r="I124" s="8" t="n">
        <v>-29551.74</v>
      </c>
      <c r="J124" s="8" t="n">
        <v>0</v>
      </c>
      <c r="K124" s="8" t="n">
        <v>110491.78</v>
      </c>
      <c r="L124" s="8" t="n">
        <v>-155684.36</v>
      </c>
      <c r="M124" s="8" t="n">
        <v>-63037.48</v>
      </c>
      <c r="N124" s="8" t="n">
        <v>0</v>
      </c>
      <c r="O124" s="8" t="n">
        <v>-155684.36</v>
      </c>
    </row>
    <row r="125" ht="21" customHeight="1">
      <c r="A125" s="7" t="n">
        <v>2026</v>
      </c>
      <c r="B125" s="10" t="inlineStr">
        <is>
          <t>West</t>
        </is>
      </c>
      <c r="C125" s="7" t="n">
        <v>3</v>
      </c>
      <c r="D125" s="8" t="n">
        <v>379206.89</v>
      </c>
      <c r="E125" s="8" t="n">
        <v>-499149.29</v>
      </c>
      <c r="F125" s="8" t="n">
        <v>1111344.07</v>
      </c>
      <c r="G125" s="8" t="n">
        <v>-790667.58</v>
      </c>
      <c r="H125" s="8" t="n">
        <v>255457.91</v>
      </c>
      <c r="I125" s="8" t="n">
        <v>-790606.66</v>
      </c>
      <c r="J125" s="8" t="n">
        <v>-119942.4</v>
      </c>
      <c r="K125" s="8" t="n">
        <v>320737.41</v>
      </c>
      <c r="L125" s="8" t="n">
        <v>855886.16</v>
      </c>
      <c r="M125" s="8" t="n">
        <v>-60.92</v>
      </c>
      <c r="N125" s="8" t="n">
        <v>0</v>
      </c>
      <c r="O125" s="8" t="n">
        <v>855886.16</v>
      </c>
    </row>
    <row r="126" ht="21" customHeight="1">
      <c r="A126" s="7" t="n">
        <v>2026</v>
      </c>
      <c r="B126" s="10" t="inlineStr">
        <is>
          <t>Verwaltung</t>
        </is>
      </c>
      <c r="C126" s="7" t="n">
        <v>9</v>
      </c>
      <c r="D126" s="8" t="n">
        <v>0</v>
      </c>
      <c r="E126" s="8" t="n">
        <v>-57700</v>
      </c>
      <c r="F126" s="8" t="n">
        <v>0</v>
      </c>
      <c r="G126" s="8" t="n">
        <v>0</v>
      </c>
      <c r="H126" s="8" t="n">
        <v>0</v>
      </c>
      <c r="I126" s="8" t="n">
        <v>-56905.18</v>
      </c>
      <c r="J126" s="8" t="n">
        <v>-57700</v>
      </c>
      <c r="K126" s="8" t="n">
        <v>-56905.18</v>
      </c>
      <c r="L126" s="8" t="n">
        <v>0</v>
      </c>
      <c r="M126" s="8" t="n">
        <v>56905.18</v>
      </c>
      <c r="N126" s="8" t="n">
        <v>0</v>
      </c>
      <c r="O126" s="8" t="n">
        <v>0</v>
      </c>
    </row>
    <row r="127" ht="21" customHeight="1">
      <c r="A127" s="7" t="n">
        <v>2026</v>
      </c>
      <c r="B127" s="10" t="inlineStr">
        <is>
          <t>Ost</t>
        </is>
      </c>
      <c r="C127" s="7" t="n">
        <v>1</v>
      </c>
      <c r="D127" s="8" t="n">
        <v>0</v>
      </c>
      <c r="E127" s="8" t="n">
        <v>0</v>
      </c>
      <c r="F127" s="8" t="n">
        <v>381141.59</v>
      </c>
      <c r="G127" s="8" t="n">
        <v>-442112.78</v>
      </c>
      <c r="H127" s="8" t="n">
        <v>15823.05</v>
      </c>
      <c r="I127" s="8" t="n">
        <v>-294050.62</v>
      </c>
      <c r="J127" s="8" t="n">
        <v>0</v>
      </c>
      <c r="K127" s="8" t="n">
        <v>87090.97</v>
      </c>
      <c r="L127" s="8" t="n">
        <v>365318.54</v>
      </c>
      <c r="M127" s="8" t="n">
        <v>-148062.16</v>
      </c>
      <c r="N127" s="8" t="n">
        <v>0</v>
      </c>
      <c r="O127" s="8" t="n">
        <v>365318.54</v>
      </c>
    </row>
    <row r="128" ht="21" customHeight="1">
      <c r="A128" s="7" t="n">
        <v>2026</v>
      </c>
      <c r="B128" s="10" t="inlineStr">
        <is>
          <t>Berlin</t>
        </is>
      </c>
      <c r="C128" s="7" t="n">
        <v>1</v>
      </c>
      <c r="D128" s="8" t="n">
        <v>0</v>
      </c>
      <c r="E128" s="8" t="n">
        <v>0</v>
      </c>
      <c r="F128" s="8" t="n">
        <v>69580.17</v>
      </c>
      <c r="G128" s="8" t="n">
        <v>-133048.22</v>
      </c>
      <c r="H128" s="8" t="n">
        <v>-2201.74</v>
      </c>
      <c r="I128" s="8" t="n">
        <v>-104015.08</v>
      </c>
      <c r="J128" s="8" t="n">
        <v>0</v>
      </c>
      <c r="K128" s="8" t="n">
        <v>-34434.91</v>
      </c>
      <c r="L128" s="8" t="n">
        <v>71781.91</v>
      </c>
      <c r="M128" s="8" t="n">
        <v>-29033.14</v>
      </c>
      <c r="N128" s="8" t="n">
        <v>0</v>
      </c>
      <c r="O128" s="8" t="n">
        <v>71781.91</v>
      </c>
    </row>
    <row r="129" ht="21" customHeight="1">
      <c r="A129" s="7" t="n">
        <v>2026</v>
      </c>
      <c r="B129" s="10" t="inlineStr">
        <is>
          <t>West</t>
        </is>
      </c>
      <c r="C129" s="7" t="n">
        <v>9</v>
      </c>
      <c r="D129" s="8" t="n">
        <v>1561994</v>
      </c>
      <c r="E129" s="8" t="n">
        <v>-1275000</v>
      </c>
      <c r="F129" s="8" t="n">
        <v>0</v>
      </c>
      <c r="G129" s="8" t="n">
        <v>0</v>
      </c>
      <c r="H129" s="8" t="n">
        <v>845719.74</v>
      </c>
      <c r="I129" s="8" t="n">
        <v>-1287026.45</v>
      </c>
      <c r="J129" s="8" t="n">
        <v>286994</v>
      </c>
      <c r="K129" s="8" t="n">
        <v>-441306.71</v>
      </c>
      <c r="L129" s="8" t="n">
        <v>-845719.74</v>
      </c>
      <c r="M129" s="8" t="n">
        <v>1287026.45</v>
      </c>
      <c r="N129" s="8" t="n">
        <v>0</v>
      </c>
      <c r="O129" s="8" t="n">
        <v>0</v>
      </c>
    </row>
    <row r="130" ht="21" customHeight="1">
      <c r="A130" s="7" t="n">
        <v>2026</v>
      </c>
      <c r="B130" s="10" t="inlineStr">
        <is>
          <t>Ost</t>
        </is>
      </c>
      <c r="C130" s="7" t="n">
        <v>7</v>
      </c>
      <c r="D130" s="8" t="n">
        <v>0</v>
      </c>
      <c r="E130" s="8" t="n">
        <v>0</v>
      </c>
      <c r="F130" s="8" t="n">
        <v>621983.46</v>
      </c>
      <c r="G130" s="8" t="n">
        <v>-1294155.85</v>
      </c>
      <c r="H130" s="8" t="n">
        <v>554294.62</v>
      </c>
      <c r="I130" s="8" t="n">
        <v>-393656.74</v>
      </c>
      <c r="J130" s="8" t="n">
        <v>0</v>
      </c>
      <c r="K130" s="8" t="n">
        <v>228326.72</v>
      </c>
      <c r="L130" s="8" t="n">
        <v>67688.84</v>
      </c>
      <c r="M130" s="8" t="n">
        <v>-900499.11</v>
      </c>
      <c r="N130" s="8" t="n">
        <v>0</v>
      </c>
      <c r="O130" s="8" t="n">
        <v>67688.84</v>
      </c>
    </row>
    <row r="131" ht="21" customHeight="1">
      <c r="A131" s="7" t="n">
        <v>2026</v>
      </c>
      <c r="B131" s="10" t="inlineStr">
        <is>
          <t>Berlin</t>
        </is>
      </c>
      <c r="C131" s="7" t="n">
        <v>9</v>
      </c>
      <c r="D131" s="8" t="n">
        <v>52550</v>
      </c>
      <c r="E131" s="8" t="n">
        <v>-10000</v>
      </c>
      <c r="F131" s="8" t="n">
        <v>0</v>
      </c>
      <c r="G131" s="8" t="n">
        <v>0</v>
      </c>
      <c r="H131" s="8" t="n">
        <v>18269.27</v>
      </c>
      <c r="I131" s="8" t="n">
        <v>-13480.65</v>
      </c>
      <c r="J131" s="8" t="n">
        <v>42550</v>
      </c>
      <c r="K131" s="8" t="n">
        <v>4788.62</v>
      </c>
      <c r="L131" s="8" t="n">
        <v>-18269.27</v>
      </c>
      <c r="M131" s="8" t="n">
        <v>13480.65</v>
      </c>
      <c r="N131" s="8" t="n">
        <v>0</v>
      </c>
      <c r="O131" s="8" t="n">
        <v>0</v>
      </c>
    </row>
    <row r="132" ht="21" customHeight="1">
      <c r="A132" s="7" t="n">
        <v>2026</v>
      </c>
      <c r="B132" s="10" t="inlineStr">
        <is>
          <t>West</t>
        </is>
      </c>
      <c r="C132" s="7" t="n">
        <v>6</v>
      </c>
      <c r="D132" s="8" t="n">
        <v>535828.72</v>
      </c>
      <c r="E132" s="8" t="n">
        <v>-661247.4300000001</v>
      </c>
      <c r="F132" s="8" t="n">
        <v>1404357.27</v>
      </c>
      <c r="G132" s="8" t="n">
        <v>-1253446.22</v>
      </c>
      <c r="H132" s="8" t="n">
        <v>998990.23</v>
      </c>
      <c r="I132" s="8" t="n">
        <v>-1252895.31</v>
      </c>
      <c r="J132" s="8" t="n">
        <v>-125418.71</v>
      </c>
      <c r="K132" s="8" t="n">
        <v>151461.96</v>
      </c>
      <c r="L132" s="8" t="n">
        <v>405367.04</v>
      </c>
      <c r="M132" s="8" t="n">
        <v>-550.91</v>
      </c>
      <c r="N132" s="8" t="n">
        <v>0</v>
      </c>
      <c r="O132" s="8" t="n">
        <v>405367.04</v>
      </c>
    </row>
    <row r="133" ht="21" customHeight="1">
      <c r="A133" s="7" t="n">
        <v>2026</v>
      </c>
      <c r="B133" s="10" t="inlineStr">
        <is>
          <t>Ost</t>
        </is>
      </c>
      <c r="C133" s="7" t="n">
        <v>6</v>
      </c>
      <c r="D133" s="8" t="n">
        <v>0</v>
      </c>
      <c r="E133" s="8" t="n">
        <v>0</v>
      </c>
      <c r="F133" s="8" t="n">
        <v>565551.03</v>
      </c>
      <c r="G133" s="8" t="n">
        <v>-1143216.08</v>
      </c>
      <c r="H133" s="8" t="n">
        <v>441362</v>
      </c>
      <c r="I133" s="8" t="n">
        <v>-393915.11</v>
      </c>
      <c r="J133" s="8" t="n">
        <v>0</v>
      </c>
      <c r="K133" s="8" t="n">
        <v>171635.92</v>
      </c>
      <c r="L133" s="8" t="n">
        <v>124189.03</v>
      </c>
      <c r="M133" s="8" t="n">
        <v>-749300.97</v>
      </c>
      <c r="N133" s="8" t="n">
        <v>0</v>
      </c>
      <c r="O133" s="8" t="n">
        <v>124189.03</v>
      </c>
    </row>
    <row r="134" ht="21" customHeight="1">
      <c r="A134" s="7" t="n">
        <v>2026</v>
      </c>
      <c r="B134" s="10" t="inlineStr">
        <is>
          <t>Süd-West</t>
        </is>
      </c>
      <c r="C134" s="7" t="n">
        <v>9</v>
      </c>
      <c r="D134" s="8" t="n">
        <v>654000</v>
      </c>
      <c r="E134" s="8" t="n">
        <v>-514800</v>
      </c>
      <c r="F134" s="8" t="n">
        <v>0</v>
      </c>
      <c r="G134" s="8" t="n">
        <v>10000</v>
      </c>
      <c r="H134" s="8" t="n">
        <v>5198.24</v>
      </c>
      <c r="I134" s="8" t="n">
        <v>-277876.73</v>
      </c>
      <c r="J134" s="8" t="n">
        <v>139200</v>
      </c>
      <c r="K134" s="8" t="n">
        <v>-272678.49</v>
      </c>
      <c r="L134" s="8" t="n">
        <v>-5198.24</v>
      </c>
      <c r="M134" s="8" t="n">
        <v>287876.73</v>
      </c>
      <c r="N134" s="8" t="n">
        <v>0</v>
      </c>
      <c r="O134" s="8" t="n">
        <v>0</v>
      </c>
    </row>
    <row r="135" ht="21" customHeight="1">
      <c r="A135" s="7" t="n">
        <v>2026</v>
      </c>
      <c r="B135" s="10" t="inlineStr">
        <is>
          <t>West</t>
        </is>
      </c>
      <c r="C135" s="7" t="n">
        <v>7</v>
      </c>
      <c r="D135" s="8" t="n">
        <v>624510.8100000001</v>
      </c>
      <c r="E135" s="8" t="n">
        <v>-1429341.99</v>
      </c>
      <c r="F135" s="8" t="n">
        <v>456973.6</v>
      </c>
      <c r="G135" s="8" t="n">
        <v>-826051.42</v>
      </c>
      <c r="H135" s="8" t="n">
        <v>214452.93</v>
      </c>
      <c r="I135" s="8" t="n">
        <v>-819214.84</v>
      </c>
      <c r="J135" s="8" t="n">
        <v>-804831.1800000001</v>
      </c>
      <c r="K135" s="8" t="n">
        <v>-228736.67</v>
      </c>
      <c r="L135" s="8" t="n">
        <v>242520.67</v>
      </c>
      <c r="M135" s="8" t="n">
        <v>-6836.58</v>
      </c>
      <c r="N135" s="8" t="n">
        <v>0</v>
      </c>
      <c r="O135" s="8" t="n">
        <v>376025.24</v>
      </c>
    </row>
    <row r="136" ht="21" customHeight="1">
      <c r="A136" s="7" t="n">
        <v>2026</v>
      </c>
      <c r="B136" s="10" t="inlineStr">
        <is>
          <t>Verwaltung</t>
        </is>
      </c>
      <c r="C136" s="7" t="n">
        <v>1</v>
      </c>
      <c r="D136" s="8" t="n">
        <v>0</v>
      </c>
      <c r="E136" s="8" t="n">
        <v>0</v>
      </c>
      <c r="F136" s="8" t="n">
        <v>0</v>
      </c>
      <c r="G136" s="8" t="n">
        <v>-91868.83</v>
      </c>
      <c r="H136" s="8" t="n">
        <v>0</v>
      </c>
      <c r="I136" s="8" t="n">
        <v>-50195.1</v>
      </c>
      <c r="J136" s="8" t="n">
        <v>0</v>
      </c>
      <c r="K136" s="8" t="n">
        <v>-50195.1</v>
      </c>
      <c r="L136" s="8" t="n">
        <v>0</v>
      </c>
      <c r="M136" s="8" t="n">
        <v>-41673.73</v>
      </c>
      <c r="N136" s="8" t="n">
        <v>0</v>
      </c>
      <c r="O136" s="8" t="n">
        <v>0</v>
      </c>
    </row>
    <row r="137" ht="21" customHeight="1">
      <c r="A137" s="7" t="n">
        <v>2026</v>
      </c>
      <c r="B137" s="10" t="inlineStr">
        <is>
          <t>Süd-West</t>
        </is>
      </c>
      <c r="C137" s="7" t="n">
        <v>3</v>
      </c>
      <c r="D137" s="8" t="n">
        <v>0</v>
      </c>
      <c r="E137" s="8" t="n">
        <v>0</v>
      </c>
      <c r="F137" s="8" t="n">
        <v>144183.31</v>
      </c>
      <c r="G137" s="8" t="n">
        <v>-565057.95</v>
      </c>
      <c r="H137" s="8" t="n">
        <v>320056.06</v>
      </c>
      <c r="I137" s="8" t="n">
        <v>-241825.05</v>
      </c>
      <c r="J137" s="8" t="n">
        <v>0</v>
      </c>
      <c r="K137" s="8" t="n">
        <v>-97641.74000000001</v>
      </c>
      <c r="L137" s="8" t="n">
        <v>-175872.75</v>
      </c>
      <c r="M137" s="8" t="n">
        <v>-323232.9</v>
      </c>
      <c r="N137" s="8" t="n">
        <v>0</v>
      </c>
      <c r="O137" s="8" t="n">
        <v>-175872.75</v>
      </c>
    </row>
    <row r="138" ht="21" customHeight="1">
      <c r="A138" s="7" t="n">
        <v>2026</v>
      </c>
      <c r="B138" s="10" t="inlineStr">
        <is>
          <t>West</t>
        </is>
      </c>
      <c r="C138" s="7" t="n">
        <v>2</v>
      </c>
      <c r="D138" s="8" t="n">
        <v>215345.42</v>
      </c>
      <c r="E138" s="8" t="n">
        <v>-241119.56</v>
      </c>
      <c r="F138" s="8" t="n">
        <v>646204.4399999999</v>
      </c>
      <c r="G138" s="8" t="n">
        <v>-911746.35</v>
      </c>
      <c r="H138" s="8" t="n">
        <v>403993.79</v>
      </c>
      <c r="I138" s="8" t="n">
        <v>-909508.38</v>
      </c>
      <c r="J138" s="8" t="n">
        <v>-25774.14</v>
      </c>
      <c r="K138" s="8" t="n">
        <v>293647.64</v>
      </c>
      <c r="L138" s="8" t="n">
        <v>242210.65</v>
      </c>
      <c r="M138" s="8" t="n">
        <v>-2237.97</v>
      </c>
      <c r="N138" s="8" t="n">
        <v>0</v>
      </c>
      <c r="O138" s="8" t="n">
        <v>799162.23</v>
      </c>
    </row>
    <row r="139" ht="21" customHeight="1">
      <c r="A139" s="7" t="n">
        <v>2026</v>
      </c>
      <c r="B139" s="10" t="inlineStr">
        <is>
          <t>Verwaltung</t>
        </is>
      </c>
      <c r="C139" s="7" t="n">
        <v>7</v>
      </c>
      <c r="D139" s="8" t="n">
        <v>0</v>
      </c>
      <c r="E139" s="8" t="n">
        <v>0</v>
      </c>
      <c r="F139" s="8" t="n">
        <v>0</v>
      </c>
      <c r="G139" s="8" t="n">
        <v>-82865.89</v>
      </c>
      <c r="H139" s="8" t="n">
        <v>0</v>
      </c>
      <c r="I139" s="8" t="n">
        <v>-61244.52</v>
      </c>
      <c r="J139" s="8" t="n">
        <v>0</v>
      </c>
      <c r="K139" s="8" t="n">
        <v>-61244.52</v>
      </c>
      <c r="L139" s="8" t="n">
        <v>0</v>
      </c>
      <c r="M139" s="8" t="n">
        <v>-21621.37</v>
      </c>
      <c r="N139" s="8" t="n">
        <v>0</v>
      </c>
      <c r="O139" s="8" t="n">
        <v>0</v>
      </c>
    </row>
    <row r="140" ht="21" customHeight="1">
      <c r="A140" s="7" t="n">
        <v>2026</v>
      </c>
      <c r="B140" s="10" t="inlineStr">
        <is>
          <t>Berlin</t>
        </is>
      </c>
      <c r="C140" s="7" t="n">
        <v>3</v>
      </c>
      <c r="D140" s="8" t="n">
        <v>0</v>
      </c>
      <c r="E140" s="8" t="n">
        <v>0</v>
      </c>
      <c r="F140" s="8" t="n">
        <v>413588.23</v>
      </c>
      <c r="G140" s="8" t="n">
        <v>-538720.38</v>
      </c>
      <c r="H140" s="8" t="n">
        <v>15393.95</v>
      </c>
      <c r="I140" s="8" t="n">
        <v>-363293.61</v>
      </c>
      <c r="J140" s="8" t="n">
        <v>0</v>
      </c>
      <c r="K140" s="8" t="n">
        <v>50294.62</v>
      </c>
      <c r="L140" s="8" t="n">
        <v>398194.28</v>
      </c>
      <c r="M140" s="8" t="n">
        <v>-175426.77</v>
      </c>
      <c r="N140" s="8" t="n">
        <v>0</v>
      </c>
      <c r="O140" s="8" t="n">
        <v>398194.28</v>
      </c>
    </row>
    <row r="141" ht="21" customHeight="1">
      <c r="A141" s="7" t="n">
        <v>2026</v>
      </c>
      <c r="B141" s="10" t="inlineStr">
        <is>
          <t>Verwaltung</t>
        </is>
      </c>
      <c r="C141" s="7" t="n">
        <v>6</v>
      </c>
      <c r="D141" s="8" t="n">
        <v>0</v>
      </c>
      <c r="E141" s="8" t="n">
        <v>0</v>
      </c>
      <c r="F141" s="8" t="n">
        <v>0</v>
      </c>
      <c r="G141" s="8" t="n">
        <v>-114518.67</v>
      </c>
      <c r="H141" s="8" t="n">
        <v>0</v>
      </c>
      <c r="I141" s="8" t="n">
        <v>-66790.36</v>
      </c>
      <c r="J141" s="8" t="n">
        <v>0</v>
      </c>
      <c r="K141" s="8" t="n">
        <v>-66790.36</v>
      </c>
      <c r="L141" s="8" t="n">
        <v>0</v>
      </c>
      <c r="M141" s="8" t="n">
        <v>-47728.31</v>
      </c>
      <c r="N141" s="8" t="n">
        <v>0</v>
      </c>
      <c r="O141" s="8" t="n">
        <v>0</v>
      </c>
    </row>
    <row r="142" ht="21" customHeight="1">
      <c r="A142" s="7" t="n">
        <v>2026</v>
      </c>
      <c r="B142" s="10" t="inlineStr">
        <is>
          <t>Berlin</t>
        </is>
      </c>
      <c r="C142" s="7" t="n">
        <v>7</v>
      </c>
      <c r="D142" s="8" t="n">
        <v>0</v>
      </c>
      <c r="E142" s="8" t="n">
        <v>0</v>
      </c>
      <c r="F142" s="8" t="n">
        <v>52375.1</v>
      </c>
      <c r="G142" s="8" t="n">
        <v>-71915.44</v>
      </c>
      <c r="H142" s="8" t="n">
        <v>-45552.79</v>
      </c>
      <c r="I142" s="8" t="n">
        <v>-27694.71</v>
      </c>
      <c r="J142" s="8" t="n">
        <v>0</v>
      </c>
      <c r="K142" s="8" t="n">
        <v>24680.39</v>
      </c>
      <c r="L142" s="8" t="n">
        <v>97927.89</v>
      </c>
      <c r="M142" s="8" t="n">
        <v>-44220.73</v>
      </c>
      <c r="N142" s="8" t="n">
        <v>0</v>
      </c>
      <c r="O142" s="8" t="n">
        <v>97927.89</v>
      </c>
    </row>
    <row r="143" ht="21" customHeight="1">
      <c r="A143" s="7" t="n">
        <v>2026</v>
      </c>
      <c r="B143" s="10" t="inlineStr">
        <is>
          <t>Ost</t>
        </is>
      </c>
      <c r="C143" s="7" t="n">
        <v>8</v>
      </c>
      <c r="D143" s="8" t="n">
        <v>477600</v>
      </c>
      <c r="E143" s="8" t="n">
        <v>-248760</v>
      </c>
      <c r="F143" s="8" t="n">
        <v>0</v>
      </c>
      <c r="G143" s="8" t="n">
        <v>0</v>
      </c>
      <c r="H143" s="8" t="n">
        <v>371050.11</v>
      </c>
      <c r="I143" s="8" t="n">
        <v>-326485.61</v>
      </c>
      <c r="J143" s="8" t="n">
        <v>228840</v>
      </c>
      <c r="K143" s="8" t="n">
        <v>138660.43</v>
      </c>
      <c r="L143" s="8" t="n">
        <v>-371050.11</v>
      </c>
      <c r="M143" s="8" t="n">
        <v>326485.61</v>
      </c>
      <c r="N143" s="8" t="n">
        <v>0</v>
      </c>
      <c r="O143" s="8" t="n">
        <v>94095.92999999999</v>
      </c>
    </row>
    <row r="144" ht="21" customHeight="1">
      <c r="A144" s="7" t="n">
        <v>2026</v>
      </c>
      <c r="B144" s="10" t="inlineStr">
        <is>
          <t>Verwaltung</t>
        </is>
      </c>
      <c r="C144" s="7" t="n">
        <v>4</v>
      </c>
      <c r="D144" s="8" t="n">
        <v>0</v>
      </c>
      <c r="E144" s="8" t="n">
        <v>0</v>
      </c>
      <c r="F144" s="8" t="n">
        <v>0</v>
      </c>
      <c r="G144" s="8" t="n">
        <v>-120968.95</v>
      </c>
      <c r="H144" s="8" t="n">
        <v>0</v>
      </c>
      <c r="I144" s="8" t="n">
        <v>-79573.74000000001</v>
      </c>
      <c r="J144" s="8" t="n">
        <v>0</v>
      </c>
      <c r="K144" s="8" t="n">
        <v>-79573.74000000001</v>
      </c>
      <c r="L144" s="8" t="n">
        <v>0</v>
      </c>
      <c r="M144" s="8" t="n">
        <v>-41395.21</v>
      </c>
      <c r="N144" s="8" t="n">
        <v>0</v>
      </c>
      <c r="O144" s="8" t="n">
        <v>0</v>
      </c>
    </row>
    <row r="145" ht="21" customHeight="1">
      <c r="A145" s="7" t="n">
        <v>2026</v>
      </c>
      <c r="B145" s="10" t="inlineStr">
        <is>
          <t>Ost</t>
        </is>
      </c>
      <c r="C145" s="7" t="n">
        <v>5</v>
      </c>
      <c r="D145" s="8" t="n">
        <v>0</v>
      </c>
      <c r="E145" s="8" t="n">
        <v>0</v>
      </c>
      <c r="F145" s="8" t="n">
        <v>377418.86</v>
      </c>
      <c r="G145" s="8" t="n">
        <v>-575443.5600000001</v>
      </c>
      <c r="H145" s="8" t="n">
        <v>371881.94</v>
      </c>
      <c r="I145" s="8" t="n">
        <v>-270035.63</v>
      </c>
      <c r="J145" s="8" t="n">
        <v>0</v>
      </c>
      <c r="K145" s="8" t="n">
        <v>107383.23</v>
      </c>
      <c r="L145" s="8" t="n">
        <v>5536.92</v>
      </c>
      <c r="M145" s="8" t="n">
        <v>-305407.93</v>
      </c>
      <c r="N145" s="8" t="n">
        <v>0</v>
      </c>
      <c r="O145" s="8" t="n">
        <v>5536.92</v>
      </c>
    </row>
    <row r="146" ht="21" customHeight="1">
      <c r="A146" s="7" t="n">
        <v>2026</v>
      </c>
      <c r="B146" s="10" t="inlineStr">
        <is>
          <t>Berlin</t>
        </is>
      </c>
      <c r="C146" s="7" t="n">
        <v>5</v>
      </c>
      <c r="D146" s="8" t="n">
        <v>0</v>
      </c>
      <c r="E146" s="8" t="n">
        <v>0</v>
      </c>
      <c r="F146" s="8" t="n">
        <v>49644.86</v>
      </c>
      <c r="G146" s="8" t="n">
        <v>-636932.9300000001</v>
      </c>
      <c r="H146" s="8" t="n">
        <v>60423.55</v>
      </c>
      <c r="I146" s="8" t="n">
        <v>-6565.29</v>
      </c>
      <c r="J146" s="8" t="n">
        <v>0</v>
      </c>
      <c r="K146" s="8" t="n">
        <v>43079.57</v>
      </c>
      <c r="L146" s="8" t="n">
        <v>-10778.69</v>
      </c>
      <c r="M146" s="8" t="n">
        <v>-630367.64</v>
      </c>
      <c r="N146" s="8" t="n">
        <v>0</v>
      </c>
      <c r="O146" s="8" t="n">
        <v>-10778.69</v>
      </c>
    </row>
    <row r="147" ht="21" customHeight="1">
      <c r="A147" s="7" t="n">
        <v>2026</v>
      </c>
      <c r="B147" s="10" t="inlineStr">
        <is>
          <t>Ost</t>
        </is>
      </c>
      <c r="C147" s="7" t="n">
        <v>4</v>
      </c>
      <c r="D147" s="8" t="n">
        <v>0</v>
      </c>
      <c r="E147" s="8" t="n">
        <v>0</v>
      </c>
      <c r="F147" s="8" t="n">
        <v>632669.73</v>
      </c>
      <c r="G147" s="8" t="n">
        <v>-1468479.97</v>
      </c>
      <c r="H147" s="8" t="n">
        <v>427146.01</v>
      </c>
      <c r="I147" s="8" t="n">
        <v>-477628.24</v>
      </c>
      <c r="J147" s="8" t="n">
        <v>0</v>
      </c>
      <c r="K147" s="8" t="n">
        <v>155041.49</v>
      </c>
      <c r="L147" s="8" t="n">
        <v>205523.72</v>
      </c>
      <c r="M147" s="8" t="n">
        <v>-990851.73</v>
      </c>
      <c r="N147" s="8" t="n">
        <v>0</v>
      </c>
      <c r="O147" s="8" t="n">
        <v>205523.72</v>
      </c>
    </row>
    <row r="148" ht="21" customHeight="1">
      <c r="A148" s="7" t="n">
        <v>2026</v>
      </c>
      <c r="B148" s="10" t="inlineStr">
        <is>
          <t>Berlin</t>
        </is>
      </c>
      <c r="C148" s="7" t="n">
        <v>4</v>
      </c>
      <c r="D148" s="8" t="n">
        <v>0</v>
      </c>
      <c r="E148" s="8" t="n">
        <v>0</v>
      </c>
      <c r="F148" s="8" t="n">
        <v>32483.42</v>
      </c>
      <c r="G148" s="8" t="n">
        <v>-604282.98</v>
      </c>
      <c r="H148" s="8" t="n">
        <v>-44067.99</v>
      </c>
      <c r="I148" s="8" t="n">
        <v>-46957.94</v>
      </c>
      <c r="J148" s="8" t="n">
        <v>0</v>
      </c>
      <c r="K148" s="8" t="n">
        <v>-14474.52</v>
      </c>
      <c r="L148" s="8" t="n">
        <v>76551.41</v>
      </c>
      <c r="M148" s="8" t="n">
        <v>-557325.04</v>
      </c>
      <c r="N148" s="8" t="n">
        <v>0</v>
      </c>
      <c r="O148" s="8" t="n">
        <v>76551.41</v>
      </c>
    </row>
    <row r="149" ht="21" customHeight="1">
      <c r="A149" s="7" t="n">
        <v>2026</v>
      </c>
      <c r="B149" s="10" t="inlineStr">
        <is>
          <t>West</t>
        </is>
      </c>
      <c r="C149" s="7" t="n">
        <v>5</v>
      </c>
      <c r="D149" s="8" t="n">
        <v>161602.1</v>
      </c>
      <c r="E149" s="8" t="n">
        <v>-251907.22</v>
      </c>
      <c r="F149" s="8" t="n">
        <v>680382.01</v>
      </c>
      <c r="G149" s="8" t="n">
        <v>-264668.95</v>
      </c>
      <c r="H149" s="8" t="n">
        <v>714986.63</v>
      </c>
      <c r="I149" s="8" t="n">
        <v>-233325.1</v>
      </c>
      <c r="J149" s="8" t="n">
        <v>-90305.12</v>
      </c>
      <c r="K149" s="8" t="n">
        <v>181199.85</v>
      </c>
      <c r="L149" s="8" t="n">
        <v>-34604.62</v>
      </c>
      <c r="M149" s="8" t="n">
        <v>-31343.85</v>
      </c>
      <c r="N149" s="8" t="n">
        <v>0</v>
      </c>
      <c r="O149" s="8" t="n">
        <v>-300461.68</v>
      </c>
    </row>
    <row r="150" ht="21" customHeight="1">
      <c r="A150" s="7" t="n">
        <v>2026</v>
      </c>
      <c r="B150" s="10" t="inlineStr">
        <is>
          <t>Verwaltung</t>
        </is>
      </c>
      <c r="C150" s="7" t="n">
        <v>5</v>
      </c>
      <c r="D150" s="8" t="n">
        <v>0</v>
      </c>
      <c r="E150" s="8" t="n">
        <v>0</v>
      </c>
      <c r="F150" s="8" t="n">
        <v>0</v>
      </c>
      <c r="G150" s="8" t="n">
        <v>-132358.3</v>
      </c>
      <c r="H150" s="8" t="n">
        <v>0</v>
      </c>
      <c r="I150" s="8" t="n">
        <v>-61259.01</v>
      </c>
      <c r="J150" s="8" t="n">
        <v>0</v>
      </c>
      <c r="K150" s="8" t="n">
        <v>-61259.01</v>
      </c>
      <c r="L150" s="8" t="n">
        <v>0</v>
      </c>
      <c r="M150" s="8" t="n">
        <v>-71099.28999999999</v>
      </c>
      <c r="N150" s="8" t="n">
        <v>0</v>
      </c>
      <c r="O150" s="8" t="n">
        <v>0</v>
      </c>
    </row>
    <row r="151" ht="21" customHeight="1">
      <c r="A151" s="7" t="n">
        <v>2026</v>
      </c>
      <c r="B151" s="10" t="inlineStr">
        <is>
          <t>Ost</t>
        </is>
      </c>
      <c r="C151" s="7" t="n">
        <v>3</v>
      </c>
      <c r="D151" s="8" t="n">
        <v>0</v>
      </c>
      <c r="E151" s="8" t="n">
        <v>0</v>
      </c>
      <c r="F151" s="8" t="n">
        <v>743097.28</v>
      </c>
      <c r="G151" s="8" t="n">
        <v>-703518.47</v>
      </c>
      <c r="H151" s="8" t="n">
        <v>622633.48</v>
      </c>
      <c r="I151" s="8" t="n">
        <v>-471348.57</v>
      </c>
      <c r="J151" s="8" t="n">
        <v>0</v>
      </c>
      <c r="K151" s="8" t="n">
        <v>271748.71</v>
      </c>
      <c r="L151" s="8" t="n">
        <v>120463.8</v>
      </c>
      <c r="M151" s="8" t="n">
        <v>-232169.9</v>
      </c>
      <c r="N151" s="8" t="n">
        <v>0</v>
      </c>
      <c r="O151" s="8" t="n">
        <v>120463.8</v>
      </c>
    </row>
    <row r="152" ht="21" customHeight="1">
      <c r="A152" s="7" t="n">
        <v>2026</v>
      </c>
      <c r="B152" s="10" t="inlineStr">
        <is>
          <t>Ost</t>
        </is>
      </c>
      <c r="C152" s="7" t="n">
        <v>2</v>
      </c>
      <c r="D152" s="8" t="n">
        <v>0</v>
      </c>
      <c r="E152" s="8" t="n">
        <v>0</v>
      </c>
      <c r="F152" s="8" t="n">
        <v>1004459.49</v>
      </c>
      <c r="G152" s="8" t="n">
        <v>-1222527.79</v>
      </c>
      <c r="H152" s="8" t="n">
        <v>2045847.88</v>
      </c>
      <c r="I152" s="8" t="n">
        <v>-534783.5600000001</v>
      </c>
      <c r="J152" s="8" t="n">
        <v>0</v>
      </c>
      <c r="K152" s="8" t="n">
        <v>469675.93</v>
      </c>
      <c r="L152" s="8" t="n">
        <v>-1041388.39</v>
      </c>
      <c r="M152" s="8" t="n">
        <v>-687744.23</v>
      </c>
      <c r="N152" s="8" t="n">
        <v>0</v>
      </c>
      <c r="O152" s="8" t="n">
        <v>-1041388.39</v>
      </c>
    </row>
    <row r="153" ht="21" customHeight="1">
      <c r="A153" s="7" t="n">
        <v>2026</v>
      </c>
      <c r="B153" s="10" t="inlineStr">
        <is>
          <t>West</t>
        </is>
      </c>
      <c r="C153" s="7" t="n">
        <v>4</v>
      </c>
      <c r="D153" s="8" t="n">
        <v>623473.42</v>
      </c>
      <c r="E153" s="8" t="n">
        <v>-768957.6</v>
      </c>
      <c r="F153" s="8" t="n">
        <v>1146276.26</v>
      </c>
      <c r="G153" s="8" t="n">
        <v>-989360.55</v>
      </c>
      <c r="H153" s="8" t="n">
        <v>146261.59</v>
      </c>
      <c r="I153" s="8" t="n">
        <v>-979755.63</v>
      </c>
      <c r="J153" s="8" t="n">
        <v>-145484.18</v>
      </c>
      <c r="K153" s="8" t="n">
        <v>166520.63</v>
      </c>
      <c r="L153" s="8" t="n">
        <v>1000014.67</v>
      </c>
      <c r="M153" s="8" t="n">
        <v>-9604.92</v>
      </c>
      <c r="N153" s="8" t="n">
        <v>0</v>
      </c>
      <c r="O153" s="8" t="n">
        <v>1000014.67</v>
      </c>
    </row>
    <row r="154" ht="21" customHeight="1">
      <c r="A154" s="7" t="n">
        <v>2026</v>
      </c>
      <c r="B154" s="10" t="inlineStr">
        <is>
          <t>Süd-West</t>
        </is>
      </c>
      <c r="C154" s="7" t="n">
        <v>4</v>
      </c>
      <c r="D154" s="8" t="n">
        <v>0</v>
      </c>
      <c r="E154" s="8" t="n">
        <v>0</v>
      </c>
      <c r="F154" s="8" t="n">
        <v>128134.06</v>
      </c>
      <c r="G154" s="8" t="n">
        <v>-1285566.03</v>
      </c>
      <c r="H154" s="8" t="n">
        <v>149003.97</v>
      </c>
      <c r="I154" s="8" t="n">
        <v>-108961.9</v>
      </c>
      <c r="J154" s="8" t="n">
        <v>0</v>
      </c>
      <c r="K154" s="8" t="n">
        <v>19172.16</v>
      </c>
      <c r="L154" s="8" t="n">
        <v>-20869.91</v>
      </c>
      <c r="M154" s="8" t="n">
        <v>-1176604.13</v>
      </c>
      <c r="N154" s="8" t="n">
        <v>0</v>
      </c>
      <c r="O154" s="8" t="n">
        <v>-20869.91</v>
      </c>
    </row>
    <row r="155" ht="21" customHeight="1">
      <c r="A155" s="7" t="n">
        <v>2026</v>
      </c>
      <c r="B155" s="10" t="inlineStr">
        <is>
          <t>West</t>
        </is>
      </c>
      <c r="C155" s="7" t="n">
        <v>8</v>
      </c>
      <c r="D155" s="8" t="n">
        <v>1330356.74</v>
      </c>
      <c r="E155" s="8" t="n">
        <v>-1135518.6</v>
      </c>
      <c r="F155" s="8" t="n">
        <v>0</v>
      </c>
      <c r="G155" s="8" t="n">
        <v>-74626.17</v>
      </c>
      <c r="H155" s="8" t="n">
        <v>238122.69</v>
      </c>
      <c r="I155" s="8" t="n">
        <v>-757203.62</v>
      </c>
      <c r="J155" s="8" t="n">
        <v>194838.14</v>
      </c>
      <c r="K155" s="8" t="n">
        <v>290001.74</v>
      </c>
      <c r="L155" s="8" t="n">
        <v>-238122.69</v>
      </c>
      <c r="M155" s="8" t="n">
        <v>682577.45</v>
      </c>
      <c r="N155" s="8" t="n">
        <v>0</v>
      </c>
      <c r="O155" s="8" t="n">
        <v>809082.67</v>
      </c>
    </row>
    <row r="156" ht="21" customHeight="1">
      <c r="A156" s="7" t="n">
        <v>2026</v>
      </c>
      <c r="B156" s="10" t="inlineStr">
        <is>
          <t>Berlin</t>
        </is>
      </c>
      <c r="C156" s="7" t="n">
        <v>2</v>
      </c>
      <c r="D156" s="8" t="n">
        <v>0</v>
      </c>
      <c r="E156" s="8" t="n">
        <v>0</v>
      </c>
      <c r="F156" s="8" t="n">
        <v>29347.46</v>
      </c>
      <c r="G156" s="8" t="n">
        <v>-108823.13</v>
      </c>
      <c r="H156" s="8" t="n">
        <v>-17209.95</v>
      </c>
      <c r="I156" s="8" t="n">
        <v>-26575.07</v>
      </c>
      <c r="J156" s="8" t="n">
        <v>0</v>
      </c>
      <c r="K156" s="8" t="n">
        <v>2772.39</v>
      </c>
      <c r="L156" s="8" t="n">
        <v>46557.41</v>
      </c>
      <c r="M156" s="8" t="n">
        <v>-82248.06</v>
      </c>
      <c r="N156" s="8" t="n">
        <v>0</v>
      </c>
      <c r="O156" s="8" t="n">
        <v>46557.41</v>
      </c>
    </row>
    <row r="157" ht="21" customHeight="1">
      <c r="A157" s="7" t="n">
        <v>2026</v>
      </c>
      <c r="B157" s="10" t="inlineStr">
        <is>
          <t>Süd-West</t>
        </is>
      </c>
      <c r="C157" s="7" t="n">
        <v>8</v>
      </c>
      <c r="D157" s="8" t="n">
        <v>487000</v>
      </c>
      <c r="E157" s="8" t="n">
        <v>-135890</v>
      </c>
      <c r="F157" s="8" t="n">
        <v>0</v>
      </c>
      <c r="G157" s="8" t="n">
        <v>10000</v>
      </c>
      <c r="H157" s="8" t="n">
        <v>182167.04</v>
      </c>
      <c r="I157" s="8" t="n">
        <v>-343123.53</v>
      </c>
      <c r="J157" s="8" t="n">
        <v>351110</v>
      </c>
      <c r="K157" s="8" t="n">
        <v>-54579.91</v>
      </c>
      <c r="L157" s="8" t="n">
        <v>-182167.04</v>
      </c>
      <c r="M157" s="8" t="n">
        <v>353123.53</v>
      </c>
      <c r="N157" s="8" t="n">
        <v>0</v>
      </c>
      <c r="O157" s="8" t="n">
        <v>106376.58</v>
      </c>
    </row>
    <row r="158" ht="21" customHeight="1">
      <c r="A158" s="7" t="n">
        <v>2026</v>
      </c>
      <c r="B158" s="10" t="inlineStr">
        <is>
          <t>West</t>
        </is>
      </c>
      <c r="C158" s="7" t="n">
        <v>1</v>
      </c>
      <c r="D158" s="8" t="n">
        <v>306531.65</v>
      </c>
      <c r="E158" s="8" t="n">
        <v>-305162.71</v>
      </c>
      <c r="F158" s="8" t="n">
        <v>1346028.83</v>
      </c>
      <c r="G158" s="8" t="n">
        <v>-578690.95</v>
      </c>
      <c r="H158" s="8" t="n">
        <v>313216.91</v>
      </c>
      <c r="I158" s="8" t="n">
        <v>-574040.73</v>
      </c>
      <c r="J158" s="8" t="n">
        <v>1368.94</v>
      </c>
      <c r="K158" s="8" t="n">
        <v>468121.78</v>
      </c>
      <c r="L158" s="8" t="n">
        <v>1032811.92</v>
      </c>
      <c r="M158" s="8" t="n">
        <v>-4650.22</v>
      </c>
      <c r="N158" s="8" t="n">
        <v>0</v>
      </c>
      <c r="O158" s="8" t="n">
        <v>728945.6</v>
      </c>
    </row>
    <row r="159" ht="21" customHeight="1">
      <c r="A159" s="7" t="n">
        <v>2026</v>
      </c>
      <c r="B159" s="10" t="inlineStr">
        <is>
          <t>Verwaltung</t>
        </is>
      </c>
      <c r="C159" s="7" t="n">
        <v>2</v>
      </c>
      <c r="D159" s="8" t="n">
        <v>0</v>
      </c>
      <c r="E159" s="8" t="n">
        <v>0</v>
      </c>
      <c r="F159" s="8" t="n">
        <v>0</v>
      </c>
      <c r="G159" s="8" t="n">
        <v>-128276.82</v>
      </c>
      <c r="H159" s="8" t="n">
        <v>0</v>
      </c>
      <c r="I159" s="8" t="n">
        <v>-51739.58</v>
      </c>
      <c r="J159" s="8" t="n">
        <v>0</v>
      </c>
      <c r="K159" s="8" t="n">
        <v>-51739.58</v>
      </c>
      <c r="L159" s="8" t="n">
        <v>0</v>
      </c>
      <c r="M159" s="8" t="n">
        <v>-76537.24000000001</v>
      </c>
      <c r="N159" s="8" t="n">
        <v>0</v>
      </c>
      <c r="O159" s="8" t="n">
        <v>0</v>
      </c>
    </row>
    <row r="160" ht="21" customHeight="1">
      <c r="A160" s="7" t="n">
        <v>2026</v>
      </c>
      <c r="B160" s="10" t="inlineStr">
        <is>
          <t>Berlin</t>
        </is>
      </c>
      <c r="C160" s="7" t="n">
        <v>8</v>
      </c>
      <c r="D160" s="8" t="n">
        <v>202103.77</v>
      </c>
      <c r="E160" s="8" t="n">
        <v>-189070.58</v>
      </c>
      <c r="F160" s="8" t="n">
        <v>0</v>
      </c>
      <c r="G160" s="8" t="n">
        <v>0</v>
      </c>
      <c r="H160" s="8" t="n">
        <v>63000</v>
      </c>
      <c r="I160" s="8" t="n">
        <v>-78664.89999999999</v>
      </c>
      <c r="J160" s="8" t="n">
        <v>13033.19</v>
      </c>
      <c r="K160" s="8" t="n">
        <v>-2694.94</v>
      </c>
      <c r="L160" s="8" t="n">
        <v>-63000</v>
      </c>
      <c r="M160" s="8" t="n">
        <v>78664.89999999999</v>
      </c>
      <c r="N160" s="8" t="n">
        <v>0</v>
      </c>
      <c r="O160" s="8" t="n">
        <v>12969.96</v>
      </c>
    </row>
    <row r="161" ht="21" customHeight="1">
      <c r="A161" s="7" t="n">
        <v>2026</v>
      </c>
      <c r="B161" s="10" t="inlineStr">
        <is>
          <t>Süd-West</t>
        </is>
      </c>
      <c r="C161" s="7" t="n">
        <v>1</v>
      </c>
      <c r="D161" s="8" t="n">
        <v>0</v>
      </c>
      <c r="E161" s="8" t="n">
        <v>0</v>
      </c>
      <c r="F161" s="8" t="n">
        <v>425326.69</v>
      </c>
      <c r="G161" s="8" t="n">
        <v>-352188.5</v>
      </c>
      <c r="H161" s="8" t="n">
        <v>310525.48</v>
      </c>
      <c r="I161" s="8" t="n">
        <v>-215359.19</v>
      </c>
      <c r="J161" s="8" t="n">
        <v>0</v>
      </c>
      <c r="K161" s="8" t="n">
        <v>209967.5</v>
      </c>
      <c r="L161" s="8" t="n">
        <v>114801.21</v>
      </c>
      <c r="M161" s="8" t="n">
        <v>-136829.31</v>
      </c>
      <c r="N161" s="8" t="n">
        <v>0</v>
      </c>
      <c r="O161" s="8" t="n">
        <v>114801.21</v>
      </c>
    </row>
    <row r="162" ht="21" customHeight="1">
      <c r="A162" s="7" t="n">
        <v>2026</v>
      </c>
      <c r="B162" s="10" t="inlineStr">
        <is>
          <t>Süd-West</t>
        </is>
      </c>
      <c r="C162" s="7" t="n">
        <v>5</v>
      </c>
      <c r="D162" s="8" t="n">
        <v>0</v>
      </c>
      <c r="E162" s="8" t="n">
        <v>0</v>
      </c>
      <c r="F162" s="8" t="n">
        <v>246565.12</v>
      </c>
      <c r="G162" s="8" t="n">
        <v>-1355985.03</v>
      </c>
      <c r="H162" s="8" t="n">
        <v>204465.76</v>
      </c>
      <c r="I162" s="8" t="n">
        <v>-171156.26</v>
      </c>
      <c r="J162" s="8" t="n">
        <v>0</v>
      </c>
      <c r="K162" s="8" t="n">
        <v>75408.86</v>
      </c>
      <c r="L162" s="8" t="n">
        <v>42099.36</v>
      </c>
      <c r="M162" s="8" t="n">
        <v>-1184828.77</v>
      </c>
      <c r="N162" s="8" t="n">
        <v>0</v>
      </c>
      <c r="O162" s="8" t="n">
        <v>42099.36</v>
      </c>
    </row>
    <row r="163" ht="21" customHeight="1">
      <c r="A163" s="7" t="n">
        <v>2026</v>
      </c>
      <c r="B163" s="10" t="inlineStr">
        <is>
          <t>Süd-West</t>
        </is>
      </c>
      <c r="C163" s="7" t="n">
        <v>2</v>
      </c>
      <c r="D163" s="8" t="n">
        <v>0</v>
      </c>
      <c r="E163" s="8" t="n">
        <v>0</v>
      </c>
      <c r="F163" s="8" t="n">
        <v>340104.76</v>
      </c>
      <c r="G163" s="8" t="n">
        <v>-639222.7</v>
      </c>
      <c r="H163" s="8" t="n">
        <v>344612.93</v>
      </c>
      <c r="I163" s="8" t="n">
        <v>-325435.79</v>
      </c>
      <c r="J163" s="8" t="n">
        <v>0</v>
      </c>
      <c r="K163" s="8" t="n">
        <v>14668.97</v>
      </c>
      <c r="L163" s="8" t="n">
        <v>-4508.17</v>
      </c>
      <c r="M163" s="8" t="n">
        <v>-313786.91</v>
      </c>
      <c r="N163" s="8" t="n">
        <v>0</v>
      </c>
      <c r="O163" s="8" t="n">
        <v>-4508.17</v>
      </c>
    </row>
    <row r="164" ht="21" customHeight="1">
      <c r="A164" s="7" t="n">
        <v>2026</v>
      </c>
      <c r="B164" s="10" t="inlineStr">
        <is>
          <t>Verwaltung</t>
        </is>
      </c>
      <c r="C164" s="7" t="n">
        <v>3</v>
      </c>
      <c r="D164" s="8" t="n">
        <v>0</v>
      </c>
      <c r="E164" s="8" t="n">
        <v>0</v>
      </c>
      <c r="F164" s="8" t="n">
        <v>0</v>
      </c>
      <c r="G164" s="8" t="n">
        <v>-153549.58</v>
      </c>
      <c r="H164" s="8" t="n">
        <v>0</v>
      </c>
      <c r="I164" s="8" t="n">
        <v>-79970.53999999999</v>
      </c>
      <c r="J164" s="8" t="n">
        <v>0</v>
      </c>
      <c r="K164" s="8" t="n">
        <v>-79970.53999999999</v>
      </c>
      <c r="L164" s="8" t="n">
        <v>0</v>
      </c>
      <c r="M164" s="8" t="n">
        <v>-73579.03999999999</v>
      </c>
      <c r="N164" s="8" t="n">
        <v>0</v>
      </c>
      <c r="O164" s="8" t="n">
        <v>0</v>
      </c>
    </row>
    <row r="165" ht="21" customHeight="1">
      <c r="A165" s="7" t="n">
        <v>2026</v>
      </c>
      <c r="B165" s="10" t="inlineStr">
        <is>
          <t>Verwaltung</t>
        </is>
      </c>
      <c r="C165" s="7" t="n">
        <v>8</v>
      </c>
      <c r="D165" s="8" t="n">
        <v>0</v>
      </c>
      <c r="E165" s="8" t="n">
        <v>0</v>
      </c>
      <c r="F165" s="8" t="n">
        <v>0</v>
      </c>
      <c r="G165" s="8" t="n">
        <v>0</v>
      </c>
      <c r="H165" s="8" t="n">
        <v>0</v>
      </c>
      <c r="I165" s="8" t="n">
        <v>-59143.57</v>
      </c>
      <c r="J165" s="8" t="n">
        <v>0</v>
      </c>
      <c r="K165" s="8" t="n">
        <v>-59143.57</v>
      </c>
      <c r="L165" s="8" t="n">
        <v>0</v>
      </c>
      <c r="M165" s="8" t="n">
        <v>59143.57</v>
      </c>
      <c r="N165" s="8" t="n">
        <v>0</v>
      </c>
      <c r="O165" s="8" t="n">
        <v>0</v>
      </c>
    </row>
    <row r="166" ht="21" customHeight="1">
      <c r="A166" s="7" t="n">
        <v>2026</v>
      </c>
      <c r="B166" s="10" t="inlineStr">
        <is>
          <t>Ost</t>
        </is>
      </c>
      <c r="C166" s="7" t="n">
        <v>11</v>
      </c>
      <c r="D166" s="8" t="n">
        <v>600000</v>
      </c>
      <c r="E166" s="8" t="n">
        <v>-145000</v>
      </c>
      <c r="F166" s="8" t="n">
        <v>0</v>
      </c>
      <c r="G166" s="8" t="n">
        <v>0</v>
      </c>
      <c r="H166" s="8" t="n">
        <v>0</v>
      </c>
      <c r="I166" s="8" t="n">
        <v>0</v>
      </c>
      <c r="J166" s="8" t="n">
        <v>455000</v>
      </c>
      <c r="K166" s="8" t="n">
        <v>0</v>
      </c>
      <c r="L166" s="8" t="n">
        <v>0</v>
      </c>
      <c r="M166" s="8" t="n">
        <v>0</v>
      </c>
      <c r="N166" s="8" t="n">
        <v>0</v>
      </c>
      <c r="O166" s="8" t="n">
        <v>0</v>
      </c>
    </row>
    <row r="167" ht="21" customHeight="1">
      <c r="A167" s="7" t="n">
        <v>2026</v>
      </c>
      <c r="B167" s="10" t="inlineStr">
        <is>
          <t>Verwaltung</t>
        </is>
      </c>
      <c r="C167" s="7" t="n">
        <v>11</v>
      </c>
      <c r="D167" s="8" t="n">
        <v>0</v>
      </c>
      <c r="E167" s="8" t="n">
        <v>-57700</v>
      </c>
      <c r="F167" s="8" t="n">
        <v>0</v>
      </c>
      <c r="G167" s="8" t="n">
        <v>0</v>
      </c>
      <c r="H167" s="8" t="n">
        <v>0</v>
      </c>
      <c r="I167" s="8" t="n">
        <v>0</v>
      </c>
      <c r="J167" s="8" t="n">
        <v>-57700</v>
      </c>
      <c r="K167" s="8" t="n">
        <v>0</v>
      </c>
      <c r="L167" s="8" t="n">
        <v>0</v>
      </c>
      <c r="M167" s="8" t="n">
        <v>0</v>
      </c>
      <c r="N167" s="8" t="n">
        <v>0</v>
      </c>
      <c r="O167" s="8" t="n">
        <v>0</v>
      </c>
    </row>
    <row r="168" ht="21" customHeight="1">
      <c r="A168" s="7" t="n">
        <v>2026</v>
      </c>
      <c r="B168" s="10" t="inlineStr">
        <is>
          <t>Ost</t>
        </is>
      </c>
      <c r="C168" s="7" t="n">
        <v>10</v>
      </c>
      <c r="D168" s="8" t="n">
        <v>290000</v>
      </c>
      <c r="E168" s="8" t="n">
        <v>-155000</v>
      </c>
      <c r="F168" s="8" t="n">
        <v>0</v>
      </c>
      <c r="G168" s="8" t="n">
        <v>0</v>
      </c>
      <c r="H168" s="8" t="n">
        <v>0</v>
      </c>
      <c r="I168" s="8" t="n">
        <v>0</v>
      </c>
      <c r="J168" s="8" t="n">
        <v>135000</v>
      </c>
      <c r="K168" s="8" t="n">
        <v>0</v>
      </c>
      <c r="L168" s="8" t="n">
        <v>0</v>
      </c>
      <c r="M168" s="8" t="n">
        <v>0</v>
      </c>
      <c r="N168" s="8" t="n">
        <v>0</v>
      </c>
      <c r="O168" s="8" t="n">
        <v>0</v>
      </c>
    </row>
    <row r="169" ht="21" customHeight="1">
      <c r="A169" s="7" t="n">
        <v>2026</v>
      </c>
      <c r="B169" s="10" t="inlineStr">
        <is>
          <t>Verwaltung</t>
        </is>
      </c>
      <c r="C169" s="7" t="n">
        <v>10</v>
      </c>
      <c r="D169" s="8" t="n">
        <v>0</v>
      </c>
      <c r="E169" s="8" t="n">
        <v>-57850</v>
      </c>
      <c r="F169" s="8" t="n">
        <v>0</v>
      </c>
      <c r="G169" s="8" t="n">
        <v>0</v>
      </c>
      <c r="H169" s="8" t="n">
        <v>0</v>
      </c>
      <c r="I169" s="8" t="n">
        <v>0</v>
      </c>
      <c r="J169" s="8" t="n">
        <v>-57850</v>
      </c>
      <c r="K169" s="8" t="n">
        <v>0</v>
      </c>
      <c r="L169" s="8" t="n">
        <v>0</v>
      </c>
      <c r="M169" s="8" t="n">
        <v>0</v>
      </c>
      <c r="N169" s="8" t="n">
        <v>0</v>
      </c>
      <c r="O169" s="8" t="n">
        <v>0</v>
      </c>
    </row>
    <row r="170" ht="21" customHeight="1">
      <c r="A170" s="7" t="n">
        <v>2026</v>
      </c>
      <c r="B170" s="10" t="inlineStr">
        <is>
          <t>Verwaltung</t>
        </is>
      </c>
      <c r="C170" s="7" t="n">
        <v>12</v>
      </c>
      <c r="D170" s="8" t="n">
        <v>0</v>
      </c>
      <c r="E170" s="8" t="n">
        <v>-57950</v>
      </c>
      <c r="F170" s="8" t="n">
        <v>0</v>
      </c>
      <c r="G170" s="8" t="n">
        <v>0</v>
      </c>
      <c r="H170" s="8" t="n">
        <v>0</v>
      </c>
      <c r="I170" s="8" t="n">
        <v>0</v>
      </c>
      <c r="J170" s="8" t="n">
        <v>-57950</v>
      </c>
      <c r="K170" s="8" t="n">
        <v>0</v>
      </c>
      <c r="L170" s="8" t="n">
        <v>0</v>
      </c>
      <c r="M170" s="8" t="n">
        <v>0</v>
      </c>
      <c r="N170" s="8" t="n">
        <v>0</v>
      </c>
      <c r="O170" s="8" t="n">
        <v>0</v>
      </c>
    </row>
    <row r="171" ht="21" customHeight="1">
      <c r="A171" s="7" t="n">
        <v>2026</v>
      </c>
      <c r="B171" s="10" t="inlineStr">
        <is>
          <t>Süd-West</t>
        </is>
      </c>
      <c r="C171" s="7" t="n">
        <v>11</v>
      </c>
      <c r="D171" s="8" t="n">
        <v>333000</v>
      </c>
      <c r="E171" s="8" t="n">
        <v>-299650</v>
      </c>
      <c r="F171" s="8" t="n">
        <v>0</v>
      </c>
      <c r="G171" s="8" t="n">
        <v>10000</v>
      </c>
      <c r="H171" s="8" t="n">
        <v>0</v>
      </c>
      <c r="I171" s="8" t="n">
        <v>0</v>
      </c>
      <c r="J171" s="8" t="n">
        <v>33350</v>
      </c>
      <c r="K171" s="8" t="n">
        <v>0</v>
      </c>
      <c r="L171" s="8" t="n">
        <v>0</v>
      </c>
      <c r="M171" s="8" t="n">
        <v>10000</v>
      </c>
      <c r="N171" s="8" t="n">
        <v>0</v>
      </c>
      <c r="O171" s="8" t="n">
        <v>0</v>
      </c>
    </row>
    <row r="172" ht="21" customHeight="1">
      <c r="A172" s="7" t="n">
        <v>2026</v>
      </c>
      <c r="B172" s="10" t="inlineStr">
        <is>
          <t>Süd-West</t>
        </is>
      </c>
      <c r="C172" s="7" t="n">
        <v>12</v>
      </c>
      <c r="D172" s="8" t="n">
        <v>473000</v>
      </c>
      <c r="E172" s="8" t="n">
        <v>-412897</v>
      </c>
      <c r="F172" s="8" t="n">
        <v>0</v>
      </c>
      <c r="G172" s="8" t="n">
        <v>0</v>
      </c>
      <c r="H172" s="8" t="n">
        <v>0</v>
      </c>
      <c r="I172" s="8" t="n">
        <v>0</v>
      </c>
      <c r="J172" s="8" t="n">
        <v>60103</v>
      </c>
      <c r="K172" s="8" t="n">
        <v>0</v>
      </c>
      <c r="L172" s="8" t="n">
        <v>0</v>
      </c>
      <c r="M172" s="8" t="n">
        <v>0</v>
      </c>
      <c r="N172" s="8" t="n">
        <v>0</v>
      </c>
      <c r="O172" s="8" t="n">
        <v>0</v>
      </c>
    </row>
    <row r="173" ht="21" customHeight="1">
      <c r="A173" s="7" t="n">
        <v>2026</v>
      </c>
      <c r="B173" s="10" t="inlineStr">
        <is>
          <t>Süd-West</t>
        </is>
      </c>
      <c r="C173" s="7" t="n">
        <v>10</v>
      </c>
      <c r="D173" s="8" t="n">
        <v>520000</v>
      </c>
      <c r="E173" s="8" t="n">
        <v>-387900</v>
      </c>
      <c r="F173" s="8" t="n">
        <v>0</v>
      </c>
      <c r="G173" s="8" t="n">
        <v>10000</v>
      </c>
      <c r="H173" s="8" t="n">
        <v>0</v>
      </c>
      <c r="I173" s="8" t="n">
        <v>0</v>
      </c>
      <c r="J173" s="8" t="n">
        <v>132100</v>
      </c>
      <c r="K173" s="8" t="n">
        <v>0</v>
      </c>
      <c r="L173" s="8" t="n">
        <v>0</v>
      </c>
      <c r="M173" s="8" t="n">
        <v>10000</v>
      </c>
      <c r="N173" s="8" t="n">
        <v>0</v>
      </c>
      <c r="O173" s="8" t="n">
        <v>0</v>
      </c>
    </row>
    <row r="174" ht="21" customHeight="1">
      <c r="A174" s="7" t="n">
        <v>2026</v>
      </c>
      <c r="B174" s="10" t="inlineStr">
        <is>
          <t>West</t>
        </is>
      </c>
      <c r="C174" s="7" t="n">
        <v>12</v>
      </c>
      <c r="D174" s="8" t="n">
        <v>600000</v>
      </c>
      <c r="E174" s="8" t="n">
        <v>-576000</v>
      </c>
      <c r="F174" s="8" t="n">
        <v>0</v>
      </c>
      <c r="G174" s="8" t="n">
        <v>0</v>
      </c>
      <c r="H174" s="8" t="n">
        <v>0</v>
      </c>
      <c r="I174" s="8" t="n">
        <v>0</v>
      </c>
      <c r="J174" s="8" t="n">
        <v>24000</v>
      </c>
      <c r="K174" s="8" t="n">
        <v>0</v>
      </c>
      <c r="L174" s="8" t="n">
        <v>0</v>
      </c>
      <c r="M174" s="8" t="n">
        <v>0</v>
      </c>
      <c r="N174" s="8" t="n">
        <v>0</v>
      </c>
      <c r="O174" s="8" t="n">
        <v>0</v>
      </c>
    </row>
    <row r="175" ht="21" customHeight="1">
      <c r="A175" s="7" t="n">
        <v>2026</v>
      </c>
      <c r="B175" s="10" t="inlineStr">
        <is>
          <t>West</t>
        </is>
      </c>
      <c r="C175" s="7" t="n">
        <v>10</v>
      </c>
      <c r="D175" s="8" t="n">
        <v>523000</v>
      </c>
      <c r="E175" s="8" t="n">
        <v>-471000</v>
      </c>
      <c r="F175" s="8" t="n">
        <v>0</v>
      </c>
      <c r="G175" s="8" t="n">
        <v>0</v>
      </c>
      <c r="H175" s="8" t="n">
        <v>0</v>
      </c>
      <c r="I175" s="8" t="n">
        <v>0</v>
      </c>
      <c r="J175" s="8" t="n">
        <v>52000</v>
      </c>
      <c r="K175" s="8" t="n">
        <v>0</v>
      </c>
      <c r="L175" s="8" t="n">
        <v>0</v>
      </c>
      <c r="M175" s="8" t="n">
        <v>0</v>
      </c>
      <c r="N175" s="8" t="n">
        <v>0</v>
      </c>
      <c r="O175" s="8" t="n">
        <v>0</v>
      </c>
    </row>
    <row r="176" ht="21" customHeight="1">
      <c r="A176" s="7" t="n">
        <v>2026</v>
      </c>
      <c r="B176" s="10" t="inlineStr">
        <is>
          <t>West</t>
        </is>
      </c>
      <c r="C176" s="7" t="n">
        <v>11</v>
      </c>
      <c r="D176" s="8" t="n">
        <v>842000</v>
      </c>
      <c r="E176" s="8" t="n">
        <v>-756000</v>
      </c>
      <c r="F176" s="8" t="n">
        <v>0</v>
      </c>
      <c r="G176" s="8" t="n">
        <v>0</v>
      </c>
      <c r="H176" s="8" t="n">
        <v>0</v>
      </c>
      <c r="I176" s="8" t="n">
        <v>0</v>
      </c>
      <c r="J176" s="8" t="n">
        <v>86000</v>
      </c>
      <c r="K176" s="8" t="n">
        <v>0</v>
      </c>
      <c r="L176" s="8" t="n">
        <v>0</v>
      </c>
      <c r="M176" s="8" t="n">
        <v>0</v>
      </c>
      <c r="N176" s="8" t="n">
        <v>0</v>
      </c>
      <c r="O176" s="8" t="n">
        <v>0</v>
      </c>
    </row>
    <row r="180" ht="24" customHeight="1">
      <c r="A180" s="58" t="inlineStr">
        <is>
          <t>v_plan_ist_monat</t>
        </is>
      </c>
    </row>
    <row r="181" ht="36" customHeight="1">
      <c r="A181" s="3" t="inlineStr">
        <is>
          <t>jahr</t>
        </is>
      </c>
      <c r="B181" s="3" t="inlineStr">
        <is>
          <t>monat</t>
        </is>
      </c>
      <c r="C181" s="3" t="inlineStr">
        <is>
          <t>art</t>
        </is>
      </c>
      <c r="D181" s="3" t="inlineStr">
        <is>
          <t>gl_plan</t>
        </is>
      </c>
      <c r="E181" s="3" t="inlineStr">
        <is>
          <t>gl_ist</t>
        </is>
      </c>
      <c r="F181" s="3" t="inlineStr">
        <is>
          <t>gl_delta</t>
        </is>
      </c>
      <c r="G181" s="3" t="inlineStr">
        <is>
          <t>ebitda_plan</t>
        </is>
      </c>
      <c r="H181" s="3" t="inlineStr">
        <is>
          <t>ebitda_ist</t>
        </is>
      </c>
      <c r="I181" s="3" t="inlineStr">
        <is>
          <t>ebitda_delta</t>
        </is>
      </c>
    </row>
    <row r="182" ht="21" customHeight="1">
      <c r="A182" s="7" t="n">
        <v>2026</v>
      </c>
      <c r="B182" s="7" t="n">
        <v>1</v>
      </c>
      <c r="C182" s="10" t="inlineStr">
        <is>
          <t>IST</t>
        </is>
      </c>
      <c r="D182" s="8" t="n">
        <v>1416000</v>
      </c>
      <c r="E182" s="8" t="n">
        <v>1920412.71</v>
      </c>
      <c r="F182" s="8" t="n">
        <v>504412.71</v>
      </c>
      <c r="G182" s="8" t="n">
        <v>76000</v>
      </c>
      <c r="H182" s="8" t="n">
        <v>294942.37</v>
      </c>
      <c r="I182" s="8" t="n">
        <v>218942.37</v>
      </c>
    </row>
    <row r="183" ht="21" customHeight="1">
      <c r="A183" s="7" t="n">
        <v>2026</v>
      </c>
      <c r="B183" s="7" t="n">
        <v>2</v>
      </c>
      <c r="C183" s="10" t="inlineStr">
        <is>
          <t>IST</t>
        </is>
      </c>
      <c r="D183" s="8" t="n">
        <v>1348000</v>
      </c>
      <c r="E183" s="8" t="n">
        <v>2577067.73</v>
      </c>
      <c r="F183" s="8" t="n">
        <v>1229067.73</v>
      </c>
      <c r="G183" s="8" t="n">
        <v>25000</v>
      </c>
      <c r="H183" s="8" t="n">
        <v>318570.76</v>
      </c>
      <c r="I183" s="8" t="n">
        <v>293570.76</v>
      </c>
    </row>
    <row r="184" ht="21" customHeight="1">
      <c r="A184" s="7" t="n">
        <v>2026</v>
      </c>
      <c r="B184" s="7" t="n">
        <v>3</v>
      </c>
      <c r="C184" s="10" t="inlineStr">
        <is>
          <t>IST</t>
        </is>
      </c>
      <c r="D184" s="8" t="n">
        <v>1483000</v>
      </c>
      <c r="E184" s="8" t="n">
        <v>2412212.87</v>
      </c>
      <c r="F184" s="8" t="n">
        <v>929212.87</v>
      </c>
      <c r="G184" s="8" t="n">
        <v>127000</v>
      </c>
      <c r="H184" s="8" t="n">
        <v>23595.18</v>
      </c>
      <c r="I184" s="8" t="n">
        <v>-103404.82</v>
      </c>
    </row>
    <row r="185" ht="21" customHeight="1">
      <c r="A185" s="7" t="n">
        <v>2026</v>
      </c>
      <c r="B185" s="7" t="n">
        <v>4</v>
      </c>
      <c r="C185" s="10" t="inlineStr">
        <is>
          <t>IST</t>
        </is>
      </c>
      <c r="D185" s="8" t="n">
        <v>1348000</v>
      </c>
      <c r="E185" s="8" t="n">
        <v>1939563.48</v>
      </c>
      <c r="F185" s="8" t="n">
        <v>591563.48</v>
      </c>
      <c r="G185" s="8" t="n">
        <v>24000</v>
      </c>
      <c r="H185" s="8" t="n">
        <v>-179274.07</v>
      </c>
      <c r="I185" s="8" t="n">
        <v>-203274.07</v>
      </c>
    </row>
    <row r="186" ht="21" customHeight="1">
      <c r="A186" s="7" t="n">
        <v>2026</v>
      </c>
      <c r="B186" s="7" t="n">
        <v>5</v>
      </c>
      <c r="C186" s="10" t="inlineStr">
        <is>
          <t>IST</t>
        </is>
      </c>
      <c r="D186" s="8" t="n">
        <v>1213000</v>
      </c>
      <c r="E186" s="8" t="n">
        <v>1083981.39</v>
      </c>
      <c r="F186" s="8" t="n">
        <v>-129018.61</v>
      </c>
      <c r="G186" s="8" t="n">
        <v>-79000</v>
      </c>
      <c r="H186" s="8" t="n">
        <v>-141241.9</v>
      </c>
      <c r="I186" s="8" t="n">
        <v>-62241.9</v>
      </c>
    </row>
    <row r="187" ht="21" customHeight="1">
      <c r="A187" s="7" t="n">
        <v>2026</v>
      </c>
      <c r="B187" s="7" t="n">
        <v>6</v>
      </c>
      <c r="C187" s="10" t="inlineStr">
        <is>
          <t>IST</t>
        </is>
      </c>
      <c r="D187" s="8" t="n">
        <v>1483000</v>
      </c>
      <c r="E187" s="8" t="n">
        <v>2784687.33</v>
      </c>
      <c r="F187" s="8" t="n">
        <v>1301687.33</v>
      </c>
      <c r="G187" s="8" t="n">
        <v>126000</v>
      </c>
      <c r="H187" s="8" t="n">
        <v>58553.86</v>
      </c>
      <c r="I187" s="8" t="n">
        <v>-67446.14</v>
      </c>
    </row>
    <row r="188" ht="21" customHeight="1">
      <c r="A188" s="7" t="n">
        <v>2026</v>
      </c>
      <c r="B188" s="7" t="n">
        <v>7</v>
      </c>
      <c r="C188" s="10" t="inlineStr">
        <is>
          <t>IST</t>
        </is>
      </c>
      <c r="D188" s="8" t="n">
        <v>1551000</v>
      </c>
      <c r="E188" s="8" t="n">
        <v>1618644.66</v>
      </c>
      <c r="F188" s="8" t="n">
        <v>67644.66</v>
      </c>
      <c r="G188" s="8" t="n">
        <v>178000</v>
      </c>
      <c r="H188" s="8" t="n">
        <v>-495291.54</v>
      </c>
      <c r="I188" s="8" t="n">
        <v>-673291.54</v>
      </c>
    </row>
    <row r="189" ht="21" customHeight="1">
      <c r="A189" s="7" t="n">
        <v>2026</v>
      </c>
      <c r="B189" s="7" t="n">
        <v>8</v>
      </c>
      <c r="C189" s="10" t="inlineStr">
        <is>
          <t>IST</t>
        </is>
      </c>
      <c r="D189" s="8" t="n">
        <v>1416000</v>
      </c>
      <c r="E189" s="8" t="n">
        <v>1876864.98</v>
      </c>
      <c r="F189" s="8" t="n">
        <v>460864.98</v>
      </c>
      <c r="G189" s="8" t="n">
        <v>76000</v>
      </c>
      <c r="H189" s="8" t="n">
        <v>-138242.37</v>
      </c>
      <c r="I189" s="8" t="n">
        <v>-214242.37</v>
      </c>
    </row>
    <row r="190" ht="21" customHeight="1">
      <c r="A190" s="7" t="n">
        <v>2026</v>
      </c>
      <c r="B190" s="7" t="n">
        <v>9</v>
      </c>
      <c r="C190" s="10" t="inlineStr">
        <is>
          <t>FC</t>
        </is>
      </c>
      <c r="D190" s="8" t="n">
        <v>1483000</v>
      </c>
      <c r="E190" s="8" t="n">
        <v>2604944</v>
      </c>
      <c r="F190" s="8" t="n">
        <v>1121944</v>
      </c>
      <c r="G190" s="8" t="n">
        <v>125000</v>
      </c>
      <c r="H190" s="8" t="n">
        <v>309886</v>
      </c>
      <c r="I190" s="8" t="n">
        <v>184886</v>
      </c>
    </row>
    <row r="191" ht="21" customHeight="1">
      <c r="A191" s="7" t="n">
        <v>2026</v>
      </c>
      <c r="B191" s="7" t="n">
        <v>10</v>
      </c>
      <c r="C191" s="10" t="inlineStr">
        <is>
          <t>FC</t>
        </is>
      </c>
      <c r="D191" s="8" t="n">
        <v>1483000</v>
      </c>
      <c r="E191" s="8" t="n">
        <v>1333000</v>
      </c>
      <c r="F191" s="8" t="n">
        <v>-150000</v>
      </c>
      <c r="G191" s="8" t="n">
        <v>125000</v>
      </c>
      <c r="H191" s="8" t="n">
        <v>118692</v>
      </c>
      <c r="I191" s="8" t="n">
        <v>-6308</v>
      </c>
    </row>
    <row r="192" ht="21" customHeight="1">
      <c r="A192" s="7" t="n">
        <v>2026</v>
      </c>
      <c r="B192" s="7" t="n">
        <v>11</v>
      </c>
      <c r="C192" s="10" t="inlineStr">
        <is>
          <t>FC</t>
        </is>
      </c>
      <c r="D192" s="8" t="n">
        <v>1416000</v>
      </c>
      <c r="E192" s="8" t="n">
        <v>1775000</v>
      </c>
      <c r="F192" s="8" t="n">
        <v>359000</v>
      </c>
      <c r="G192" s="8" t="n">
        <v>73000</v>
      </c>
      <c r="H192" s="8" t="n">
        <v>380092</v>
      </c>
      <c r="I192" s="8" t="n">
        <v>307092</v>
      </c>
    </row>
    <row r="193" ht="21" customHeight="1">
      <c r="A193" s="7" t="n">
        <v>2026</v>
      </c>
      <c r="B193" s="7" t="n">
        <v>12</v>
      </c>
      <c r="C193" s="10" t="inlineStr">
        <is>
          <t>FC</t>
        </is>
      </c>
      <c r="D193" s="8" t="n">
        <v>1483000</v>
      </c>
      <c r="E193" s="8" t="n">
        <v>1073000</v>
      </c>
      <c r="F193" s="8" t="n">
        <v>-410000</v>
      </c>
      <c r="G193" s="8" t="n">
        <v>124000</v>
      </c>
      <c r="H193" s="8" t="n">
        <v>-110405</v>
      </c>
      <c r="I193" s="8" t="n">
        <v>-234405</v>
      </c>
    </row>
    <row r="197" ht="24" customHeight="1">
      <c r="A197" s="58" t="inlineStr">
        <is>
          <t>v_periode_status</t>
        </is>
      </c>
    </row>
    <row r="198" ht="36" customHeight="1">
      <c r="A198" s="3" t="inlineStr">
        <is>
          <t>jahr</t>
        </is>
      </c>
      <c r="B198" s="3" t="inlineStr">
        <is>
          <t>monat</t>
        </is>
      </c>
      <c r="C198" s="3" t="inlineStr">
        <is>
          <t>belege</t>
        </is>
      </c>
      <c r="D198" s="3" t="inlineStr">
        <is>
          <t>median_belege</t>
        </is>
      </c>
      <c r="E198" s="3" t="inlineStr">
        <is>
          <t>fuellgrad</t>
        </is>
      </c>
      <c r="F198" s="3" t="inlineStr">
        <is>
          <t>belastbar</t>
        </is>
      </c>
      <c r="G198" s="3" t="inlineStr">
        <is>
          <t>freigabe</t>
        </is>
      </c>
      <c r="H198" s="3" t="inlineStr">
        <is>
          <t>belastbar_effektiv</t>
        </is>
      </c>
      <c r="I198" s="3" t="inlineStr">
        <is>
          <t>lohn_gebucht</t>
        </is>
      </c>
      <c r="J198" s="3" t="inlineStr">
        <is>
          <t>co_gebucht</t>
        </is>
      </c>
      <c r="K198" s="3" t="inlineStr">
        <is>
          <t>abgeschlossen</t>
        </is>
      </c>
      <c r="L198" s="3" t="inlineStr">
        <is>
          <t>quelle</t>
        </is>
      </c>
      <c r="M198" s="3" t="inlineStr">
        <is>
          <t>belege_journal</t>
        </is>
      </c>
      <c r="N198" s="3" t="inlineStr">
        <is>
          <t>belege_fi</t>
        </is>
      </c>
      <c r="O198" s="3" t="inlineStr">
        <is>
          <t>belege_sap</t>
        </is>
      </c>
    </row>
    <row r="199" ht="21" customHeight="1">
      <c r="A199" s="7" t="n">
        <v>2026</v>
      </c>
      <c r="B199" s="7" t="n">
        <v>1</v>
      </c>
      <c r="C199" s="7" t="n">
        <v>4079</v>
      </c>
      <c r="D199" s="7" t="n">
        <v>4907</v>
      </c>
      <c r="E199" s="8" t="n">
        <v>83</v>
      </c>
      <c r="F199" s="10" t="b">
        <v>1</v>
      </c>
      <c r="G199" s="10" t="b">
        <v>1</v>
      </c>
      <c r="H199" s="10" t="b">
        <v>1</v>
      </c>
      <c r="I199" s="10" t="b">
        <v>1</v>
      </c>
      <c r="J199" s="10" t="b">
        <v>1</v>
      </c>
      <c r="K199" s="10" t="b">
        <v>1</v>
      </c>
      <c r="L199" s="10" t="inlineStr">
        <is>
          <t>CO</t>
        </is>
      </c>
      <c r="M199" s="7" t="n">
        <v>1454</v>
      </c>
      <c r="N199" s="7" t="n">
        <v>4079</v>
      </c>
      <c r="O199" s="7" t="n">
        <v>2029</v>
      </c>
    </row>
    <row r="200" ht="21" customHeight="1">
      <c r="A200" s="7" t="n">
        <v>2026</v>
      </c>
      <c r="B200" s="7" t="n">
        <v>2</v>
      </c>
      <c r="C200" s="7" t="n">
        <v>4768</v>
      </c>
      <c r="D200" s="7" t="n">
        <v>4907</v>
      </c>
      <c r="E200" s="8" t="n">
        <v>97</v>
      </c>
      <c r="F200" s="10" t="b">
        <v>1</v>
      </c>
      <c r="G200" s="10" t="b">
        <v>1</v>
      </c>
      <c r="H200" s="10" t="b">
        <v>1</v>
      </c>
      <c r="I200" s="10" t="b">
        <v>1</v>
      </c>
      <c r="J200" s="10" t="b">
        <v>1</v>
      </c>
      <c r="K200" s="10" t="b">
        <v>1</v>
      </c>
      <c r="L200" s="10" t="inlineStr">
        <is>
          <t>CO</t>
        </is>
      </c>
      <c r="M200" s="7" t="n">
        <v>1847</v>
      </c>
      <c r="N200" s="7" t="n">
        <v>4768</v>
      </c>
      <c r="O200" s="7" t="n">
        <v>2483</v>
      </c>
    </row>
    <row r="201" ht="21" customHeight="1">
      <c r="A201" s="7" t="n">
        <v>2026</v>
      </c>
      <c r="B201" s="7" t="n">
        <v>3</v>
      </c>
      <c r="C201" s="7" t="n">
        <v>5430</v>
      </c>
      <c r="D201" s="7" t="n">
        <v>4907</v>
      </c>
      <c r="E201" s="8" t="n">
        <v>111</v>
      </c>
      <c r="F201" s="10" t="b">
        <v>1</v>
      </c>
      <c r="G201" s="10" t="b">
        <v>1</v>
      </c>
      <c r="H201" s="10" t="b">
        <v>1</v>
      </c>
      <c r="I201" s="10" t="b">
        <v>1</v>
      </c>
      <c r="J201" s="10" t="b">
        <v>1</v>
      </c>
      <c r="K201" s="10" t="b">
        <v>1</v>
      </c>
      <c r="L201" s="10" t="inlineStr">
        <is>
          <t>CO</t>
        </is>
      </c>
      <c r="M201" s="7" t="n">
        <v>2085</v>
      </c>
      <c r="N201" s="7" t="n">
        <v>5430</v>
      </c>
      <c r="O201" s="7" t="n">
        <v>2844</v>
      </c>
    </row>
    <row r="202" ht="21" customHeight="1">
      <c r="A202" s="7" t="n">
        <v>2026</v>
      </c>
      <c r="B202" s="7" t="n">
        <v>4</v>
      </c>
      <c r="C202" s="7" t="n">
        <v>5281</v>
      </c>
      <c r="D202" s="7" t="n">
        <v>4907</v>
      </c>
      <c r="E202" s="8" t="n">
        <v>108</v>
      </c>
      <c r="F202" s="10" t="b">
        <v>1</v>
      </c>
      <c r="G202" s="10" t="b">
        <v>1</v>
      </c>
      <c r="H202" s="10" t="b">
        <v>1</v>
      </c>
      <c r="I202" s="10" t="b">
        <v>1</v>
      </c>
      <c r="J202" s="10" t="b">
        <v>1</v>
      </c>
      <c r="K202" s="10" t="b">
        <v>1</v>
      </c>
      <c r="L202" s="10" t="inlineStr">
        <is>
          <t>CO</t>
        </is>
      </c>
      <c r="M202" s="7" t="n">
        <v>2054</v>
      </c>
      <c r="N202" s="7" t="n">
        <v>5281</v>
      </c>
      <c r="O202" s="7" t="n">
        <v>2674</v>
      </c>
    </row>
    <row r="203" ht="21" customHeight="1">
      <c r="A203" s="7" t="n">
        <v>2026</v>
      </c>
      <c r="B203" s="7" t="n">
        <v>5</v>
      </c>
      <c r="C203" s="7" t="n">
        <v>4878</v>
      </c>
      <c r="D203" s="7" t="n">
        <v>4907</v>
      </c>
      <c r="E203" s="8" t="n">
        <v>99</v>
      </c>
      <c r="F203" s="10" t="b">
        <v>1</v>
      </c>
      <c r="G203" s="10" t="b">
        <v>1</v>
      </c>
      <c r="H203" s="10" t="b">
        <v>1</v>
      </c>
      <c r="I203" s="10" t="b">
        <v>1</v>
      </c>
      <c r="J203" s="10" t="b">
        <v>1</v>
      </c>
      <c r="K203" s="10" t="b">
        <v>1</v>
      </c>
      <c r="L203" s="10" t="inlineStr">
        <is>
          <t>CO</t>
        </is>
      </c>
      <c r="M203" s="7" t="n">
        <v>1912</v>
      </c>
      <c r="N203" s="7" t="n">
        <v>4878</v>
      </c>
      <c r="O203" s="7" t="n">
        <v>2476</v>
      </c>
    </row>
    <row r="204" ht="21" customHeight="1">
      <c r="A204" s="7" t="n">
        <v>2026</v>
      </c>
      <c r="B204" s="7" t="n">
        <v>6</v>
      </c>
      <c r="C204" s="7" t="n">
        <v>5044</v>
      </c>
      <c r="D204" s="7" t="n">
        <v>4907</v>
      </c>
      <c r="E204" s="8" t="n">
        <v>103</v>
      </c>
      <c r="F204" s="10" t="b">
        <v>1</v>
      </c>
      <c r="G204" s="10" t="b">
        <v>1</v>
      </c>
      <c r="H204" s="10" t="b">
        <v>1</v>
      </c>
      <c r="I204" s="10" t="b">
        <v>1</v>
      </c>
      <c r="J204" s="10" t="b">
        <v>1</v>
      </c>
      <c r="K204" s="10" t="b">
        <v>1</v>
      </c>
      <c r="L204" s="10" t="inlineStr">
        <is>
          <t>CO</t>
        </is>
      </c>
      <c r="M204" s="7" t="n">
        <v>2057</v>
      </c>
      <c r="N204" s="7" t="n">
        <v>5044</v>
      </c>
      <c r="O204" s="7" t="n">
        <v>2517</v>
      </c>
    </row>
    <row r="205" ht="21" customHeight="1">
      <c r="A205" s="7" t="n">
        <v>2026</v>
      </c>
      <c r="B205" s="7" t="n">
        <v>7</v>
      </c>
      <c r="C205" s="7" t="n">
        <v>5450</v>
      </c>
      <c r="D205" s="7" t="n">
        <v>4907</v>
      </c>
      <c r="E205" s="8" t="n">
        <v>111</v>
      </c>
      <c r="F205" s="10" t="b">
        <v>1</v>
      </c>
      <c r="G205" s="10" t="b">
        <v>1</v>
      </c>
      <c r="H205" s="10" t="b">
        <v>1</v>
      </c>
      <c r="I205" s="10" t="b">
        <v>1</v>
      </c>
      <c r="J205" s="10" t="b">
        <v>1</v>
      </c>
      <c r="K205" s="10" t="b">
        <v>1</v>
      </c>
      <c r="L205" s="10" t="inlineStr">
        <is>
          <t>CO</t>
        </is>
      </c>
      <c r="M205" s="7" t="n">
        <v>1982</v>
      </c>
      <c r="N205" s="7" t="n">
        <v>5450</v>
      </c>
      <c r="O205" s="7" t="n">
        <v>2773</v>
      </c>
    </row>
    <row r="206" ht="21" customHeight="1">
      <c r="A206" s="7" t="n">
        <v>2026</v>
      </c>
      <c r="B206" s="7" t="n">
        <v>8</v>
      </c>
      <c r="C206" s="7" t="n">
        <v>4907</v>
      </c>
      <c r="D206" s="7" t="n">
        <v>4907</v>
      </c>
      <c r="E206" s="8" t="n">
        <v>100</v>
      </c>
      <c r="F206" s="10" t="b">
        <v>1</v>
      </c>
      <c r="G206" s="10" t="b">
        <v>1</v>
      </c>
      <c r="H206" s="10" t="b">
        <v>1</v>
      </c>
      <c r="I206" s="10" t="b">
        <v>1</v>
      </c>
      <c r="J206" s="10" t="b">
        <v>1</v>
      </c>
      <c r="K206" s="10" t="b">
        <v>1</v>
      </c>
      <c r="L206" s="10" t="inlineStr">
        <is>
          <t>FI</t>
        </is>
      </c>
      <c r="M206" s="7" t="n">
        <v>1114</v>
      </c>
      <c r="N206" s="7" t="n">
        <v>4907</v>
      </c>
      <c r="O206" s="7" t="n">
        <v>468</v>
      </c>
    </row>
    <row r="207" ht="21" customHeight="1">
      <c r="A207" s="7" t="n">
        <v>2026</v>
      </c>
      <c r="B207" s="7" t="n">
        <v>9</v>
      </c>
      <c r="C207" s="7" t="n">
        <v>3575</v>
      </c>
      <c r="D207" s="7" t="n">
        <v>4907</v>
      </c>
      <c r="E207" s="8" t="n">
        <v>73</v>
      </c>
      <c r="F207" s="10" t="b">
        <v>0</v>
      </c>
      <c r="G207" s="10" t="n"/>
      <c r="H207" s="10" t="b">
        <v>0</v>
      </c>
      <c r="I207" s="10" t="b">
        <v>1</v>
      </c>
      <c r="J207" s="10" t="b">
        <v>1</v>
      </c>
      <c r="K207" s="10" t="b">
        <v>1</v>
      </c>
      <c r="L207" s="10" t="inlineStr">
        <is>
          <t>FI</t>
        </is>
      </c>
      <c r="M207" s="7" t="n">
        <v>839</v>
      </c>
      <c r="N207" s="7" t="n">
        <v>3575</v>
      </c>
      <c r="O207" s="7" t="n">
        <v>320</v>
      </c>
    </row>
    <row r="211" ht="24" customHeight="1">
      <c r="A211" s="58" t="inlineStr">
        <is>
          <t>v_ebitda_region_monat</t>
        </is>
      </c>
    </row>
    <row r="212" ht="36" customHeight="1">
      <c r="A212" s="3" t="inlineStr">
        <is>
          <t>jahr</t>
        </is>
      </c>
      <c r="B212" s="3" t="inlineStr">
        <is>
          <t>monat</t>
        </is>
      </c>
      <c r="C212" s="3" t="inlineStr">
        <is>
          <t>region</t>
        </is>
      </c>
      <c r="D212" s="3" t="inlineStr">
        <is>
          <t>umsatzerloese</t>
        </is>
      </c>
      <c r="E212" s="3" t="inlineStr">
        <is>
          <t>bestandsveraenderung</t>
        </is>
      </c>
      <c r="F212" s="3" t="inlineStr">
        <is>
          <t>sonstige_ertraege</t>
        </is>
      </c>
      <c r="G212" s="3" t="inlineStr">
        <is>
          <t>betriebsaufwand</t>
        </is>
      </c>
      <c r="H212" s="3" t="inlineStr">
        <is>
          <t>gesamtleistung</t>
        </is>
      </c>
      <c r="I212" s="3" t="inlineStr">
        <is>
          <t>ebitda</t>
        </is>
      </c>
      <c r="J212" s="3" t="inlineStr">
        <is>
          <t>finanzergebnis</t>
        </is>
      </c>
      <c r="K212" s="3" t="inlineStr">
        <is>
          <t>abschreibungen</t>
        </is>
      </c>
      <c r="L212" s="3" t="inlineStr">
        <is>
          <t>neutral_steuern</t>
        </is>
      </c>
      <c r="M212" s="3" t="inlineStr">
        <is>
          <t>ergebnis</t>
        </is>
      </c>
      <c r="N212" s="3" t="inlineStr">
        <is>
          <t>belege</t>
        </is>
      </c>
    </row>
    <row r="213" ht="21" customHeight="1">
      <c r="A213" s="7" t="n">
        <v>2026</v>
      </c>
      <c r="B213" s="7" t="n">
        <v>1</v>
      </c>
      <c r="C213" s="10" t="inlineStr">
        <is>
          <t>Berlin</t>
        </is>
      </c>
      <c r="D213" s="8" t="n">
        <v>-2201.74</v>
      </c>
      <c r="E213" s="8" t="n">
        <v>71781.91</v>
      </c>
      <c r="F213" s="8" t="n">
        <v>928.77</v>
      </c>
      <c r="G213" s="8" t="n">
        <v>-139926.09</v>
      </c>
      <c r="H213" s="8" t="n">
        <v>69580.17</v>
      </c>
      <c r="I213" s="8" t="n">
        <v>-69417.14999999999</v>
      </c>
      <c r="J213" s="8" t="n">
        <v>-4.4</v>
      </c>
      <c r="K213" s="8" t="n">
        <v>-1524.86</v>
      </c>
      <c r="L213" s="8" t="n">
        <v>-369.38</v>
      </c>
      <c r="M213" s="8" t="n">
        <v>-71315.78999999999</v>
      </c>
      <c r="N213" s="7" t="n">
        <v>145</v>
      </c>
    </row>
    <row r="214" ht="21" customHeight="1">
      <c r="A214" s="7" t="n">
        <v>2026</v>
      </c>
      <c r="B214" s="7" t="n">
        <v>1</v>
      </c>
      <c r="C214" s="10" t="inlineStr">
        <is>
          <t>Ohne Zuordnung</t>
        </is>
      </c>
      <c r="D214" s="8" t="n">
        <v>2201.75</v>
      </c>
      <c r="E214" s="8" t="n">
        <v>0</v>
      </c>
      <c r="F214" s="8" t="n">
        <v>0</v>
      </c>
      <c r="G214" s="8" t="n">
        <v>-135.23</v>
      </c>
      <c r="H214" s="8" t="n">
        <v>2201.75</v>
      </c>
      <c r="I214" s="8" t="n">
        <v>2066.52</v>
      </c>
      <c r="J214" s="8" t="n">
        <v>0</v>
      </c>
      <c r="K214" s="8" t="n">
        <v>0</v>
      </c>
      <c r="L214" s="8" t="n">
        <v>0</v>
      </c>
      <c r="M214" s="8" t="n">
        <v>2066.52</v>
      </c>
      <c r="N214" s="7" t="n">
        <v>176</v>
      </c>
    </row>
    <row r="215" ht="21" customHeight="1">
      <c r="A215" s="7" t="n">
        <v>2026</v>
      </c>
      <c r="B215" s="7" t="n">
        <v>1</v>
      </c>
      <c r="C215" s="10" t="inlineStr">
        <is>
          <t>Ost</t>
        </is>
      </c>
      <c r="D215" s="8" t="n">
        <v>15823.05</v>
      </c>
      <c r="E215" s="8" t="n">
        <v>365318.54</v>
      </c>
      <c r="F215" s="8" t="n">
        <v>2413.95</v>
      </c>
      <c r="G215" s="8" t="n">
        <v>-416021.55</v>
      </c>
      <c r="H215" s="8" t="n">
        <v>381141.59</v>
      </c>
      <c r="I215" s="8" t="n">
        <v>-32466.01</v>
      </c>
      <c r="J215" s="8" t="n">
        <v>-81.86</v>
      </c>
      <c r="K215" s="8" t="n">
        <v>-1386</v>
      </c>
      <c r="L215" s="8" t="n">
        <v>245.53</v>
      </c>
      <c r="M215" s="8" t="n">
        <v>-33688.34</v>
      </c>
      <c r="N215" s="7" t="n">
        <v>278</v>
      </c>
    </row>
    <row r="216" ht="21" customHeight="1">
      <c r="A216" s="7" t="n">
        <v>2026</v>
      </c>
      <c r="B216" s="7" t="n">
        <v>1</v>
      </c>
      <c r="C216" s="10" t="inlineStr">
        <is>
          <t>Süd-West</t>
        </is>
      </c>
      <c r="D216" s="8" t="n">
        <v>310525.48</v>
      </c>
      <c r="E216" s="8" t="n">
        <v>114801.21</v>
      </c>
      <c r="F216" s="8" t="n">
        <v>970.22</v>
      </c>
      <c r="G216" s="8" t="n">
        <v>-298514.16</v>
      </c>
      <c r="H216" s="8" t="n">
        <v>425326.69</v>
      </c>
      <c r="I216" s="8" t="n">
        <v>127782.75</v>
      </c>
      <c r="J216" s="8" t="n">
        <v>0</v>
      </c>
      <c r="K216" s="8" t="n">
        <v>-4893.49</v>
      </c>
      <c r="L216" s="8" t="n">
        <v>-661.01</v>
      </c>
      <c r="M216" s="8" t="n">
        <v>122228.25</v>
      </c>
      <c r="N216" s="7" t="n">
        <v>245</v>
      </c>
    </row>
    <row r="217" ht="21" customHeight="1">
      <c r="A217" s="7" t="n">
        <v>2026</v>
      </c>
      <c r="B217" s="7" t="n">
        <v>1</v>
      </c>
      <c r="C217" s="10" t="inlineStr">
        <is>
          <t>Verwaltung</t>
        </is>
      </c>
      <c r="D217" s="8" t="n">
        <v>0</v>
      </c>
      <c r="E217" s="8" t="n">
        <v>0</v>
      </c>
      <c r="F217" s="8" t="n">
        <v>2322.58</v>
      </c>
      <c r="G217" s="8" t="n">
        <v>-92817.16</v>
      </c>
      <c r="H217" s="8" t="n">
        <v>0</v>
      </c>
      <c r="I217" s="8" t="n">
        <v>-90494.58</v>
      </c>
      <c r="J217" s="8" t="n">
        <v>-5768.21</v>
      </c>
      <c r="K217" s="8" t="n">
        <v>-178</v>
      </c>
      <c r="L217" s="8" t="n">
        <v>-4189.71</v>
      </c>
      <c r="M217" s="8" t="n">
        <v>-100630.5</v>
      </c>
      <c r="N217" s="7" t="n">
        <v>138</v>
      </c>
    </row>
    <row r="218" ht="21" customHeight="1">
      <c r="A218" s="7" t="n">
        <v>2026</v>
      </c>
      <c r="B218" s="7" t="n">
        <v>1</v>
      </c>
      <c r="C218" s="10" t="inlineStr">
        <is>
          <t>West</t>
        </is>
      </c>
      <c r="D218" s="8" t="n">
        <v>313216.91</v>
      </c>
      <c r="E218" s="8" t="n">
        <v>728945.6</v>
      </c>
      <c r="F218" s="8" t="n">
        <v>1566.22</v>
      </c>
      <c r="G218" s="8" t="n">
        <v>-686257.89</v>
      </c>
      <c r="H218" s="8" t="n">
        <v>1042162.51</v>
      </c>
      <c r="I218" s="8" t="n">
        <v>357470.84</v>
      </c>
      <c r="J218" s="8" t="n">
        <v>0</v>
      </c>
      <c r="K218" s="8" t="n">
        <v>-1663.1</v>
      </c>
      <c r="L218" s="8" t="n">
        <v>-2224.99</v>
      </c>
      <c r="M218" s="8" t="n">
        <v>353582.75</v>
      </c>
      <c r="N218" s="7" t="n">
        <v>288</v>
      </c>
    </row>
    <row r="219" ht="21" customHeight="1">
      <c r="A219" s="7" t="n">
        <v>2026</v>
      </c>
      <c r="B219" s="7" t="n">
        <v>2</v>
      </c>
      <c r="C219" s="10" t="inlineStr">
        <is>
          <t>Berlin</t>
        </is>
      </c>
      <c r="D219" s="8" t="n">
        <v>-17209.95</v>
      </c>
      <c r="E219" s="8" t="n">
        <v>46557.41</v>
      </c>
      <c r="F219" s="8" t="n">
        <v>928.77</v>
      </c>
      <c r="G219" s="8" t="n">
        <v>-62054.22</v>
      </c>
      <c r="H219" s="8" t="n">
        <v>29347.46</v>
      </c>
      <c r="I219" s="8" t="n">
        <v>-31777.99</v>
      </c>
      <c r="J219" s="8" t="n">
        <v>-4.4</v>
      </c>
      <c r="K219" s="8" t="n">
        <v>-1521</v>
      </c>
      <c r="L219" s="8" t="n">
        <v>-99.28</v>
      </c>
      <c r="M219" s="8" t="n">
        <v>-33402.67</v>
      </c>
      <c r="N219" s="7" t="n">
        <v>222</v>
      </c>
    </row>
    <row r="220" ht="21" customHeight="1">
      <c r="A220" s="7" t="n">
        <v>2026</v>
      </c>
      <c r="B220" s="7" t="n">
        <v>2</v>
      </c>
      <c r="C220" s="10" t="inlineStr">
        <is>
          <t>Ohne Zuordnung</t>
        </is>
      </c>
      <c r="D220" s="8" t="n">
        <v>-3848.16</v>
      </c>
      <c r="E220" s="8" t="n">
        <v>0</v>
      </c>
      <c r="F220" s="8" t="n">
        <v>0</v>
      </c>
      <c r="G220" s="8" t="n">
        <v>4329.44</v>
      </c>
      <c r="H220" s="8" t="n">
        <v>-3848.16</v>
      </c>
      <c r="I220" s="8" t="n">
        <v>481.28</v>
      </c>
      <c r="J220" s="8" t="n">
        <v>0</v>
      </c>
      <c r="K220" s="8" t="n">
        <v>0</v>
      </c>
      <c r="L220" s="8" t="n">
        <v>0</v>
      </c>
      <c r="M220" s="8" t="n">
        <v>481.28</v>
      </c>
      <c r="N220" s="7" t="n">
        <v>170</v>
      </c>
    </row>
    <row r="221" ht="21" customHeight="1">
      <c r="A221" s="7" t="n">
        <v>2026</v>
      </c>
      <c r="B221" s="7" t="n">
        <v>2</v>
      </c>
      <c r="C221" s="10" t="inlineStr">
        <is>
          <t>Ost</t>
        </is>
      </c>
      <c r="D221" s="8" t="n">
        <v>2045847.88</v>
      </c>
      <c r="E221" s="8" t="n">
        <v>-1041388.39</v>
      </c>
      <c r="F221" s="8" t="n">
        <v>2050.92</v>
      </c>
      <c r="G221" s="8" t="n">
        <v>-666038.24</v>
      </c>
      <c r="H221" s="8" t="n">
        <v>1004459.49</v>
      </c>
      <c r="I221" s="8" t="n">
        <v>340472.17</v>
      </c>
      <c r="J221" s="8" t="n">
        <v>-81.86</v>
      </c>
      <c r="K221" s="8" t="n">
        <v>-1376</v>
      </c>
      <c r="L221" s="8" t="n">
        <v>-1415.93</v>
      </c>
      <c r="M221" s="8" t="n">
        <v>337598.38</v>
      </c>
      <c r="N221" s="7" t="n">
        <v>388</v>
      </c>
    </row>
    <row r="222" ht="21" customHeight="1">
      <c r="A222" s="7" t="n">
        <v>2026</v>
      </c>
      <c r="B222" s="7" t="n">
        <v>2</v>
      </c>
      <c r="C222" s="10" t="inlineStr">
        <is>
          <t>Süd-West</t>
        </is>
      </c>
      <c r="D222" s="8" t="n">
        <v>344612.93</v>
      </c>
      <c r="E222" s="8" t="n">
        <v>-4508.17</v>
      </c>
      <c r="F222" s="8" t="n">
        <v>9046.290000000001</v>
      </c>
      <c r="G222" s="8" t="n">
        <v>-410457.23</v>
      </c>
      <c r="H222" s="8" t="n">
        <v>340104.76</v>
      </c>
      <c r="I222" s="8" t="n">
        <v>-61306.18</v>
      </c>
      <c r="J222" s="8" t="n">
        <v>0</v>
      </c>
      <c r="K222" s="8" t="n">
        <v>-4885</v>
      </c>
      <c r="L222" s="8" t="n">
        <v>-1928.36</v>
      </c>
      <c r="M222" s="8" t="n">
        <v>-68119.53999999999</v>
      </c>
      <c r="N222" s="7" t="n">
        <v>291</v>
      </c>
    </row>
    <row r="223" ht="21" customHeight="1">
      <c r="A223" s="7" t="n">
        <v>2026</v>
      </c>
      <c r="B223" s="7" t="n">
        <v>2</v>
      </c>
      <c r="C223" s="10" t="inlineStr">
        <is>
          <t>Verwaltung</t>
        </is>
      </c>
      <c r="D223" s="8" t="n">
        <v>3848.16</v>
      </c>
      <c r="E223" s="8" t="n">
        <v>0</v>
      </c>
      <c r="F223" s="8" t="n">
        <v>2736.78</v>
      </c>
      <c r="G223" s="8" t="n">
        <v>-118357.31</v>
      </c>
      <c r="H223" s="8" t="n">
        <v>3848.16</v>
      </c>
      <c r="I223" s="8" t="n">
        <v>-111772.37</v>
      </c>
      <c r="J223" s="8" t="n">
        <v>-6817.29</v>
      </c>
      <c r="K223" s="8" t="n">
        <v>-174</v>
      </c>
      <c r="L223" s="8" t="n">
        <v>-15488.56</v>
      </c>
      <c r="M223" s="8" t="n">
        <v>-134252.22</v>
      </c>
      <c r="N223" s="7" t="n">
        <v>232</v>
      </c>
    </row>
    <row r="224" ht="21" customHeight="1">
      <c r="A224" s="7" t="n">
        <v>2026</v>
      </c>
      <c r="B224" s="7" t="n">
        <v>2</v>
      </c>
      <c r="C224" s="10" t="inlineStr">
        <is>
          <t>West</t>
        </is>
      </c>
      <c r="D224" s="8" t="n">
        <v>403993.79</v>
      </c>
      <c r="E224" s="8" t="n">
        <v>799162.23</v>
      </c>
      <c r="F224" s="8" t="n">
        <v>7165.65</v>
      </c>
      <c r="G224" s="8" t="n">
        <v>-1027847.82</v>
      </c>
      <c r="H224" s="8" t="n">
        <v>1203156.02</v>
      </c>
      <c r="I224" s="8" t="n">
        <v>182473.85</v>
      </c>
      <c r="J224" s="8" t="n">
        <v>0</v>
      </c>
      <c r="K224" s="8" t="n">
        <v>-1755.51</v>
      </c>
      <c r="L224" s="8" t="n">
        <v>-2334.74</v>
      </c>
      <c r="M224" s="8" t="n">
        <v>178383.6</v>
      </c>
      <c r="N224" s="7" t="n">
        <v>399</v>
      </c>
    </row>
    <row r="225" ht="21" customHeight="1">
      <c r="A225" s="7" t="n">
        <v>2026</v>
      </c>
      <c r="B225" s="7" t="n">
        <v>3</v>
      </c>
      <c r="C225" s="10" t="inlineStr">
        <is>
          <t>Berlin</t>
        </is>
      </c>
      <c r="D225" s="8" t="n">
        <v>15393.95</v>
      </c>
      <c r="E225" s="8" t="n">
        <v>398194.28</v>
      </c>
      <c r="F225" s="8" t="n">
        <v>928.77</v>
      </c>
      <c r="G225" s="8" t="n">
        <v>-404165.98</v>
      </c>
      <c r="H225" s="8" t="n">
        <v>413588.23</v>
      </c>
      <c r="I225" s="8" t="n">
        <v>10351.02</v>
      </c>
      <c r="J225" s="8" t="n">
        <v>0</v>
      </c>
      <c r="K225" s="8" t="n">
        <v>-1520</v>
      </c>
      <c r="L225" s="8" t="n">
        <v>-226.78</v>
      </c>
      <c r="M225" s="8" t="n">
        <v>8604.24</v>
      </c>
      <c r="N225" s="7" t="n">
        <v>233</v>
      </c>
    </row>
    <row r="226" ht="21" customHeight="1">
      <c r="A226" s="7" t="n">
        <v>2026</v>
      </c>
      <c r="B226" s="7" t="n">
        <v>3</v>
      </c>
      <c r="C226" s="10" t="inlineStr">
        <is>
          <t>Ohne Zuordnung</t>
        </is>
      </c>
      <c r="D226" s="8" t="n">
        <v>0</v>
      </c>
      <c r="E226" s="8" t="n">
        <v>0</v>
      </c>
      <c r="F226" s="8" t="n">
        <v>0</v>
      </c>
      <c r="G226" s="8" t="n">
        <v>0</v>
      </c>
      <c r="H226" s="8" t="n">
        <v>0</v>
      </c>
      <c r="I226" s="8" t="n">
        <v>0</v>
      </c>
      <c r="J226" s="8" t="n">
        <v>0</v>
      </c>
      <c r="K226" s="8" t="n">
        <v>0</v>
      </c>
      <c r="L226" s="8" t="n">
        <v>0</v>
      </c>
      <c r="M226" s="8" t="n">
        <v>0</v>
      </c>
      <c r="N226" s="7" t="n">
        <v>186</v>
      </c>
    </row>
    <row r="227" ht="21" customHeight="1">
      <c r="A227" s="7" t="n">
        <v>2026</v>
      </c>
      <c r="B227" s="7" t="n">
        <v>3</v>
      </c>
      <c r="C227" s="10" t="inlineStr">
        <is>
          <t>Ost</t>
        </is>
      </c>
      <c r="D227" s="8" t="n">
        <v>622633.48</v>
      </c>
      <c r="E227" s="8" t="n">
        <v>120463.8</v>
      </c>
      <c r="F227" s="8" t="n">
        <v>5177.1</v>
      </c>
      <c r="G227" s="8" t="n">
        <v>-600005.04</v>
      </c>
      <c r="H227" s="8" t="n">
        <v>743097.28</v>
      </c>
      <c r="I227" s="8" t="n">
        <v>148269.34</v>
      </c>
      <c r="J227" s="8" t="n">
        <v>-81.86</v>
      </c>
      <c r="K227" s="8" t="n">
        <v>-1372</v>
      </c>
      <c r="L227" s="8" t="n">
        <v>107.38</v>
      </c>
      <c r="M227" s="8" t="n">
        <v>146922.86</v>
      </c>
      <c r="N227" s="7" t="n">
        <v>412</v>
      </c>
    </row>
    <row r="228" ht="21" customHeight="1">
      <c r="A228" s="7" t="n">
        <v>2026</v>
      </c>
      <c r="B228" s="7" t="n">
        <v>3</v>
      </c>
      <c r="C228" s="10" t="inlineStr">
        <is>
          <t>Süd-West</t>
        </is>
      </c>
      <c r="D228" s="8" t="n">
        <v>320056.06</v>
      </c>
      <c r="E228" s="8" t="n">
        <v>-175872.75</v>
      </c>
      <c r="F228" s="8" t="n">
        <v>970.22</v>
      </c>
      <c r="G228" s="8" t="n">
        <v>-327425.2</v>
      </c>
      <c r="H228" s="8" t="n">
        <v>144183.31</v>
      </c>
      <c r="I228" s="8" t="n">
        <v>-182271.67</v>
      </c>
      <c r="J228" s="8" t="n">
        <v>0</v>
      </c>
      <c r="K228" s="8" t="n">
        <v>-4910.14</v>
      </c>
      <c r="L228" s="8" t="n">
        <v>-13340.66</v>
      </c>
      <c r="M228" s="8" t="n">
        <v>-200522.47</v>
      </c>
      <c r="N228" s="7" t="n">
        <v>335</v>
      </c>
    </row>
    <row r="229" ht="21" customHeight="1">
      <c r="A229" s="7" t="n">
        <v>2026</v>
      </c>
      <c r="B229" s="7" t="n">
        <v>3</v>
      </c>
      <c r="C229" s="10" t="inlineStr">
        <is>
          <t>Verwaltung</t>
        </is>
      </c>
      <c r="D229" s="8" t="n">
        <v>-0.02</v>
      </c>
      <c r="E229" s="8" t="n">
        <v>0</v>
      </c>
      <c r="F229" s="8" t="n">
        <v>2886.45</v>
      </c>
      <c r="G229" s="8" t="n">
        <v>-153433.87</v>
      </c>
      <c r="H229" s="8" t="n">
        <v>-0.02</v>
      </c>
      <c r="I229" s="8" t="n">
        <v>-150547.44</v>
      </c>
      <c r="J229" s="8" t="n">
        <v>-9350.32</v>
      </c>
      <c r="K229" s="8" t="n">
        <v>-173</v>
      </c>
      <c r="L229" s="8" t="n">
        <v>-27414.85</v>
      </c>
      <c r="M229" s="8" t="n">
        <v>-187485.61</v>
      </c>
      <c r="N229" s="7" t="n">
        <v>336</v>
      </c>
    </row>
    <row r="230" ht="21" customHeight="1">
      <c r="A230" s="7" t="n">
        <v>2026</v>
      </c>
      <c r="B230" s="7" t="n">
        <v>3</v>
      </c>
      <c r="C230" s="10" t="inlineStr">
        <is>
          <t>West</t>
        </is>
      </c>
      <c r="D230" s="8" t="n">
        <v>255457.91</v>
      </c>
      <c r="E230" s="8" t="n">
        <v>855886.16</v>
      </c>
      <c r="F230" s="8" t="n">
        <v>1166.22</v>
      </c>
      <c r="G230" s="8" t="n">
        <v>-914716.36</v>
      </c>
      <c r="H230" s="8" t="n">
        <v>1111344.07</v>
      </c>
      <c r="I230" s="8" t="n">
        <v>197793.93</v>
      </c>
      <c r="J230" s="8" t="n">
        <v>0</v>
      </c>
      <c r="K230" s="8" t="n">
        <v>-1849</v>
      </c>
      <c r="L230" s="8" t="n">
        <v>-271.02</v>
      </c>
      <c r="M230" s="8" t="n">
        <v>195673.91</v>
      </c>
      <c r="N230" s="7" t="n">
        <v>490</v>
      </c>
    </row>
    <row r="231" ht="21" customHeight="1">
      <c r="A231" s="7" t="n">
        <v>2026</v>
      </c>
      <c r="B231" s="7" t="n">
        <v>4</v>
      </c>
      <c r="C231" s="10" t="inlineStr">
        <is>
          <t>Berlin</t>
        </is>
      </c>
      <c r="D231" s="8" t="n">
        <v>-44067.99</v>
      </c>
      <c r="E231" s="8" t="n">
        <v>76551.41</v>
      </c>
      <c r="F231" s="8" t="n">
        <v>39038.74</v>
      </c>
      <c r="G231" s="8" t="n">
        <v>-100005.09</v>
      </c>
      <c r="H231" s="8" t="n">
        <v>32483.42</v>
      </c>
      <c r="I231" s="8" t="n">
        <v>-28482.93</v>
      </c>
      <c r="J231" s="8" t="n">
        <v>-6.62</v>
      </c>
      <c r="K231" s="8" t="n">
        <v>-1518</v>
      </c>
      <c r="L231" s="8" t="n">
        <v>-1657.55</v>
      </c>
      <c r="M231" s="8" t="n">
        <v>-31665.1</v>
      </c>
      <c r="N231" s="7" t="n">
        <v>221</v>
      </c>
    </row>
    <row r="232" ht="21" customHeight="1">
      <c r="A232" s="7" t="n">
        <v>2026</v>
      </c>
      <c r="B232" s="7" t="n">
        <v>4</v>
      </c>
      <c r="C232" s="10" t="inlineStr">
        <is>
          <t>Ohne Zuordnung</t>
        </is>
      </c>
      <c r="D232" s="8" t="n">
        <v>0</v>
      </c>
      <c r="E232" s="8" t="n">
        <v>0</v>
      </c>
      <c r="F232" s="8" t="n">
        <v>0</v>
      </c>
      <c r="G232" s="8" t="n">
        <v>0</v>
      </c>
      <c r="H232" s="8" t="n">
        <v>0</v>
      </c>
      <c r="I232" s="8" t="n">
        <v>0</v>
      </c>
      <c r="J232" s="8" t="n">
        <v>0</v>
      </c>
      <c r="K232" s="8" t="n">
        <v>0</v>
      </c>
      <c r="L232" s="8" t="n">
        <v>0</v>
      </c>
      <c r="M232" s="8" t="n">
        <v>0</v>
      </c>
      <c r="N232" s="7" t="n">
        <v>196</v>
      </c>
    </row>
    <row r="233" ht="21" customHeight="1">
      <c r="A233" s="7" t="n">
        <v>2026</v>
      </c>
      <c r="B233" s="7" t="n">
        <v>4</v>
      </c>
      <c r="C233" s="10" t="inlineStr">
        <is>
          <t>Ost</t>
        </is>
      </c>
      <c r="D233" s="8" t="n">
        <v>427146.01</v>
      </c>
      <c r="E233" s="8" t="n">
        <v>205523.72</v>
      </c>
      <c r="F233" s="8" t="n">
        <v>2050.92</v>
      </c>
      <c r="G233" s="8" t="n">
        <v>-611879.78</v>
      </c>
      <c r="H233" s="8" t="n">
        <v>632669.73</v>
      </c>
      <c r="I233" s="8" t="n">
        <v>22840.87</v>
      </c>
      <c r="J233" s="8" t="n">
        <v>-81.86</v>
      </c>
      <c r="K233" s="8" t="n">
        <v>-759</v>
      </c>
      <c r="L233" s="8" t="n">
        <v>3994.41</v>
      </c>
      <c r="M233" s="8" t="n">
        <v>25994.42</v>
      </c>
      <c r="N233" s="7" t="n">
        <v>379</v>
      </c>
    </row>
    <row r="234" ht="21" customHeight="1">
      <c r="A234" s="7" t="n">
        <v>2026</v>
      </c>
      <c r="B234" s="7" t="n">
        <v>4</v>
      </c>
      <c r="C234" s="10" t="inlineStr">
        <is>
          <t>Süd-West</t>
        </is>
      </c>
      <c r="D234" s="8" t="n">
        <v>149003.97</v>
      </c>
      <c r="E234" s="8" t="n">
        <v>-20869.91</v>
      </c>
      <c r="F234" s="8" t="n">
        <v>2630.89</v>
      </c>
      <c r="G234" s="8" t="n">
        <v>-199874.27</v>
      </c>
      <c r="H234" s="8" t="n">
        <v>128134.06</v>
      </c>
      <c r="I234" s="8" t="n">
        <v>-69109.32000000001</v>
      </c>
      <c r="J234" s="8" t="n">
        <v>0</v>
      </c>
      <c r="K234" s="8" t="n">
        <v>-5359</v>
      </c>
      <c r="L234" s="8" t="n">
        <v>-722.97</v>
      </c>
      <c r="M234" s="8" t="n">
        <v>-75191.28999999999</v>
      </c>
      <c r="N234" s="7" t="n">
        <v>330</v>
      </c>
    </row>
    <row r="235" ht="21" customHeight="1">
      <c r="A235" s="7" t="n">
        <v>2026</v>
      </c>
      <c r="B235" s="7" t="n">
        <v>4</v>
      </c>
      <c r="C235" s="10" t="inlineStr">
        <is>
          <t>Verwaltung</t>
        </is>
      </c>
      <c r="D235" s="8" t="n">
        <v>0.01</v>
      </c>
      <c r="E235" s="8" t="n">
        <v>0</v>
      </c>
      <c r="F235" s="8" t="n">
        <v>2726.8</v>
      </c>
      <c r="G235" s="8" t="n">
        <v>-154244.14</v>
      </c>
      <c r="H235" s="8" t="n">
        <v>0.01</v>
      </c>
      <c r="I235" s="8" t="n">
        <v>-151517.33</v>
      </c>
      <c r="J235" s="8" t="n">
        <v>-8691.440000000001</v>
      </c>
      <c r="K235" s="8" t="n">
        <v>-171</v>
      </c>
      <c r="L235" s="8" t="n">
        <v>-1382.93</v>
      </c>
      <c r="M235" s="8" t="n">
        <v>-161762.7</v>
      </c>
      <c r="N235" s="7" t="n">
        <v>350</v>
      </c>
    </row>
    <row r="236" ht="21" customHeight="1">
      <c r="A236" s="7" t="n">
        <v>2026</v>
      </c>
      <c r="B236" s="7" t="n">
        <v>4</v>
      </c>
      <c r="C236" s="10" t="inlineStr">
        <is>
          <t>West</t>
        </is>
      </c>
      <c r="D236" s="8" t="n">
        <v>146261.59</v>
      </c>
      <c r="E236" s="8" t="n">
        <v>1000014.67</v>
      </c>
      <c r="F236" s="8" t="n">
        <v>1164.7</v>
      </c>
      <c r="G236" s="8" t="n">
        <v>-1100446.32</v>
      </c>
      <c r="H236" s="8" t="n">
        <v>1146276.26</v>
      </c>
      <c r="I236" s="8" t="n">
        <v>46994.64</v>
      </c>
      <c r="J236" s="8" t="n">
        <v>0</v>
      </c>
      <c r="K236" s="8" t="n">
        <v>-1792.86</v>
      </c>
      <c r="L236" s="8" t="n">
        <v>-7528.13</v>
      </c>
      <c r="M236" s="8" t="n">
        <v>37673.65</v>
      </c>
      <c r="N236" s="7" t="n">
        <v>434</v>
      </c>
    </row>
    <row r="237" ht="21" customHeight="1">
      <c r="A237" s="7" t="n">
        <v>2026</v>
      </c>
      <c r="B237" s="7" t="n">
        <v>5</v>
      </c>
      <c r="C237" s="10" t="inlineStr">
        <is>
          <t>Berlin</t>
        </is>
      </c>
      <c r="D237" s="8" t="n">
        <v>60423.55</v>
      </c>
      <c r="E237" s="8" t="n">
        <v>-10778.69</v>
      </c>
      <c r="F237" s="8" t="n">
        <v>13047.28</v>
      </c>
      <c r="G237" s="8" t="n">
        <v>-59061.05</v>
      </c>
      <c r="H237" s="8" t="n">
        <v>49644.86</v>
      </c>
      <c r="I237" s="8" t="n">
        <v>3631.09</v>
      </c>
      <c r="J237" s="8" t="n">
        <v>0</v>
      </c>
      <c r="K237" s="8" t="n">
        <v>-1519</v>
      </c>
      <c r="L237" s="8" t="n">
        <v>246.61</v>
      </c>
      <c r="M237" s="8" t="n">
        <v>2358.7</v>
      </c>
      <c r="N237" s="7" t="n">
        <v>188</v>
      </c>
    </row>
    <row r="238" ht="21" customHeight="1">
      <c r="A238" s="7" t="n">
        <v>2026</v>
      </c>
      <c r="B238" s="7" t="n">
        <v>5</v>
      </c>
      <c r="C238" s="10" t="inlineStr">
        <is>
          <t>Ohne Zuordnung</t>
        </is>
      </c>
      <c r="D238" s="8" t="n">
        <v>0</v>
      </c>
      <c r="E238" s="8" t="n">
        <v>0</v>
      </c>
      <c r="F238" s="8" t="n">
        <v>0</v>
      </c>
      <c r="G238" s="8" t="n">
        <v>0</v>
      </c>
      <c r="H238" s="8" t="n">
        <v>0</v>
      </c>
      <c r="I238" s="8" t="n">
        <v>0</v>
      </c>
      <c r="J238" s="8" t="n">
        <v>0</v>
      </c>
      <c r="K238" s="8" t="n">
        <v>0</v>
      </c>
      <c r="L238" s="8" t="n">
        <v>0</v>
      </c>
      <c r="M238" s="8" t="n">
        <v>0</v>
      </c>
      <c r="N238" s="7" t="n">
        <v>205</v>
      </c>
    </row>
    <row r="239" ht="21" customHeight="1">
      <c r="A239" s="7" t="n">
        <v>2026</v>
      </c>
      <c r="B239" s="7" t="n">
        <v>5</v>
      </c>
      <c r="C239" s="10" t="inlineStr">
        <is>
          <t>Ost</t>
        </is>
      </c>
      <c r="D239" s="8" t="n">
        <v>371881.94</v>
      </c>
      <c r="E239" s="8" t="n">
        <v>5536.92</v>
      </c>
      <c r="F239" s="8" t="n">
        <v>4036.34</v>
      </c>
      <c r="G239" s="8" t="n">
        <v>-396099.63</v>
      </c>
      <c r="H239" s="8" t="n">
        <v>377418.86</v>
      </c>
      <c r="I239" s="8" t="n">
        <v>-14644.43</v>
      </c>
      <c r="J239" s="8" t="n">
        <v>-81.86</v>
      </c>
      <c r="K239" s="8" t="n">
        <v>-758</v>
      </c>
      <c r="L239" s="8" t="n">
        <v>-623.92</v>
      </c>
      <c r="M239" s="8" t="n">
        <v>-16108.21</v>
      </c>
      <c r="N239" s="7" t="n">
        <v>353</v>
      </c>
    </row>
    <row r="240" ht="21" customHeight="1">
      <c r="A240" s="7" t="n">
        <v>2026</v>
      </c>
      <c r="B240" s="7" t="n">
        <v>5</v>
      </c>
      <c r="C240" s="10" t="inlineStr">
        <is>
          <t>Süd-West</t>
        </is>
      </c>
      <c r="D240" s="8" t="n">
        <v>204465.76</v>
      </c>
      <c r="E240" s="8" t="n">
        <v>42099.36</v>
      </c>
      <c r="F240" s="8" t="n">
        <v>980.15</v>
      </c>
      <c r="G240" s="8" t="n">
        <v>-268038.91</v>
      </c>
      <c r="H240" s="8" t="n">
        <v>246565.12</v>
      </c>
      <c r="I240" s="8" t="n">
        <v>-20493.64</v>
      </c>
      <c r="J240" s="8" t="n">
        <v>0</v>
      </c>
      <c r="K240" s="8" t="n">
        <v>-5411.51</v>
      </c>
      <c r="L240" s="8" t="n">
        <v>-2320.67</v>
      </c>
      <c r="M240" s="8" t="n">
        <v>-28225.82</v>
      </c>
      <c r="N240" s="7" t="n">
        <v>299</v>
      </c>
    </row>
    <row r="241" ht="21" customHeight="1">
      <c r="A241" s="7" t="n">
        <v>2026</v>
      </c>
      <c r="B241" s="7" t="n">
        <v>5</v>
      </c>
      <c r="C241" s="10" t="inlineStr">
        <is>
          <t>Verwaltung</t>
        </is>
      </c>
      <c r="D241" s="8" t="n">
        <v>-4172.4</v>
      </c>
      <c r="E241" s="8" t="n">
        <v>0</v>
      </c>
      <c r="F241" s="8" t="n">
        <v>5144.88</v>
      </c>
      <c r="G241" s="8" t="n">
        <v>-163550.51</v>
      </c>
      <c r="H241" s="8" t="n">
        <v>-4172.4</v>
      </c>
      <c r="I241" s="8" t="n">
        <v>-162578.03</v>
      </c>
      <c r="J241" s="8" t="n">
        <v>-10742.89</v>
      </c>
      <c r="K241" s="8" t="n">
        <v>-171</v>
      </c>
      <c r="L241" s="8" t="n">
        <v>-24423.56</v>
      </c>
      <c r="M241" s="8" t="n">
        <v>-197915.48</v>
      </c>
      <c r="N241" s="7" t="n">
        <v>245</v>
      </c>
    </row>
    <row r="242" ht="21" customHeight="1">
      <c r="A242" s="7" t="n">
        <v>2026</v>
      </c>
      <c r="B242" s="7" t="n">
        <v>5</v>
      </c>
      <c r="C242" s="10" t="inlineStr">
        <is>
          <t>West</t>
        </is>
      </c>
      <c r="D242" s="8" t="n">
        <v>714986.63</v>
      </c>
      <c r="E242" s="8" t="n">
        <v>-300461.68</v>
      </c>
      <c r="F242" s="8" t="n">
        <v>1146.22</v>
      </c>
      <c r="G242" s="8" t="n">
        <v>-362828.06</v>
      </c>
      <c r="H242" s="8" t="n">
        <v>414524.95</v>
      </c>
      <c r="I242" s="8" t="n">
        <v>52843.11</v>
      </c>
      <c r="J242" s="8" t="n">
        <v>-4760</v>
      </c>
      <c r="K242" s="8" t="n">
        <v>-1795.52</v>
      </c>
      <c r="L242" s="8" t="n">
        <v>-310.78</v>
      </c>
      <c r="M242" s="8" t="n">
        <v>45976.81</v>
      </c>
      <c r="N242" s="7" t="n">
        <v>434</v>
      </c>
    </row>
    <row r="243" ht="21" customHeight="1">
      <c r="A243" s="7" t="n">
        <v>2026</v>
      </c>
      <c r="B243" s="7" t="n">
        <v>6</v>
      </c>
      <c r="C243" s="10" t="inlineStr">
        <is>
          <t>Berlin</t>
        </is>
      </c>
      <c r="D243" s="8" t="n">
        <v>295727.88</v>
      </c>
      <c r="E243" s="8" t="n">
        <v>-155684.36</v>
      </c>
      <c r="F243" s="8" t="n">
        <v>362.19</v>
      </c>
      <c r="G243" s="8" t="n">
        <v>-63163.62</v>
      </c>
      <c r="H243" s="8" t="n">
        <v>140043.52</v>
      </c>
      <c r="I243" s="8" t="n">
        <v>77242.09</v>
      </c>
      <c r="J243" s="8" t="n">
        <v>-6.7</v>
      </c>
      <c r="K243" s="8" t="n">
        <v>-1522</v>
      </c>
      <c r="L243" s="8" t="n">
        <v>-341.05</v>
      </c>
      <c r="M243" s="8" t="n">
        <v>75372.34</v>
      </c>
      <c r="N243" s="7" t="n">
        <v>194</v>
      </c>
    </row>
    <row r="244" ht="21" customHeight="1">
      <c r="A244" s="7" t="n">
        <v>2026</v>
      </c>
      <c r="B244" s="7" t="n">
        <v>6</v>
      </c>
      <c r="C244" s="10" t="inlineStr">
        <is>
          <t>Ohne Zuordnung</t>
        </is>
      </c>
      <c r="D244" s="8" t="n">
        <v>0</v>
      </c>
      <c r="E244" s="8" t="n">
        <v>0</v>
      </c>
      <c r="F244" s="8" t="n">
        <v>0</v>
      </c>
      <c r="G244" s="8" t="n">
        <v>0</v>
      </c>
      <c r="H244" s="8" t="n">
        <v>0</v>
      </c>
      <c r="I244" s="8" t="n">
        <v>0</v>
      </c>
      <c r="J244" s="8" t="n">
        <v>83.81999999999999</v>
      </c>
      <c r="K244" s="8" t="n">
        <v>0</v>
      </c>
      <c r="L244" s="8" t="n">
        <v>0</v>
      </c>
      <c r="M244" s="8" t="n">
        <v>83.81999999999999</v>
      </c>
      <c r="N244" s="7" t="n">
        <v>206</v>
      </c>
    </row>
    <row r="245" ht="21" customHeight="1">
      <c r="A245" s="7" t="n">
        <v>2026</v>
      </c>
      <c r="B245" s="7" t="n">
        <v>6</v>
      </c>
      <c r="C245" s="10" t="inlineStr">
        <is>
          <t>Ost</t>
        </is>
      </c>
      <c r="D245" s="8" t="n">
        <v>441362</v>
      </c>
      <c r="E245" s="8" t="n">
        <v>124189.03</v>
      </c>
      <c r="F245" s="8" t="n">
        <v>2185.55</v>
      </c>
      <c r="G245" s="8" t="n">
        <v>-527996.95</v>
      </c>
      <c r="H245" s="8" t="n">
        <v>565551.03</v>
      </c>
      <c r="I245" s="8" t="n">
        <v>39739.63</v>
      </c>
      <c r="J245" s="8" t="n">
        <v>-81.86</v>
      </c>
      <c r="K245" s="8" t="n">
        <v>-757</v>
      </c>
      <c r="L245" s="8" t="n">
        <v>-131.77</v>
      </c>
      <c r="M245" s="8" t="n">
        <v>38769</v>
      </c>
      <c r="N245" s="7" t="n">
        <v>362</v>
      </c>
    </row>
    <row r="246" ht="21" customHeight="1">
      <c r="A246" s="7" t="n">
        <v>2026</v>
      </c>
      <c r="B246" s="7" t="n">
        <v>6</v>
      </c>
      <c r="C246" s="10" t="inlineStr">
        <is>
          <t>Süd-West</t>
        </is>
      </c>
      <c r="D246" s="8" t="n">
        <v>732119.79</v>
      </c>
      <c r="E246" s="8" t="n">
        <v>-59226.48</v>
      </c>
      <c r="F246" s="8" t="n">
        <v>1691.91</v>
      </c>
      <c r="G246" s="8" t="n">
        <v>-630190.77</v>
      </c>
      <c r="H246" s="8" t="n">
        <v>672893.3100000001</v>
      </c>
      <c r="I246" s="8" t="n">
        <v>44394.45</v>
      </c>
      <c r="J246" s="8" t="n">
        <v>0</v>
      </c>
      <c r="K246" s="8" t="n">
        <v>-5157.7</v>
      </c>
      <c r="L246" s="8" t="n">
        <v>-230.4</v>
      </c>
      <c r="M246" s="8" t="n">
        <v>39006.35</v>
      </c>
      <c r="N246" s="7" t="n">
        <v>363</v>
      </c>
    </row>
    <row r="247" ht="21" customHeight="1">
      <c r="A247" s="7" t="n">
        <v>2026</v>
      </c>
      <c r="B247" s="7" t="n">
        <v>6</v>
      </c>
      <c r="C247" s="10" t="inlineStr">
        <is>
          <t>Verwaltung</t>
        </is>
      </c>
      <c r="D247" s="8" t="n">
        <v>1842.2</v>
      </c>
      <c r="E247" s="8" t="n">
        <v>0</v>
      </c>
      <c r="F247" s="8" t="n">
        <v>3692.47</v>
      </c>
      <c r="G247" s="8" t="n">
        <v>-151995.46</v>
      </c>
      <c r="H247" s="8" t="n">
        <v>1842.2</v>
      </c>
      <c r="I247" s="8" t="n">
        <v>-146460.79</v>
      </c>
      <c r="J247" s="8" t="n">
        <v>-12739.76</v>
      </c>
      <c r="K247" s="8" t="n">
        <v>-173</v>
      </c>
      <c r="L247" s="8" t="n">
        <v>-26886.77</v>
      </c>
      <c r="M247" s="8" t="n">
        <v>-186260.32</v>
      </c>
      <c r="N247" s="7" t="n">
        <v>248</v>
      </c>
    </row>
    <row r="248" ht="21" customHeight="1">
      <c r="A248" s="7" t="n">
        <v>2026</v>
      </c>
      <c r="B248" s="7" t="n">
        <v>6</v>
      </c>
      <c r="C248" s="10" t="inlineStr">
        <is>
          <t>West</t>
        </is>
      </c>
      <c r="D248" s="8" t="n">
        <v>998990.23</v>
      </c>
      <c r="E248" s="8" t="n">
        <v>405367.04</v>
      </c>
      <c r="F248" s="8" t="n">
        <v>9136.219999999999</v>
      </c>
      <c r="G248" s="8" t="n">
        <v>-1369855.01</v>
      </c>
      <c r="H248" s="8" t="n">
        <v>1404357.27</v>
      </c>
      <c r="I248" s="8" t="n">
        <v>43638.48</v>
      </c>
      <c r="J248" s="8" t="n">
        <v>0</v>
      </c>
      <c r="K248" s="8" t="n">
        <v>-1438.26</v>
      </c>
      <c r="L248" s="8" t="n">
        <v>-616.5599999999999</v>
      </c>
      <c r="M248" s="8" t="n">
        <v>41583.66</v>
      </c>
      <c r="N248" s="7" t="n">
        <v>440</v>
      </c>
    </row>
    <row r="249" ht="21" customHeight="1">
      <c r="A249" s="7" t="n">
        <v>2026</v>
      </c>
      <c r="B249" s="7" t="n">
        <v>7</v>
      </c>
      <c r="C249" s="10" t="inlineStr">
        <is>
          <t>Berlin</t>
        </is>
      </c>
      <c r="D249" s="8" t="n">
        <v>-45552.79</v>
      </c>
      <c r="E249" s="8" t="n">
        <v>97927.89</v>
      </c>
      <c r="F249" s="8" t="n">
        <v>362.19</v>
      </c>
      <c r="G249" s="8" t="n">
        <v>-58028.78</v>
      </c>
      <c r="H249" s="8" t="n">
        <v>52375.1</v>
      </c>
      <c r="I249" s="8" t="n">
        <v>-5291.49</v>
      </c>
      <c r="J249" s="8" t="n">
        <v>-44.02</v>
      </c>
      <c r="K249" s="8" t="n">
        <v>-1517</v>
      </c>
      <c r="L249" s="8" t="n">
        <v>187.03</v>
      </c>
      <c r="M249" s="8" t="n">
        <v>-6665.48</v>
      </c>
      <c r="N249" s="7" t="n">
        <v>170</v>
      </c>
    </row>
    <row r="250" ht="21" customHeight="1">
      <c r="A250" s="7" t="n">
        <v>2026</v>
      </c>
      <c r="B250" s="7" t="n">
        <v>7</v>
      </c>
      <c r="C250" s="10" t="inlineStr">
        <is>
          <t>Ohne Zuordnung</t>
        </is>
      </c>
      <c r="D250" s="8" t="n">
        <v>0</v>
      </c>
      <c r="E250" s="8" t="n">
        <v>0</v>
      </c>
      <c r="F250" s="8" t="n">
        <v>0</v>
      </c>
      <c r="G250" s="8" t="n">
        <v>0</v>
      </c>
      <c r="H250" s="8" t="n">
        <v>0</v>
      </c>
      <c r="I250" s="8" t="n">
        <v>0</v>
      </c>
      <c r="J250" s="8" t="n">
        <v>0</v>
      </c>
      <c r="K250" s="8" t="n">
        <v>0</v>
      </c>
      <c r="L250" s="8" t="n">
        <v>0</v>
      </c>
      <c r="M250" s="8" t="n">
        <v>0</v>
      </c>
      <c r="N250" s="7" t="n">
        <v>177</v>
      </c>
    </row>
    <row r="251" ht="21" customHeight="1">
      <c r="A251" s="7" t="n">
        <v>2026</v>
      </c>
      <c r="B251" s="7" t="n">
        <v>7</v>
      </c>
      <c r="C251" s="10" t="inlineStr">
        <is>
          <t>Ost</t>
        </is>
      </c>
      <c r="D251" s="8" t="n">
        <v>554294.62</v>
      </c>
      <c r="E251" s="8" t="n">
        <v>67688.84</v>
      </c>
      <c r="F251" s="8" t="n">
        <v>2188.33</v>
      </c>
      <c r="G251" s="8" t="n">
        <v>-521634.67</v>
      </c>
      <c r="H251" s="8" t="n">
        <v>621983.46</v>
      </c>
      <c r="I251" s="8" t="n">
        <v>102537.12</v>
      </c>
      <c r="J251" s="8" t="n">
        <v>-515.14</v>
      </c>
      <c r="K251" s="8" t="n">
        <v>-747</v>
      </c>
      <c r="L251" s="8" t="n">
        <v>-1239.69</v>
      </c>
      <c r="M251" s="8" t="n">
        <v>100035.29</v>
      </c>
      <c r="N251" s="7" t="n">
        <v>347</v>
      </c>
    </row>
    <row r="252" ht="21" customHeight="1">
      <c r="A252" s="7" t="n">
        <v>2026</v>
      </c>
      <c r="B252" s="7" t="n">
        <v>7</v>
      </c>
      <c r="C252" s="10" t="inlineStr">
        <is>
          <t>Süd-West</t>
        </is>
      </c>
      <c r="D252" s="8" t="n">
        <v>600733.45</v>
      </c>
      <c r="E252" s="8" t="n">
        <v>-246925.51</v>
      </c>
      <c r="F252" s="8" t="n">
        <v>886.4299999999999</v>
      </c>
      <c r="G252" s="8" t="n">
        <v>-448911.87</v>
      </c>
      <c r="H252" s="8" t="n">
        <v>353807.94</v>
      </c>
      <c r="I252" s="8" t="n">
        <v>-94217.5</v>
      </c>
      <c r="J252" s="8" t="n">
        <v>29.37</v>
      </c>
      <c r="K252" s="8" t="n">
        <v>-4904.71</v>
      </c>
      <c r="L252" s="8" t="n">
        <v>-18059.48</v>
      </c>
      <c r="M252" s="8" t="n">
        <v>-117152.32</v>
      </c>
      <c r="N252" s="7" t="n">
        <v>312</v>
      </c>
    </row>
    <row r="253" ht="21" customHeight="1">
      <c r="A253" s="7" t="n">
        <v>2026</v>
      </c>
      <c r="B253" s="7" t="n">
        <v>7</v>
      </c>
      <c r="C253" s="10" t="inlineStr">
        <is>
          <t>Verwaltung</t>
        </is>
      </c>
      <c r="D253" s="8" t="n">
        <v>-0.01</v>
      </c>
      <c r="E253" s="8" t="n">
        <v>0</v>
      </c>
      <c r="F253" s="8" t="n">
        <v>2776.68</v>
      </c>
      <c r="G253" s="8" t="n">
        <v>-144787.64</v>
      </c>
      <c r="H253" s="8" t="n">
        <v>-0.01</v>
      </c>
      <c r="I253" s="8" t="n">
        <v>-142010.97</v>
      </c>
      <c r="J253" s="8" t="n">
        <v>-7549.3</v>
      </c>
      <c r="K253" s="8" t="n">
        <v>-170</v>
      </c>
      <c r="L253" s="8" t="n">
        <v>47943.29</v>
      </c>
      <c r="M253" s="8" t="n">
        <v>-101786.98</v>
      </c>
      <c r="N253" s="7" t="n">
        <v>297</v>
      </c>
    </row>
    <row r="254" ht="21" customHeight="1">
      <c r="A254" s="7" t="n">
        <v>2026</v>
      </c>
      <c r="B254" s="7" t="n">
        <v>7</v>
      </c>
      <c r="C254" s="10" t="inlineStr">
        <is>
          <t>West</t>
        </is>
      </c>
      <c r="D254" s="8" t="n">
        <v>214452.93</v>
      </c>
      <c r="E254" s="8" t="n">
        <v>376025.24</v>
      </c>
      <c r="F254" s="8" t="n">
        <v>9112.6</v>
      </c>
      <c r="G254" s="8" t="n">
        <v>-955899.47</v>
      </c>
      <c r="H254" s="8" t="n">
        <v>590478.17</v>
      </c>
      <c r="I254" s="8" t="n">
        <v>-356308.7</v>
      </c>
      <c r="J254" s="8" t="n">
        <v>0</v>
      </c>
      <c r="K254" s="8" t="n">
        <v>-1744.26</v>
      </c>
      <c r="L254" s="8" t="n">
        <v>-287.53</v>
      </c>
      <c r="M254" s="8" t="n">
        <v>-358340.49</v>
      </c>
      <c r="N254" s="7" t="n">
        <v>513</v>
      </c>
    </row>
    <row r="255" ht="21" customHeight="1">
      <c r="A255" s="7" t="n">
        <v>2026</v>
      </c>
      <c r="B255" s="7" t="n">
        <v>8</v>
      </c>
      <c r="C255" s="10" t="inlineStr">
        <is>
          <t>Berlin</t>
        </is>
      </c>
      <c r="D255" s="8" t="n">
        <v>63000</v>
      </c>
      <c r="E255" s="8" t="n">
        <v>12969.96</v>
      </c>
      <c r="F255" s="8" t="n">
        <v>362.19</v>
      </c>
      <c r="G255" s="8" t="n">
        <v>-113439.39</v>
      </c>
      <c r="H255" s="8" t="n">
        <v>75969.96000000001</v>
      </c>
      <c r="I255" s="8" t="n">
        <v>-37107.24</v>
      </c>
      <c r="J255" s="8" t="n">
        <v>0</v>
      </c>
      <c r="K255" s="8" t="n">
        <v>-1542.43</v>
      </c>
      <c r="L255" s="8" t="n">
        <v>-33.74</v>
      </c>
      <c r="M255" s="8" t="n">
        <v>-38683.41</v>
      </c>
      <c r="N255" s="7" t="n">
        <v>178</v>
      </c>
    </row>
    <row r="256" ht="21" customHeight="1">
      <c r="A256" s="7" t="n">
        <v>2026</v>
      </c>
      <c r="B256" s="7" t="n">
        <v>8</v>
      </c>
      <c r="C256" s="10" t="inlineStr">
        <is>
          <t>Ost</t>
        </is>
      </c>
      <c r="D256" s="8" t="n">
        <v>371050.11</v>
      </c>
      <c r="E256" s="8" t="n">
        <v>94095.92999999999</v>
      </c>
      <c r="F256" s="8" t="n">
        <v>2188.33</v>
      </c>
      <c r="G256" s="8" t="n">
        <v>-452306.79</v>
      </c>
      <c r="H256" s="8" t="n">
        <v>465146.04</v>
      </c>
      <c r="I256" s="8" t="n">
        <v>15027.58</v>
      </c>
      <c r="J256" s="8" t="n">
        <v>-448.53</v>
      </c>
      <c r="K256" s="8" t="n">
        <v>-743</v>
      </c>
      <c r="L256" s="8" t="n">
        <v>490.83</v>
      </c>
      <c r="M256" s="8" t="n">
        <v>14326.88</v>
      </c>
      <c r="N256" s="7" t="n">
        <v>377</v>
      </c>
    </row>
    <row r="257" ht="21" customHeight="1">
      <c r="A257" s="7" t="n">
        <v>2026</v>
      </c>
      <c r="B257" s="7" t="n">
        <v>8</v>
      </c>
      <c r="C257" s="10" t="inlineStr">
        <is>
          <t>Süd-West</t>
        </is>
      </c>
      <c r="D257" s="8" t="n">
        <v>182167.04</v>
      </c>
      <c r="E257" s="8" t="n">
        <v>106376.58</v>
      </c>
      <c r="F257" s="8" t="n">
        <v>873.7</v>
      </c>
      <c r="G257" s="8" t="n">
        <v>-435808.18</v>
      </c>
      <c r="H257" s="8" t="n">
        <v>288543.62</v>
      </c>
      <c r="I257" s="8" t="n">
        <v>-146390.86</v>
      </c>
      <c r="J257" s="8" t="n">
        <v>0</v>
      </c>
      <c r="K257" s="8" t="n">
        <v>-4902</v>
      </c>
      <c r="L257" s="8" t="n">
        <v>574.22</v>
      </c>
      <c r="M257" s="8" t="n">
        <v>-150718.64</v>
      </c>
      <c r="N257" s="7" t="n">
        <v>335</v>
      </c>
    </row>
    <row r="258" ht="21" customHeight="1">
      <c r="A258" s="7" t="n">
        <v>2026</v>
      </c>
      <c r="B258" s="7" t="n">
        <v>8</v>
      </c>
      <c r="C258" s="10" t="inlineStr">
        <is>
          <t>Verwaltung</t>
        </is>
      </c>
      <c r="D258" s="8" t="n">
        <v>0</v>
      </c>
      <c r="E258" s="8" t="n">
        <v>0</v>
      </c>
      <c r="F258" s="8" t="n">
        <v>7311.63</v>
      </c>
      <c r="G258" s="8" t="n">
        <v>-145253.69</v>
      </c>
      <c r="H258" s="8" t="n">
        <v>0</v>
      </c>
      <c r="I258" s="8" t="n">
        <v>-137942.06</v>
      </c>
      <c r="J258" s="8" t="n">
        <v>-11976.94</v>
      </c>
      <c r="K258" s="8" t="n">
        <v>-172</v>
      </c>
      <c r="L258" s="8" t="n">
        <v>-99.09</v>
      </c>
      <c r="M258" s="8" t="n">
        <v>-150190.09</v>
      </c>
      <c r="N258" s="7" t="n">
        <v>360</v>
      </c>
    </row>
    <row r="259" ht="21" customHeight="1">
      <c r="A259" s="7" t="n">
        <v>2026</v>
      </c>
      <c r="B259" s="7" t="n">
        <v>8</v>
      </c>
      <c r="C259" s="10" t="inlineStr">
        <is>
          <t>West</t>
        </is>
      </c>
      <c r="D259" s="8" t="n">
        <v>238122.69</v>
      </c>
      <c r="E259" s="8" t="n">
        <v>809082.67</v>
      </c>
      <c r="F259" s="8" t="n">
        <v>1900.84</v>
      </c>
      <c r="G259" s="8" t="n">
        <v>-880935.99</v>
      </c>
      <c r="H259" s="8" t="n">
        <v>1047205.36</v>
      </c>
      <c r="I259" s="8" t="n">
        <v>168170.21</v>
      </c>
      <c r="J259" s="8" t="n">
        <v>0</v>
      </c>
      <c r="K259" s="8" t="n">
        <v>-1750.42</v>
      </c>
      <c r="L259" s="8" t="n">
        <v>-290.73</v>
      </c>
      <c r="M259" s="8" t="n">
        <v>166129.06</v>
      </c>
      <c r="N259" s="7" t="n">
        <v>434</v>
      </c>
    </row>
    <row r="260" ht="21" customHeight="1">
      <c r="A260" s="7" t="n">
        <v>2026</v>
      </c>
      <c r="B260" s="7" t="n">
        <v>9</v>
      </c>
      <c r="C260" s="10" t="inlineStr">
        <is>
          <t>Berlin</t>
        </is>
      </c>
      <c r="D260" s="8" t="n">
        <v>78054.73</v>
      </c>
      <c r="E260" s="8" t="n">
        <v>0</v>
      </c>
      <c r="F260" s="8" t="n">
        <v>0</v>
      </c>
      <c r="G260" s="8" t="n">
        <v>-4962.05</v>
      </c>
      <c r="H260" s="8" t="n">
        <v>78054.73</v>
      </c>
      <c r="I260" s="8" t="n">
        <v>73092.67999999999</v>
      </c>
      <c r="J260" s="8" t="n">
        <v>0</v>
      </c>
      <c r="K260" s="8" t="n">
        <v>0</v>
      </c>
      <c r="L260" s="8" t="n">
        <v>0</v>
      </c>
      <c r="M260" s="8" t="n">
        <v>73092.67999999999</v>
      </c>
      <c r="N260" s="7" t="n">
        <v>28</v>
      </c>
    </row>
    <row r="261" ht="21" customHeight="1">
      <c r="A261" s="7" t="n">
        <v>2026</v>
      </c>
      <c r="B261" s="7" t="n">
        <v>9</v>
      </c>
      <c r="C261" s="10" t="inlineStr">
        <is>
          <t>Ost</t>
        </is>
      </c>
      <c r="D261" s="8" t="n">
        <v>18169.04</v>
      </c>
      <c r="E261" s="8" t="n">
        <v>0</v>
      </c>
      <c r="F261" s="8" t="n">
        <v>0</v>
      </c>
      <c r="G261" s="8" t="n">
        <v>-39892.93</v>
      </c>
      <c r="H261" s="8" t="n">
        <v>18169.04</v>
      </c>
      <c r="I261" s="8" t="n">
        <v>-21723.89</v>
      </c>
      <c r="J261" s="8" t="n">
        <v>0</v>
      </c>
      <c r="K261" s="8" t="n">
        <v>0</v>
      </c>
      <c r="L261" s="8" t="n">
        <v>0</v>
      </c>
      <c r="M261" s="8" t="n">
        <v>-21723.89</v>
      </c>
      <c r="N261" s="7" t="n">
        <v>72</v>
      </c>
    </row>
    <row r="262" ht="21" customHeight="1">
      <c r="A262" s="7" t="n">
        <v>2026</v>
      </c>
      <c r="B262" s="7" t="n">
        <v>9</v>
      </c>
      <c r="C262" s="10" t="inlineStr">
        <is>
          <t>Süd-West</t>
        </is>
      </c>
      <c r="D262" s="8" t="n">
        <v>5198.24</v>
      </c>
      <c r="E262" s="8" t="n">
        <v>0</v>
      </c>
      <c r="F262" s="8" t="n">
        <v>0</v>
      </c>
      <c r="G262" s="8" t="n">
        <v>-247259.27</v>
      </c>
      <c r="H262" s="8" t="n">
        <v>5198.24</v>
      </c>
      <c r="I262" s="8" t="n">
        <v>-242061.03</v>
      </c>
      <c r="J262" s="8" t="n">
        <v>0</v>
      </c>
      <c r="K262" s="8" t="n">
        <v>0</v>
      </c>
      <c r="L262" s="8" t="n">
        <v>0</v>
      </c>
      <c r="M262" s="8" t="n">
        <v>-242061.03</v>
      </c>
      <c r="N262" s="7" t="n">
        <v>73</v>
      </c>
    </row>
    <row r="263" ht="21" customHeight="1">
      <c r="A263" s="7" t="n">
        <v>2026</v>
      </c>
      <c r="B263" s="7" t="n">
        <v>9</v>
      </c>
      <c r="C263" s="10" t="inlineStr">
        <is>
          <t>West</t>
        </is>
      </c>
      <c r="D263" s="8" t="n">
        <v>845719.74</v>
      </c>
      <c r="E263" s="8" t="n">
        <v>0</v>
      </c>
      <c r="F263" s="8" t="n">
        <v>0</v>
      </c>
      <c r="G263" s="8" t="n">
        <v>-1269386.63</v>
      </c>
      <c r="H263" s="8" t="n">
        <v>845719.74</v>
      </c>
      <c r="I263" s="8" t="n">
        <v>-423666.89</v>
      </c>
      <c r="J263" s="8" t="n">
        <v>0</v>
      </c>
      <c r="K263" s="8" t="n">
        <v>0</v>
      </c>
      <c r="L263" s="8" t="n">
        <v>312530</v>
      </c>
      <c r="M263" s="8" t="n">
        <v>-111136.89</v>
      </c>
      <c r="N263" s="7" t="n">
        <v>147</v>
      </c>
    </row>
    <row r="267" ht="24" customHeight="1">
      <c r="A267" s="58" t="inlineStr">
        <is>
          <t>v_forecast_bruecke</t>
        </is>
      </c>
    </row>
    <row r="268" ht="36" customHeight="1">
      <c r="A268" s="3" t="inlineStr">
        <is>
          <t>sort</t>
        </is>
      </c>
      <c r="B268" s="3" t="inlineStr">
        <is>
          <t>position</t>
        </is>
      </c>
      <c r="C268" s="3" t="inlineStr">
        <is>
          <t>quelle</t>
        </is>
      </c>
      <c r="D268" s="3" t="inlineStr">
        <is>
          <t>wert</t>
        </is>
      </c>
    </row>
    <row r="269" ht="21" customHeight="1">
      <c r="A269" s="7" t="n">
        <v>1</v>
      </c>
      <c r="B269" s="10" t="inlineStr">
        <is>
          <t>Ergebnis Ist Januar bis August</t>
        </is>
      </c>
      <c r="C269" s="10" t="inlineStr">
        <is>
          <t>SAP-Einzelposten, gegen den Abschluss geprüft</t>
        </is>
      </c>
      <c r="D269" s="8" t="n">
        <v>460631.33</v>
      </c>
    </row>
    <row r="270" ht="21" customHeight="1">
      <c r="A270" s="7" t="n">
        <v>2</v>
      </c>
      <c r="B270" s="10" t="inlineStr">
        <is>
          <t>EBITDA September bis Dezember</t>
        </is>
      </c>
      <c r="C270" s="10" t="inlineStr">
        <is>
          <t>Rolling Forecast</t>
        </is>
      </c>
      <c r="D270" s="8" t="n">
        <v>-698265</v>
      </c>
    </row>
    <row r="271" ht="21" customHeight="1">
      <c r="A271" s="7" t="n">
        <v>3</v>
      </c>
      <c r="B271" s="10" t="inlineStr">
        <is>
          <t>Abschreibungen September bis Dezember</t>
        </is>
      </c>
      <c r="C271" s="10" t="inlineStr">
        <is>
          <t>Fortschreibung der Ist-Monatsrate Januar bis August</t>
        </is>
      </c>
      <c r="D271" s="8" t="n">
        <v>37838.39</v>
      </c>
    </row>
    <row r="272" ht="21" customHeight="1">
      <c r="A272" s="7" t="n">
        <v>4</v>
      </c>
      <c r="B272" s="10" t="inlineStr">
        <is>
          <t>Finanzergebnis September bis Dezember</t>
        </is>
      </c>
      <c r="C272" s="10" t="inlineStr">
        <is>
          <t>Fortschreibung der Ist-Monatsrate Januar bis August</t>
        </is>
      </c>
      <c r="D272" s="8" t="n">
        <v>39943.88</v>
      </c>
    </row>
    <row r="276" ht="24" customHeight="1">
      <c r="A276" s="58" t="inlineStr">
        <is>
          <t>v_forecast_reihe</t>
        </is>
      </c>
    </row>
    <row r="277" ht="36" customHeight="1">
      <c r="A277" s="3" t="inlineStr">
        <is>
          <t>monat</t>
        </is>
      </c>
      <c r="B277" s="3" t="inlineStr">
        <is>
          <t>quelle</t>
        </is>
      </c>
      <c r="C277" s="3" t="inlineStr">
        <is>
          <t>ist</t>
        </is>
      </c>
      <c r="D277" s="3" t="inlineStr">
        <is>
          <t>ergebnis</t>
        </is>
      </c>
      <c r="E277" s="3" t="inlineStr">
        <is>
          <t>umsatz</t>
        </is>
      </c>
      <c r="F277" s="3" t="inlineStr">
        <is>
          <t>bestandsaenderung</t>
        </is>
      </c>
      <c r="G277" s="3" t="inlineStr">
        <is>
          <t>ebitda</t>
        </is>
      </c>
      <c r="H277" s="3" t="inlineStr">
        <is>
          <t>jahr</t>
        </is>
      </c>
    </row>
    <row r="278" ht="21" customHeight="1">
      <c r="A278" s="7" t="n">
        <v>1</v>
      </c>
      <c r="B278" s="10" t="inlineStr">
        <is>
          <t>SAP-Ist</t>
        </is>
      </c>
      <c r="C278" s="10" t="b">
        <v>1</v>
      </c>
      <c r="D278" s="8" t="n">
        <v>-274732.25</v>
      </c>
      <c r="E278" s="8" t="n">
        <v>639565.45</v>
      </c>
      <c r="F278" s="8" t="n">
        <v>1280847.26</v>
      </c>
      <c r="G278" s="8" t="n">
        <v>294942.37</v>
      </c>
      <c r="H278" s="7" t="n">
        <v>2026</v>
      </c>
    </row>
    <row r="279" ht="21" customHeight="1">
      <c r="A279" s="7" t="n">
        <v>2</v>
      </c>
      <c r="B279" s="10" t="inlineStr">
        <is>
          <t>SAP-Ist</t>
        </is>
      </c>
      <c r="C279" s="10" t="b">
        <v>1</v>
      </c>
      <c r="D279" s="8" t="n">
        <v>-298238.23</v>
      </c>
      <c r="E279" s="8" t="n">
        <v>2777244.65</v>
      </c>
      <c r="F279" s="8" t="n">
        <v>-200176.92</v>
      </c>
      <c r="G279" s="8" t="n">
        <v>318570.76</v>
      </c>
      <c r="H279" s="7" t="n">
        <v>2026</v>
      </c>
    </row>
    <row r="280" ht="21" customHeight="1">
      <c r="A280" s="7" t="n">
        <v>3</v>
      </c>
      <c r="B280" s="10" t="inlineStr">
        <is>
          <t>SAP-Ist</t>
        </is>
      </c>
      <c r="C280" s="10" t="b">
        <v>1</v>
      </c>
      <c r="D280" s="8" t="n">
        <v>8831.02</v>
      </c>
      <c r="E280" s="8" t="n">
        <v>1213541.38</v>
      </c>
      <c r="F280" s="8" t="n">
        <v>1198671.49</v>
      </c>
      <c r="G280" s="8" t="n">
        <v>23595.18</v>
      </c>
      <c r="H280" s="7" t="n">
        <v>2026</v>
      </c>
    </row>
    <row r="281" ht="21" customHeight="1">
      <c r="A281" s="7" t="n">
        <v>4</v>
      </c>
      <c r="B281" s="10" t="inlineStr">
        <is>
          <t>SAP-Ist</t>
        </is>
      </c>
      <c r="C281" s="10" t="b">
        <v>1</v>
      </c>
      <c r="D281" s="8" t="n">
        <v>202827.31</v>
      </c>
      <c r="E281" s="8" t="n">
        <v>678343.59</v>
      </c>
      <c r="F281" s="8" t="n">
        <v>1261219.89</v>
      </c>
      <c r="G281" s="8" t="n">
        <v>-179274.07</v>
      </c>
      <c r="H281" s="7" t="n">
        <v>2026</v>
      </c>
    </row>
    <row r="282" ht="21" customHeight="1">
      <c r="A282" s="7" t="n">
        <v>5</v>
      </c>
      <c r="B282" s="10" t="inlineStr">
        <is>
          <t>SAP-Ist</t>
        </is>
      </c>
      <c r="C282" s="10" t="b">
        <v>1</v>
      </c>
      <c r="D282" s="8" t="n">
        <v>169050.97</v>
      </c>
      <c r="E282" s="8" t="n">
        <v>1347585.48</v>
      </c>
      <c r="F282" s="8" t="n">
        <v>-263604.09</v>
      </c>
      <c r="G282" s="8" t="n">
        <v>-141241.9</v>
      </c>
      <c r="H282" s="7" t="n">
        <v>2026</v>
      </c>
    </row>
    <row r="283" ht="21" customHeight="1">
      <c r="A283" s="7" t="n">
        <v>6</v>
      </c>
      <c r="B283" s="10" t="inlineStr">
        <is>
          <t>SAP-Ist</t>
        </is>
      </c>
      <c r="C283" s="10" t="b">
        <v>1</v>
      </c>
      <c r="D283" s="8" t="n">
        <v>-36677.58</v>
      </c>
      <c r="E283" s="8" t="n">
        <v>2470042.1</v>
      </c>
      <c r="F283" s="8" t="n">
        <v>314645.23</v>
      </c>
      <c r="G283" s="8" t="n">
        <v>58553.86</v>
      </c>
      <c r="H283" s="7" t="n">
        <v>2026</v>
      </c>
    </row>
    <row r="284" ht="21" customHeight="1">
      <c r="A284" s="7" t="n">
        <v>7</v>
      </c>
      <c r="B284" s="10" t="inlineStr">
        <is>
          <t>SAP-Ist</t>
        </is>
      </c>
      <c r="C284" s="10" t="b">
        <v>1</v>
      </c>
      <c r="D284" s="8" t="n">
        <v>531284.6</v>
      </c>
      <c r="E284" s="8" t="n">
        <v>1323928.2</v>
      </c>
      <c r="F284" s="8" t="n">
        <v>294716.46</v>
      </c>
      <c r="G284" s="8" t="n">
        <v>-495291.54</v>
      </c>
      <c r="H284" s="7" t="n">
        <v>2026</v>
      </c>
    </row>
    <row r="285" ht="21" customHeight="1">
      <c r="A285" s="7" t="n">
        <v>8</v>
      </c>
      <c r="B285" s="10" t="inlineStr">
        <is>
          <t>SAP-Ist</t>
        </is>
      </c>
      <c r="C285" s="10" t="b">
        <v>1</v>
      </c>
      <c r="D285" s="8" t="n">
        <v>158285.49</v>
      </c>
      <c r="E285" s="8" t="n">
        <v>854339.84</v>
      </c>
      <c r="F285" s="8" t="n">
        <v>1022525.14</v>
      </c>
      <c r="G285" s="8" t="n">
        <v>-138242.37</v>
      </c>
      <c r="H285" s="7" t="n">
        <v>2026</v>
      </c>
    </row>
    <row r="286" ht="21" customHeight="1">
      <c r="A286" s="7" t="n">
        <v>9</v>
      </c>
      <c r="B286" s="10" t="inlineStr">
        <is>
          <t>Rolling Forecast</t>
        </is>
      </c>
      <c r="C286" s="10" t="b">
        <v>0</v>
      </c>
      <c r="D286" s="8" t="n">
        <v>-448998.44</v>
      </c>
      <c r="E286" s="8" t="n">
        <v>2604944</v>
      </c>
      <c r="F286" s="8" t="n">
        <v>0</v>
      </c>
      <c r="G286" s="8" t="n">
        <v>468444</v>
      </c>
      <c r="H286" s="7" t="n">
        <v>2026</v>
      </c>
    </row>
    <row r="287" ht="21" customHeight="1">
      <c r="A287" s="7" t="n">
        <v>10</v>
      </c>
      <c r="B287" s="10" t="inlineStr">
        <is>
          <t>Rolling Forecast</t>
        </is>
      </c>
      <c r="C287" s="10" t="b">
        <v>0</v>
      </c>
      <c r="D287" s="8" t="n">
        <v>-241804.44</v>
      </c>
      <c r="E287" s="8" t="n">
        <v>1333000</v>
      </c>
      <c r="F287" s="8" t="n">
        <v>0</v>
      </c>
      <c r="G287" s="8" t="n">
        <v>261250</v>
      </c>
      <c r="H287" s="7" t="n">
        <v>2026</v>
      </c>
    </row>
    <row r="288" ht="21" customHeight="1">
      <c r="A288" s="7" t="n">
        <v>11</v>
      </c>
      <c r="B288" s="10" t="inlineStr">
        <is>
          <t>Rolling Forecast</t>
        </is>
      </c>
      <c r="C288" s="10" t="b">
        <v>0</v>
      </c>
      <c r="D288" s="8" t="n">
        <v>-497204.44</v>
      </c>
      <c r="E288" s="8" t="n">
        <v>1775000</v>
      </c>
      <c r="F288" s="8" t="n">
        <v>0</v>
      </c>
      <c r="G288" s="8" t="n">
        <v>516650</v>
      </c>
      <c r="H288" s="7" t="n">
        <v>2026</v>
      </c>
    </row>
    <row r="289" ht="21" customHeight="1">
      <c r="A289" s="7" t="n">
        <v>12</v>
      </c>
      <c r="B289" s="10" t="inlineStr">
        <is>
          <t>Rolling Forecast</t>
        </is>
      </c>
      <c r="C289" s="10" t="b">
        <v>0</v>
      </c>
      <c r="D289" s="8" t="n">
        <v>-6707.44</v>
      </c>
      <c r="E289" s="8" t="n">
        <v>1073000</v>
      </c>
      <c r="F289" s="8" t="n">
        <v>0</v>
      </c>
      <c r="G289" s="8" t="n">
        <v>26153</v>
      </c>
      <c r="H289" s="7" t="n">
        <v>2026</v>
      </c>
    </row>
    <row r="290" ht="21" customHeight="1">
      <c r="A290" s="7" t="n">
        <v>1</v>
      </c>
      <c r="B290" s="10" t="inlineStr">
        <is>
          <t>Plan</t>
        </is>
      </c>
      <c r="C290" s="10" t="b">
        <v>0</v>
      </c>
      <c r="D290" s="8" t="n">
        <v>-84756.67</v>
      </c>
      <c r="E290" s="8" t="n">
        <v>1566666.67</v>
      </c>
      <c r="F290" s="8" t="n">
        <v>0</v>
      </c>
      <c r="G290" s="8" t="n">
        <v>84756.67</v>
      </c>
      <c r="H290" s="7" t="n">
        <v>2027</v>
      </c>
    </row>
    <row r="291" ht="21" customHeight="1">
      <c r="A291" s="7" t="n">
        <v>2</v>
      </c>
      <c r="B291" s="10" t="inlineStr">
        <is>
          <t>Plan</t>
        </is>
      </c>
      <c r="C291" s="10" t="b">
        <v>0</v>
      </c>
      <c r="D291" s="8" t="n">
        <v>-84756.67</v>
      </c>
      <c r="E291" s="8" t="n">
        <v>1566666.67</v>
      </c>
      <c r="F291" s="8" t="n">
        <v>0</v>
      </c>
      <c r="G291" s="8" t="n">
        <v>84756.67</v>
      </c>
      <c r="H291" s="7" t="n">
        <v>2027</v>
      </c>
    </row>
    <row r="292" ht="21" customHeight="1">
      <c r="A292" s="7" t="n">
        <v>3</v>
      </c>
      <c r="B292" s="10" t="inlineStr">
        <is>
          <t>Plan</t>
        </is>
      </c>
      <c r="C292" s="10" t="b">
        <v>0</v>
      </c>
      <c r="D292" s="8" t="n">
        <v>-84756.67</v>
      </c>
      <c r="E292" s="8" t="n">
        <v>1566666.67</v>
      </c>
      <c r="F292" s="8" t="n">
        <v>0</v>
      </c>
      <c r="G292" s="8" t="n">
        <v>84756.67</v>
      </c>
      <c r="H292" s="7" t="n">
        <v>2027</v>
      </c>
    </row>
    <row r="293" ht="21" customHeight="1">
      <c r="A293" s="7" t="n">
        <v>4</v>
      </c>
      <c r="B293" s="10" t="inlineStr">
        <is>
          <t>Plan</t>
        </is>
      </c>
      <c r="C293" s="10" t="b">
        <v>0</v>
      </c>
      <c r="D293" s="8" t="n">
        <v>-81150</v>
      </c>
      <c r="E293" s="8" t="n">
        <v>1500000</v>
      </c>
      <c r="F293" s="8" t="n">
        <v>0</v>
      </c>
      <c r="G293" s="8" t="n">
        <v>81150</v>
      </c>
      <c r="H293" s="7" t="n">
        <v>2027</v>
      </c>
    </row>
    <row r="294" ht="21" customHeight="1">
      <c r="A294" s="7" t="n">
        <v>5</v>
      </c>
      <c r="B294" s="10" t="inlineStr">
        <is>
          <t>Plan</t>
        </is>
      </c>
      <c r="C294" s="10" t="b">
        <v>0</v>
      </c>
      <c r="D294" s="8" t="n">
        <v>-81150</v>
      </c>
      <c r="E294" s="8" t="n">
        <v>1500000</v>
      </c>
      <c r="F294" s="8" t="n">
        <v>0</v>
      </c>
      <c r="G294" s="8" t="n">
        <v>81150</v>
      </c>
      <c r="H294" s="7" t="n">
        <v>2027</v>
      </c>
    </row>
    <row r="295" ht="21" customHeight="1">
      <c r="A295" s="7" t="n">
        <v>6</v>
      </c>
      <c r="B295" s="10" t="inlineStr">
        <is>
          <t>Plan</t>
        </is>
      </c>
      <c r="C295" s="10" t="b">
        <v>0</v>
      </c>
      <c r="D295" s="8" t="n">
        <v>-81150</v>
      </c>
      <c r="E295" s="8" t="n">
        <v>1500000</v>
      </c>
      <c r="F295" s="8" t="n">
        <v>0</v>
      </c>
      <c r="G295" s="8" t="n">
        <v>81150</v>
      </c>
      <c r="H295" s="7" t="n">
        <v>2027</v>
      </c>
    </row>
    <row r="296" ht="21" customHeight="1">
      <c r="A296" s="7" t="n">
        <v>7</v>
      </c>
      <c r="B296" s="10" t="inlineStr">
        <is>
          <t>Plan</t>
        </is>
      </c>
      <c r="C296" s="10" t="b">
        <v>0</v>
      </c>
      <c r="D296" s="8" t="n">
        <v>-12623.33</v>
      </c>
      <c r="E296" s="8" t="n">
        <v>233333.33</v>
      </c>
      <c r="F296" s="8" t="n">
        <v>0</v>
      </c>
      <c r="G296" s="8" t="n">
        <v>12623.33</v>
      </c>
      <c r="H296" s="7" t="n">
        <v>2027</v>
      </c>
    </row>
    <row r="297" ht="21" customHeight="1">
      <c r="A297" s="7" t="n">
        <v>8</v>
      </c>
      <c r="B297" s="10" t="inlineStr">
        <is>
          <t>Plan</t>
        </is>
      </c>
      <c r="C297" s="10" t="b">
        <v>0</v>
      </c>
      <c r="D297" s="8" t="n">
        <v>-12623.33</v>
      </c>
      <c r="E297" s="8" t="n">
        <v>233333.33</v>
      </c>
      <c r="F297" s="8" t="n">
        <v>0</v>
      </c>
      <c r="G297" s="8" t="n">
        <v>12623.33</v>
      </c>
      <c r="H297" s="7" t="n">
        <v>2027</v>
      </c>
    </row>
    <row r="298" ht="21" customHeight="1">
      <c r="A298" s="7" t="n">
        <v>9</v>
      </c>
      <c r="B298" s="10" t="inlineStr">
        <is>
          <t>Plan</t>
        </is>
      </c>
      <c r="C298" s="10" t="b">
        <v>0</v>
      </c>
      <c r="D298" s="8" t="n">
        <v>-12623.33</v>
      </c>
      <c r="E298" s="8" t="n">
        <v>233333.33</v>
      </c>
      <c r="F298" s="8" t="n">
        <v>0</v>
      </c>
      <c r="G298" s="8" t="n">
        <v>12623.33</v>
      </c>
      <c r="H298" s="7" t="n">
        <v>2027</v>
      </c>
    </row>
    <row r="299" ht="21" customHeight="1">
      <c r="A299" s="7" t="n">
        <v>10</v>
      </c>
      <c r="B299" s="10" t="inlineStr">
        <is>
          <t>Plan</t>
        </is>
      </c>
      <c r="C299" s="10" t="b">
        <v>0</v>
      </c>
      <c r="D299" s="8" t="n">
        <v>0</v>
      </c>
      <c r="E299" s="8" t="n">
        <v>0</v>
      </c>
      <c r="F299" s="8" t="n">
        <v>0</v>
      </c>
      <c r="G299" s="8" t="n">
        <v>0</v>
      </c>
      <c r="H299" s="7" t="n">
        <v>2027</v>
      </c>
    </row>
    <row r="300" ht="21" customHeight="1">
      <c r="A300" s="7" t="n">
        <v>11</v>
      </c>
      <c r="B300" s="10" t="inlineStr">
        <is>
          <t>Plan</t>
        </is>
      </c>
      <c r="C300" s="10" t="b">
        <v>0</v>
      </c>
      <c r="D300" s="8" t="n">
        <v>0</v>
      </c>
      <c r="E300" s="8" t="n">
        <v>0</v>
      </c>
      <c r="F300" s="8" t="n">
        <v>0</v>
      </c>
      <c r="G300" s="8" t="n">
        <v>0</v>
      </c>
      <c r="H300" s="7" t="n">
        <v>2027</v>
      </c>
    </row>
    <row r="301" ht="21" customHeight="1">
      <c r="A301" s="7" t="n">
        <v>12</v>
      </c>
      <c r="B301" s="10" t="inlineStr">
        <is>
          <t>Plan</t>
        </is>
      </c>
      <c r="C301" s="10" t="b">
        <v>0</v>
      </c>
      <c r="D301" s="8" t="n">
        <v>0</v>
      </c>
      <c r="E301" s="8" t="n">
        <v>0</v>
      </c>
      <c r="F301" s="8" t="n">
        <v>0</v>
      </c>
      <c r="G301" s="8" t="n">
        <v>0</v>
      </c>
      <c r="H301" s="7" t="n">
        <v>2027</v>
      </c>
    </row>
    <row r="305" ht="24" customHeight="1">
      <c r="A305" s="58" t="inlineStr">
        <is>
          <t>v_bilanz</t>
        </is>
      </c>
    </row>
    <row r="306" ht="36" customHeight="1">
      <c r="A306" s="3" t="inlineStr">
        <is>
          <t>konto</t>
        </is>
      </c>
      <c r="B306" s="3" t="inlineStr">
        <is>
          <t>bezeichnung</t>
        </is>
      </c>
      <c r="C306" s="3" t="inlineStr">
        <is>
          <t>kategorie</t>
        </is>
      </c>
      <c r="D306" s="3" t="inlineStr">
        <is>
          <t>bilanz_seite</t>
        </is>
      </c>
      <c r="E306" s="3" t="inlineStr">
        <is>
          <t>bestand</t>
        </is>
      </c>
      <c r="F306" s="3" t="inlineStr">
        <is>
          <t>bewegung_2026</t>
        </is>
      </c>
      <c r="G306" s="3" t="inlineStr">
        <is>
          <t>eroeffnungsbilanz</t>
        </is>
      </c>
    </row>
    <row r="307" ht="21" customHeight="1">
      <c r="A307" s="10" t="inlineStr">
        <is>
          <t>100000</t>
        </is>
      </c>
      <c r="B307" s="10" t="inlineStr">
        <is>
          <t>100000 Kasse I</t>
        </is>
      </c>
      <c r="C307" s="10" t="inlineStr">
        <is>
          <t>bilanz_bank</t>
        </is>
      </c>
      <c r="D307" s="10" t="inlineStr">
        <is>
          <t>AKTIVA</t>
        </is>
      </c>
      <c r="E307" s="8" t="n">
        <v>4585.14</v>
      </c>
      <c r="F307" s="8" t="n">
        <v>1126.19</v>
      </c>
      <c r="G307" s="8" t="n">
        <v>3458.95</v>
      </c>
    </row>
    <row r="308" ht="21" customHeight="1">
      <c r="A308" s="10" t="inlineStr">
        <is>
          <t>100090</t>
        </is>
      </c>
      <c r="B308" s="10" t="inlineStr">
        <is>
          <t>100090 Kasse X</t>
        </is>
      </c>
      <c r="C308" s="10" t="inlineStr">
        <is>
          <t>bilanz_bank</t>
        </is>
      </c>
      <c r="D308" s="10" t="inlineStr">
        <is>
          <t>AKTIVA</t>
        </is>
      </c>
      <c r="E308" s="8" t="n">
        <v>467.45</v>
      </c>
      <c r="F308" s="8" t="n">
        <v>-628.71</v>
      </c>
      <c r="G308" s="8" t="n">
        <v>1096.16</v>
      </c>
    </row>
    <row r="309" ht="21" customHeight="1">
      <c r="A309" s="10" t="inlineStr">
        <is>
          <t>100091</t>
        </is>
      </c>
      <c r="B309" s="10" t="inlineStr">
        <is>
          <t>100091 Kasse XI</t>
        </is>
      </c>
      <c r="C309" s="10" t="inlineStr">
        <is>
          <t>bilanz_bank</t>
        </is>
      </c>
      <c r="D309" s="10" t="inlineStr">
        <is>
          <t>AKTIVA</t>
        </is>
      </c>
      <c r="E309" s="8" t="n">
        <v>154.04</v>
      </c>
      <c r="F309" s="8" t="n">
        <v>-437.81</v>
      </c>
      <c r="G309" s="8" t="n">
        <v>591.85</v>
      </c>
    </row>
    <row r="310" ht="21" customHeight="1">
      <c r="A310" s="10" t="inlineStr">
        <is>
          <t>100092</t>
        </is>
      </c>
      <c r="B310" s="10" t="inlineStr">
        <is>
          <t>100092 Kasse XII</t>
        </is>
      </c>
      <c r="C310" s="10" t="inlineStr">
        <is>
          <t>bilanz_bank</t>
        </is>
      </c>
      <c r="D310" s="10" t="inlineStr">
        <is>
          <t>AKTIVA</t>
        </is>
      </c>
      <c r="E310" s="8" t="n">
        <v>906.47</v>
      </c>
      <c r="F310" s="8" t="n">
        <v>-304.05</v>
      </c>
      <c r="G310" s="8" t="n">
        <v>1210.52</v>
      </c>
    </row>
    <row r="311" ht="21" customHeight="1">
      <c r="A311" s="10" t="inlineStr">
        <is>
          <t>111030</t>
        </is>
      </c>
      <c r="B311" s="10" t="inlineStr">
        <is>
          <t>111030 Commerzbank (CB)</t>
        </is>
      </c>
      <c r="C311" s="10" t="inlineStr">
        <is>
          <t>bilanz_bank</t>
        </is>
      </c>
      <c r="D311" s="10" t="inlineStr">
        <is>
          <t>AKTIVA</t>
        </is>
      </c>
      <c r="E311" s="8" t="n">
        <v>1249305.18</v>
      </c>
      <c r="F311" s="8" t="n">
        <v>0</v>
      </c>
      <c r="G311" s="8" t="n">
        <v>1249305.18</v>
      </c>
    </row>
    <row r="312" ht="21" customHeight="1">
      <c r="A312" s="10" t="inlineStr">
        <is>
          <t>111033</t>
        </is>
      </c>
      <c r="B312" s="10" t="inlineStr">
        <is>
          <t>111033 CB Überweisungsausgang</t>
        </is>
      </c>
      <c r="C312" s="10" t="inlineStr">
        <is>
          <t>bilanz_bank</t>
        </is>
      </c>
      <c r="D312" s="10" t="n"/>
      <c r="E312" s="8" t="n">
        <v>-135533.86</v>
      </c>
      <c r="F312" s="8" t="n">
        <v>0</v>
      </c>
      <c r="G312" s="8" t="n">
        <v>-135533.86</v>
      </c>
    </row>
    <row r="313" ht="21" customHeight="1">
      <c r="A313" s="10" t="inlineStr">
        <is>
          <t>111409</t>
        </is>
      </c>
      <c r="B313" s="10" t="inlineStr">
        <is>
          <t>111409 CashPool ALBA  plc &amp; Co. KG (5002) vU</t>
        </is>
      </c>
      <c r="C313" s="10" t="inlineStr">
        <is>
          <t>bilanz_bank</t>
        </is>
      </c>
      <c r="D313" s="10" t="inlineStr">
        <is>
          <t>PASSIVA</t>
        </is>
      </c>
      <c r="E313" s="8" t="n">
        <v>-798510.3</v>
      </c>
      <c r="F313" s="8" t="n">
        <v>-1348250.23</v>
      </c>
      <c r="G313" s="8" t="n">
        <v>549739.9300000001</v>
      </c>
    </row>
    <row r="314" ht="21" customHeight="1">
      <c r="A314" s="10" t="inlineStr">
        <is>
          <t>119600</t>
        </is>
      </c>
      <c r="B314" s="10" t="inlineStr">
        <is>
          <t>119600 Geld inTransit Kasse</t>
        </is>
      </c>
      <c r="C314" s="10" t="inlineStr">
        <is>
          <t>bilanz_bank</t>
        </is>
      </c>
      <c r="D314" s="10" t="inlineStr">
        <is>
          <t>AKTIVA</t>
        </is>
      </c>
      <c r="E314" s="8" t="n">
        <v>1000</v>
      </c>
      <c r="F314" s="8" t="n">
        <v>0</v>
      </c>
      <c r="G314" s="8" t="n">
        <v>1000</v>
      </c>
    </row>
    <row r="315" ht="21" customHeight="1">
      <c r="A315" s="10" t="inlineStr">
        <is>
          <t>140000</t>
        </is>
      </c>
      <c r="B315" s="10" t="inlineStr">
        <is>
          <t>140000 Forderungen aus L+L</t>
        </is>
      </c>
      <c r="C315" s="10" t="inlineStr">
        <is>
          <t>bilanz_forderungen</t>
        </is>
      </c>
      <c r="D315" s="10" t="inlineStr">
        <is>
          <t>AKTIVA</t>
        </is>
      </c>
      <c r="E315" s="8" t="n">
        <v>2987182.63</v>
      </c>
      <c r="F315" s="8" t="n">
        <v>0</v>
      </c>
      <c r="G315" s="8" t="n">
        <v>2987182.63</v>
      </c>
    </row>
    <row r="316" ht="21" customHeight="1">
      <c r="A316" s="10" t="inlineStr">
        <is>
          <t>140010</t>
        </is>
      </c>
      <c r="B316" s="10" t="inlineStr">
        <is>
          <t>140010 Ford. gegen verbundene Unternehmen</t>
        </is>
      </c>
      <c r="C316" s="10" t="inlineStr">
        <is>
          <t>bilanz_forderungen</t>
        </is>
      </c>
      <c r="D316" s="10" t="inlineStr">
        <is>
          <t>AKTIVA</t>
        </is>
      </c>
      <c r="E316" s="8" t="n">
        <v>19986.02</v>
      </c>
      <c r="F316" s="8" t="n">
        <v>0</v>
      </c>
      <c r="G316" s="8" t="n">
        <v>19986.02</v>
      </c>
    </row>
    <row r="317" ht="21" customHeight="1">
      <c r="A317" s="10" t="inlineStr">
        <is>
          <t>140011</t>
        </is>
      </c>
      <c r="B317" s="10" t="inlineStr">
        <is>
          <t>140011 Ford. gegen verbundene Unternehmen Abgrenzung</t>
        </is>
      </c>
      <c r="C317" s="10" t="n"/>
      <c r="D317" s="10" t="n"/>
      <c r="E317" s="8" t="n">
        <v>0</v>
      </c>
      <c r="F317" s="8" t="n">
        <v>0</v>
      </c>
      <c r="G317" s="8" t="n">
        <v>0</v>
      </c>
    </row>
    <row r="318" ht="21" customHeight="1">
      <c r="A318" s="10" t="inlineStr">
        <is>
          <t>140015</t>
        </is>
      </c>
      <c r="B318" s="10" t="inlineStr">
        <is>
          <t>140015 Forderungen gegen verbundene Unternehmen Steuern</t>
        </is>
      </c>
      <c r="C318" s="10" t="n"/>
      <c r="D318" s="10" t="n"/>
      <c r="E318" s="8" t="n">
        <v>0</v>
      </c>
      <c r="F318" s="8" t="n">
        <v>0</v>
      </c>
      <c r="G318" s="8" t="n">
        <v>0</v>
      </c>
    </row>
    <row r="319" ht="21" customHeight="1">
      <c r="A319" s="10" t="inlineStr">
        <is>
          <t>140016</t>
        </is>
      </c>
      <c r="B319" s="10" t="inlineStr">
        <is>
          <t>140016 Forderungen gegen verbundene Unternehmen Zinsen</t>
        </is>
      </c>
      <c r="C319" s="10" t="n"/>
      <c r="D319" s="10" t="n"/>
      <c r="E319" s="8" t="n">
        <v>0</v>
      </c>
      <c r="F319" s="8" t="n">
        <v>0</v>
      </c>
      <c r="G319" s="8" t="n">
        <v>0</v>
      </c>
    </row>
    <row r="320" ht="21" customHeight="1">
      <c r="A320" s="10" t="inlineStr">
        <is>
          <t>140600</t>
        </is>
      </c>
      <c r="B320" s="10" t="inlineStr">
        <is>
          <t>140600 Nachbuchung Ford.L/L</t>
        </is>
      </c>
      <c r="C320" s="10" t="inlineStr">
        <is>
          <t>bilanz_forderungen</t>
        </is>
      </c>
      <c r="D320" s="10" t="inlineStr">
        <is>
          <t>AKTIVA</t>
        </is>
      </c>
      <c r="E320" s="8" t="n">
        <v>-1413386.65</v>
      </c>
      <c r="F320" s="8" t="n">
        <v>1464695.54</v>
      </c>
      <c r="G320" s="8" t="n">
        <v>-2878082.19</v>
      </c>
    </row>
    <row r="321" ht="21" customHeight="1">
      <c r="A321" s="10" t="inlineStr">
        <is>
          <t>140712</t>
        </is>
      </c>
      <c r="B321" s="10" t="inlineStr">
        <is>
          <t>140712 Korrekturkto. Ford. L+L (Factoring)</t>
        </is>
      </c>
      <c r="C321" s="10" t="inlineStr">
        <is>
          <t>bilanz_forderungen</t>
        </is>
      </c>
      <c r="D321" s="10" t="inlineStr">
        <is>
          <t>AKTIVA</t>
        </is>
      </c>
      <c r="E321" s="8" t="n">
        <v>-1036703.08</v>
      </c>
      <c r="F321" s="8" t="n">
        <v>237370.3</v>
      </c>
      <c r="G321" s="8" t="n">
        <v>-1274073.38</v>
      </c>
    </row>
    <row r="322" ht="21" customHeight="1">
      <c r="A322" s="10" t="inlineStr">
        <is>
          <t>150000</t>
        </is>
      </c>
      <c r="B322" s="10" t="inlineStr">
        <is>
          <t>150000 Sonstige Forderungen</t>
        </is>
      </c>
      <c r="C322" s="10" t="inlineStr">
        <is>
          <t>bilanz_forderungen</t>
        </is>
      </c>
      <c r="D322" s="10" t="inlineStr">
        <is>
          <t>AKTIVA</t>
        </is>
      </c>
      <c r="E322" s="8" t="n">
        <v>1300000</v>
      </c>
      <c r="F322" s="8" t="n">
        <v>0</v>
      </c>
      <c r="G322" s="8" t="n">
        <v>1300000</v>
      </c>
    </row>
    <row r="323" ht="21" customHeight="1">
      <c r="A323" s="10" t="inlineStr">
        <is>
          <t>150110</t>
        </is>
      </c>
      <c r="B323" s="10" t="inlineStr">
        <is>
          <t>150110 Sicherheitseinbehalte (Debitoren)</t>
        </is>
      </c>
      <c r="C323" s="10" t="inlineStr">
        <is>
          <t>bilanz_anlagevermoegen</t>
        </is>
      </c>
      <c r="D323" s="10" t="inlineStr">
        <is>
          <t>AKTIVA</t>
        </is>
      </c>
      <c r="E323" s="8" t="n">
        <v>100818.65</v>
      </c>
      <c r="F323" s="8" t="n">
        <v>0</v>
      </c>
      <c r="G323" s="8" t="n">
        <v>100818.65</v>
      </c>
    </row>
    <row r="324" ht="21" customHeight="1">
      <c r="A324" s="10" t="inlineStr">
        <is>
          <t>150719</t>
        </is>
      </c>
      <c r="B324" s="10" t="inlineStr">
        <is>
          <t>150719 Sicherheitseinbehalte (Factoring)</t>
        </is>
      </c>
      <c r="C324" s="10" t="inlineStr">
        <is>
          <t>bilanz_anlagevermoegen</t>
        </is>
      </c>
      <c r="D324" s="10" t="inlineStr">
        <is>
          <t>AKTIVA</t>
        </is>
      </c>
      <c r="E324" s="8" t="n">
        <v>383407.59</v>
      </c>
      <c r="F324" s="8" t="n">
        <v>121442.25</v>
      </c>
      <c r="G324" s="8" t="n">
        <v>261965.34</v>
      </c>
    </row>
    <row r="325" ht="21" customHeight="1">
      <c r="A325" s="10" t="inlineStr">
        <is>
          <t>150720</t>
        </is>
      </c>
      <c r="B325" s="10" t="inlineStr">
        <is>
          <t>150720 Forderungen/Verbindlichkeiten BNP (Factoring)</t>
        </is>
      </c>
      <c r="C325" s="10" t="inlineStr">
        <is>
          <t>bilanz_forderungen</t>
        </is>
      </c>
      <c r="D325" s="10" t="inlineStr">
        <is>
          <t>PASSIVA</t>
        </is>
      </c>
      <c r="E325" s="8" t="n">
        <v>-24811.03</v>
      </c>
      <c r="F325" s="8" t="n">
        <v>178611.85</v>
      </c>
      <c r="G325" s="8" t="n">
        <v>-203422.88</v>
      </c>
    </row>
    <row r="326" ht="21" customHeight="1">
      <c r="A326" s="10" t="inlineStr">
        <is>
          <t>152500</t>
        </is>
      </c>
      <c r="B326" s="10" t="inlineStr">
        <is>
          <t>152500 gegebene Kautionen</t>
        </is>
      </c>
      <c r="C326" s="10" t="inlineStr">
        <is>
          <t>bilanz_anlagevermoegen</t>
        </is>
      </c>
      <c r="D326" s="10" t="inlineStr">
        <is>
          <t>AKTIVA</t>
        </is>
      </c>
      <c r="E326" s="8" t="n">
        <v>3460</v>
      </c>
      <c r="F326" s="8" t="n">
        <v>0</v>
      </c>
      <c r="G326" s="8" t="n">
        <v>3460</v>
      </c>
    </row>
    <row r="327" ht="21" customHeight="1">
      <c r="A327" s="10" t="inlineStr">
        <is>
          <t>153000</t>
        </is>
      </c>
      <c r="B327" s="10" t="inlineStr">
        <is>
          <t>153000 Forderungen gegen Personal</t>
        </is>
      </c>
      <c r="C327" s="10" t="inlineStr">
        <is>
          <t>bilanz_forderungen</t>
        </is>
      </c>
      <c r="D327" s="10" t="inlineStr">
        <is>
          <t>AKTIVA</t>
        </is>
      </c>
      <c r="E327" s="8" t="n">
        <v>4318.25</v>
      </c>
      <c r="F327" s="8" t="n">
        <v>4318.25</v>
      </c>
      <c r="G327" s="8" t="n">
        <v>0</v>
      </c>
    </row>
    <row r="328" ht="21" customHeight="1">
      <c r="A328" s="10" t="inlineStr">
        <is>
          <t>154500</t>
        </is>
      </c>
      <c r="B328" s="10" t="inlineStr">
        <is>
          <t>154500 Ford./Verb. aus Steuern vom Einkommen und Ertrag</t>
        </is>
      </c>
      <c r="C328" s="10" t="inlineStr">
        <is>
          <t>bilanz_steuern</t>
        </is>
      </c>
      <c r="D328" s="10" t="inlineStr">
        <is>
          <t>AKTIVA</t>
        </is>
      </c>
      <c r="E328" s="8" t="n">
        <v>410707.15</v>
      </c>
      <c r="F328" s="8" t="n">
        <v>-180759.49</v>
      </c>
      <c r="G328" s="8" t="n">
        <v>591466.64</v>
      </c>
    </row>
    <row r="329" ht="21" customHeight="1">
      <c r="A329" s="10" t="inlineStr">
        <is>
          <t>154900</t>
        </is>
      </c>
      <c r="B329" s="10" t="inlineStr">
        <is>
          <t>154900 Vorsteuer im Folgejahr/in Folgeperiode abziehbar</t>
        </is>
      </c>
      <c r="C329" s="10" t="inlineStr">
        <is>
          <t>bilanz_steuern</t>
        </is>
      </c>
      <c r="D329" s="10" t="inlineStr">
        <is>
          <t>AKTIVA</t>
        </is>
      </c>
      <c r="E329" s="8" t="n">
        <v>9802.24</v>
      </c>
      <c r="F329" s="8" t="n">
        <v>-16078.2</v>
      </c>
      <c r="G329" s="8" t="n">
        <v>25880.44</v>
      </c>
    </row>
    <row r="330" ht="21" customHeight="1">
      <c r="A330" s="10" t="inlineStr">
        <is>
          <t>155011</t>
        </is>
      </c>
      <c r="B330" s="10" t="inlineStr">
        <is>
          <t>155011 Forderungen Zinsen auf Steuererstattungen</t>
        </is>
      </c>
      <c r="C330" s="10" t="inlineStr">
        <is>
          <t>bilanz_steuern</t>
        </is>
      </c>
      <c r="D330" s="10" t="inlineStr">
        <is>
          <t>PASSIVA</t>
        </is>
      </c>
      <c r="E330" s="8" t="n">
        <v>33.55</v>
      </c>
      <c r="F330" s="8" t="n">
        <v>-83.81999999999999</v>
      </c>
      <c r="G330" s="8" t="n">
        <v>117.37</v>
      </c>
    </row>
    <row r="331" ht="21" customHeight="1">
      <c r="A331" s="10" t="inlineStr">
        <is>
          <t>157000</t>
        </is>
      </c>
      <c r="B331" s="10" t="inlineStr">
        <is>
          <t>157000 Vorsteuer</t>
        </is>
      </c>
      <c r="C331" s="10" t="inlineStr">
        <is>
          <t>bilanz_steuern</t>
        </is>
      </c>
      <c r="D331" s="10" t="inlineStr">
        <is>
          <t>PASSIVA</t>
        </is>
      </c>
      <c r="E331" s="8" t="n">
        <v>1001948.24</v>
      </c>
      <c r="F331" s="8" t="n">
        <v>0</v>
      </c>
      <c r="G331" s="8" t="n">
        <v>1001948.24</v>
      </c>
    </row>
    <row r="332" ht="21" customHeight="1">
      <c r="A332" s="10" t="inlineStr">
        <is>
          <t>157010</t>
        </is>
      </c>
      <c r="B332" s="10" t="inlineStr">
        <is>
          <t>157010 Vorsteuer (Altteile)</t>
        </is>
      </c>
      <c r="C332" s="10" t="inlineStr">
        <is>
          <t>bilanz_steuern</t>
        </is>
      </c>
      <c r="D332" s="10" t="inlineStr">
        <is>
          <t>PASSIVA</t>
        </is>
      </c>
      <c r="E332" s="8" t="n">
        <v>25.8</v>
      </c>
      <c r="F332" s="8" t="n">
        <v>12.9</v>
      </c>
      <c r="G332" s="8" t="n">
        <v>12.9</v>
      </c>
    </row>
    <row r="333" ht="21" customHeight="1">
      <c r="A333" s="10" t="inlineStr">
        <is>
          <t>157030</t>
        </is>
      </c>
      <c r="B333" s="10" t="inlineStr">
        <is>
          <t>157030 Erwerbsteuer (Eingang)</t>
        </is>
      </c>
      <c r="C333" s="10" t="inlineStr">
        <is>
          <t>bilanz_steuern</t>
        </is>
      </c>
      <c r="D333" s="10" t="inlineStr">
        <is>
          <t>PASSIVA</t>
        </is>
      </c>
      <c r="E333" s="8" t="n">
        <v>1341350.51</v>
      </c>
      <c r="F333" s="8" t="n">
        <v>1210498.3</v>
      </c>
      <c r="G333" s="8" t="n">
        <v>130852.21</v>
      </c>
    </row>
    <row r="334" ht="21" customHeight="1">
      <c r="A334" s="10" t="inlineStr">
        <is>
          <t>157040</t>
        </is>
      </c>
      <c r="B334" s="10" t="inlineStr">
        <is>
          <t>157040 Vorsteuer Vergütung Ausland</t>
        </is>
      </c>
      <c r="C334" s="10" t="inlineStr">
        <is>
          <t>bilanz_steuern</t>
        </is>
      </c>
      <c r="D334" s="10" t="inlineStr">
        <is>
          <t>AKTIVA</t>
        </is>
      </c>
      <c r="E334" s="8" t="n">
        <v>1985.01</v>
      </c>
      <c r="F334" s="8" t="n">
        <v>825.45</v>
      </c>
      <c r="G334" s="8" t="n">
        <v>1159.56</v>
      </c>
    </row>
    <row r="335" ht="21" customHeight="1">
      <c r="A335" s="10" t="inlineStr">
        <is>
          <t>160000</t>
        </is>
      </c>
      <c r="B335" s="10" t="inlineStr">
        <is>
          <t>160000 Verbindlichkeiten aus Lieferungen und Leistungen</t>
        </is>
      </c>
      <c r="C335" s="10" t="inlineStr">
        <is>
          <t>bilanz_verbindlichkeiten</t>
        </is>
      </c>
      <c r="D335" s="10" t="inlineStr">
        <is>
          <t>PASSIVA</t>
        </is>
      </c>
      <c r="E335" s="8" t="n">
        <v>-717863.6</v>
      </c>
      <c r="F335" s="8" t="n">
        <v>0</v>
      </c>
      <c r="G335" s="8" t="n">
        <v>-717863.6</v>
      </c>
    </row>
    <row r="336" ht="21" customHeight="1">
      <c r="A336" s="10" t="inlineStr">
        <is>
          <t>160010</t>
        </is>
      </c>
      <c r="B336" s="10" t="inlineStr">
        <is>
          <t>160010 Verbindlichkeiten gegenüber verbundenen Unternehme</t>
        </is>
      </c>
      <c r="C336" s="10" t="inlineStr">
        <is>
          <t>bilanz_verbindlichkeiten</t>
        </is>
      </c>
      <c r="D336" s="10" t="inlineStr">
        <is>
          <t>PASSIVA</t>
        </is>
      </c>
      <c r="E336" s="8" t="n">
        <v>5484.01</v>
      </c>
      <c r="F336" s="8" t="n">
        <v>0</v>
      </c>
      <c r="G336" s="8" t="n">
        <v>5484.01</v>
      </c>
    </row>
    <row r="337" ht="21" customHeight="1">
      <c r="A337" s="10" t="inlineStr">
        <is>
          <t>160015</t>
        </is>
      </c>
      <c r="B337" s="10" t="inlineStr">
        <is>
          <t>160015 Verb. gegenüber verbundenen Unternehmen Steuern</t>
        </is>
      </c>
      <c r="C337" s="10" t="n"/>
      <c r="D337" s="10" t="n"/>
      <c r="E337" s="8" t="n">
        <v>0</v>
      </c>
      <c r="F337" s="8" t="n">
        <v>0</v>
      </c>
      <c r="G337" s="8" t="n">
        <v>0</v>
      </c>
    </row>
    <row r="338" ht="21" customHeight="1">
      <c r="A338" s="10" t="inlineStr">
        <is>
          <t>160016</t>
        </is>
      </c>
      <c r="B338" s="10" t="inlineStr">
        <is>
          <t>160016 Verb. gegenüber verbundenen Unternehmen Zinsen</t>
        </is>
      </c>
      <c r="C338" s="10" t="n"/>
      <c r="D338" s="10" t="n"/>
      <c r="E338" s="8" t="n">
        <v>0</v>
      </c>
      <c r="F338" s="8" t="n">
        <v>0</v>
      </c>
      <c r="G338" s="8" t="n">
        <v>0</v>
      </c>
    </row>
    <row r="339" ht="21" customHeight="1">
      <c r="A339" s="10" t="inlineStr">
        <is>
          <t>160030</t>
        </is>
      </c>
      <c r="B339" s="10" t="inlineStr">
        <is>
          <t>160030 Verbindl.gegen Untern.m.d.e.Beteil.verh.besteht</t>
        </is>
      </c>
      <c r="C339" s="10" t="n"/>
      <c r="D339" s="10" t="n"/>
      <c r="E339" s="8" t="n">
        <v>0</v>
      </c>
      <c r="F339" s="8" t="n">
        <v>0</v>
      </c>
      <c r="G339" s="8" t="n">
        <v>0</v>
      </c>
    </row>
    <row r="340" ht="21" customHeight="1">
      <c r="A340" s="10" t="inlineStr">
        <is>
          <t>160050</t>
        </is>
      </c>
      <c r="B340" s="10" t="inlineStr">
        <is>
          <t>160050 Verbindlichkeiten nicht L+L</t>
        </is>
      </c>
      <c r="C340" s="10" t="inlineStr">
        <is>
          <t>bilanz_verbindlichkeiten</t>
        </is>
      </c>
      <c r="D340" s="10" t="inlineStr">
        <is>
          <t>PASSIVA</t>
        </is>
      </c>
      <c r="E340" s="8" t="n">
        <v>-106942.56</v>
      </c>
      <c r="F340" s="8" t="n">
        <v>0</v>
      </c>
      <c r="G340" s="8" t="n">
        <v>-106942.56</v>
      </c>
    </row>
    <row r="341" ht="21" customHeight="1">
      <c r="A341" s="10" t="inlineStr">
        <is>
          <t>160060</t>
        </is>
      </c>
      <c r="B341" s="10" t="inlineStr">
        <is>
          <t>160060 Verb. geg. Bet. L+L (Konzernsicht)</t>
        </is>
      </c>
      <c r="C341" s="10" t="n"/>
      <c r="D341" s="10" t="n"/>
      <c r="E341" s="8" t="n">
        <v>0</v>
      </c>
      <c r="F341" s="8" t="n">
        <v>0</v>
      </c>
      <c r="G341" s="8" t="n">
        <v>0</v>
      </c>
    </row>
    <row r="342" ht="21" customHeight="1">
      <c r="A342" s="10" t="inlineStr">
        <is>
          <t>166055</t>
        </is>
      </c>
      <c r="B342" s="10" t="inlineStr">
        <is>
          <t>166055 Verbindlichkeiten Nicht LuL (BNP Zinsen)</t>
        </is>
      </c>
      <c r="C342" s="10" t="inlineStr">
        <is>
          <t>bilanz_verbindlichkeiten</t>
        </is>
      </c>
      <c r="D342" s="10" t="inlineStr">
        <is>
          <t>PASSIVA</t>
        </is>
      </c>
      <c r="E342" s="8" t="n">
        <v>-3495.43</v>
      </c>
      <c r="F342" s="8" t="n">
        <v>0</v>
      </c>
      <c r="G342" s="8" t="n">
        <v>-3495.43</v>
      </c>
    </row>
    <row r="343" ht="21" customHeight="1">
      <c r="A343" s="10" t="inlineStr">
        <is>
          <t>170510</t>
        </is>
      </c>
      <c r="B343" s="10" t="inlineStr">
        <is>
          <t>170510 erhaltene Darlehen von Gesellschaftern</t>
        </is>
      </c>
      <c r="C343" s="10" t="inlineStr">
        <is>
          <t>bilanz_darlehen</t>
        </is>
      </c>
      <c r="D343" s="10" t="inlineStr">
        <is>
          <t>PASSIVA</t>
        </is>
      </c>
      <c r="E343" s="8" t="n">
        <v>-1500000</v>
      </c>
      <c r="F343" s="8" t="n">
        <v>0</v>
      </c>
      <c r="G343" s="8" t="n">
        <v>-1500000</v>
      </c>
    </row>
    <row r="344" ht="21" customHeight="1">
      <c r="A344" s="10" t="inlineStr">
        <is>
          <t>173200</t>
        </is>
      </c>
      <c r="B344" s="10" t="inlineStr">
        <is>
          <t>173200 Erhaltene Kautionen</t>
        </is>
      </c>
      <c r="C344" s="10" t="inlineStr">
        <is>
          <t>bilanz_abgrenzung</t>
        </is>
      </c>
      <c r="D344" s="10" t="inlineStr">
        <is>
          <t>PASSIVA</t>
        </is>
      </c>
      <c r="E344" s="8" t="n">
        <v>-280</v>
      </c>
      <c r="F344" s="8" t="n">
        <v>0</v>
      </c>
      <c r="G344" s="8" t="n">
        <v>-280</v>
      </c>
    </row>
    <row r="345" ht="21" customHeight="1">
      <c r="A345" s="10" t="inlineStr">
        <is>
          <t>174000</t>
        </is>
      </c>
      <c r="B345" s="10" t="inlineStr">
        <is>
          <t>174000 Verbindlichkeiten aus Lohn und Gehalt</t>
        </is>
      </c>
      <c r="C345" s="10" t="inlineStr">
        <is>
          <t>bilanz_verbindlichkeiten</t>
        </is>
      </c>
      <c r="D345" s="10" t="inlineStr">
        <is>
          <t>PASSIVA</t>
        </is>
      </c>
      <c r="E345" s="8" t="n">
        <v>-2345.49</v>
      </c>
      <c r="F345" s="8" t="n">
        <v>-135.5</v>
      </c>
      <c r="G345" s="8" t="n">
        <v>-2209.99</v>
      </c>
    </row>
    <row r="346" ht="21" customHeight="1">
      <c r="A346" s="10" t="inlineStr">
        <is>
          <t>174020</t>
        </is>
      </c>
      <c r="B346" s="10" t="inlineStr">
        <is>
          <t>174020 Verbindlichkeiten Pfändung</t>
        </is>
      </c>
      <c r="C346" s="10" t="inlineStr">
        <is>
          <t>bilanz_verbindlichkeiten</t>
        </is>
      </c>
      <c r="D346" s="10" t="inlineStr">
        <is>
          <t>AKTIVA</t>
        </is>
      </c>
      <c r="E346" s="8" t="n">
        <v>124.61</v>
      </c>
      <c r="F346" s="8" t="n">
        <v>0</v>
      </c>
      <c r="G346" s="8" t="n">
        <v>124.61</v>
      </c>
    </row>
    <row r="347" ht="21" customHeight="1">
      <c r="A347" s="10" t="inlineStr">
        <is>
          <t>174030</t>
        </is>
      </c>
      <c r="B347" s="10" t="inlineStr">
        <is>
          <t>174030 Verbindlichkeiten Direktversicherung</t>
        </is>
      </c>
      <c r="C347" s="10" t="inlineStr">
        <is>
          <t>bilanz_verbindlichkeiten</t>
        </is>
      </c>
      <c r="D347" s="10" t="inlineStr">
        <is>
          <t>AKTIVA</t>
        </is>
      </c>
      <c r="E347" s="8" t="n">
        <v>3188.68</v>
      </c>
      <c r="F347" s="8" t="n">
        <v>0</v>
      </c>
      <c r="G347" s="8" t="n">
        <v>3188.68</v>
      </c>
    </row>
    <row r="348" ht="21" customHeight="1">
      <c r="A348" s="10" t="inlineStr">
        <is>
          <t>174040</t>
        </is>
      </c>
      <c r="B348" s="10" t="inlineStr">
        <is>
          <t>174040 Verbindlichkeiten gegen Mitarbeiter</t>
        </is>
      </c>
      <c r="C348" s="10" t="inlineStr">
        <is>
          <t>bilanz_verbindlichkeiten</t>
        </is>
      </c>
      <c r="D348" s="10" t="inlineStr">
        <is>
          <t>PASSIVA</t>
        </is>
      </c>
      <c r="E348" s="8" t="n">
        <v>1450</v>
      </c>
      <c r="F348" s="8" t="n">
        <v>5242.55</v>
      </c>
      <c r="G348" s="8" t="n">
        <v>-3792.55</v>
      </c>
    </row>
    <row r="349" ht="21" customHeight="1">
      <c r="A349" s="10" t="inlineStr">
        <is>
          <t>174100</t>
        </is>
      </c>
      <c r="B349" s="10" t="inlineStr">
        <is>
          <t>174100 Verbindlichkeiten aus Lohn-u.Kirchensteuer</t>
        </is>
      </c>
      <c r="C349" s="10" t="inlineStr">
        <is>
          <t>bilanz_steuern</t>
        </is>
      </c>
      <c r="D349" s="10" t="inlineStr">
        <is>
          <t>AKTIVA</t>
        </is>
      </c>
      <c r="E349" s="8" t="n">
        <v>5826.49</v>
      </c>
      <c r="F349" s="8" t="n">
        <v>-12591.37</v>
      </c>
      <c r="G349" s="8" t="n">
        <v>18417.86</v>
      </c>
    </row>
    <row r="350" ht="21" customHeight="1">
      <c r="A350" s="10" t="inlineStr">
        <is>
          <t>174200</t>
        </is>
      </c>
      <c r="B350" s="10" t="inlineStr">
        <is>
          <t>174200 Verbindlichkeiten im Rahmen d. sozialen Sicherheit</t>
        </is>
      </c>
      <c r="C350" s="10" t="inlineStr">
        <is>
          <t>bilanz_verbindlichkeiten</t>
        </is>
      </c>
      <c r="D350" s="10" t="inlineStr">
        <is>
          <t>AKTIVA</t>
        </is>
      </c>
      <c r="E350" s="8" t="n">
        <v>83.05</v>
      </c>
      <c r="F350" s="8" t="n">
        <v>0</v>
      </c>
      <c r="G350" s="8" t="n">
        <v>83.05</v>
      </c>
    </row>
    <row r="351" ht="21" customHeight="1">
      <c r="A351" s="10" t="inlineStr">
        <is>
          <t>177000</t>
        </is>
      </c>
      <c r="B351" s="10" t="inlineStr">
        <is>
          <t>177000 Ausgangssteuer</t>
        </is>
      </c>
      <c r="C351" s="10" t="inlineStr">
        <is>
          <t>bilanz_steuern</t>
        </is>
      </c>
      <c r="D351" s="10" t="inlineStr">
        <is>
          <t>PASSIVA</t>
        </is>
      </c>
      <c r="E351" s="8" t="n">
        <v>-2111865.97</v>
      </c>
      <c r="F351" s="8" t="n">
        <v>0</v>
      </c>
      <c r="G351" s="8" t="n">
        <v>-2111865.97</v>
      </c>
    </row>
    <row r="352" ht="21" customHeight="1">
      <c r="A352" s="10" t="inlineStr">
        <is>
          <t>177060</t>
        </is>
      </c>
      <c r="B352" s="10" t="inlineStr">
        <is>
          <t>177060 Erwerbsteuer Ausgang</t>
        </is>
      </c>
      <c r="C352" s="10" t="inlineStr">
        <is>
          <t>bilanz_steuern</t>
        </is>
      </c>
      <c r="D352" s="10" t="inlineStr">
        <is>
          <t>PASSIVA</t>
        </is>
      </c>
      <c r="E352" s="8" t="n">
        <v>-1341350.51</v>
      </c>
      <c r="F352" s="8" t="n">
        <v>0</v>
      </c>
      <c r="G352" s="8" t="n">
        <v>-1341350.51</v>
      </c>
    </row>
    <row r="353" ht="21" customHeight="1">
      <c r="A353" s="10" t="inlineStr">
        <is>
          <t>178890</t>
        </is>
      </c>
      <c r="B353" s="10" t="inlineStr">
        <is>
          <t>178890 USt Zahllast Organträger</t>
        </is>
      </c>
      <c r="C353" s="10" t="inlineStr">
        <is>
          <t>bilanz_steuern</t>
        </is>
      </c>
      <c r="D353" s="10" t="inlineStr">
        <is>
          <t>PASSIVA</t>
        </is>
      </c>
      <c r="E353" s="8" t="n">
        <v>-19885.45</v>
      </c>
      <c r="F353" s="8" t="n">
        <v>-19885.45</v>
      </c>
      <c r="G353" s="8" t="n">
        <v>0</v>
      </c>
    </row>
    <row r="354" ht="21" customHeight="1">
      <c r="A354" s="10" t="inlineStr">
        <is>
          <t>178901</t>
        </is>
      </c>
      <c r="B354" s="10" t="inlineStr">
        <is>
          <t>178901 Zahllast laufendes Jahr Finanzamt</t>
        </is>
      </c>
      <c r="C354" s="10" t="inlineStr">
        <is>
          <t>bilanz_steuern</t>
        </is>
      </c>
      <c r="D354" s="10" t="inlineStr">
        <is>
          <t>PASSIVA</t>
        </is>
      </c>
      <c r="E354" s="8" t="n">
        <v>1036090.28</v>
      </c>
      <c r="F354" s="8" t="n">
        <v>771847.25</v>
      </c>
      <c r="G354" s="8" t="n">
        <v>264243.03</v>
      </c>
    </row>
    <row r="355" ht="21" customHeight="1">
      <c r="A355" s="10" t="inlineStr">
        <is>
          <t>191529</t>
        </is>
      </c>
      <c r="B355" s="10" t="inlineStr">
        <is>
          <t>191529 V-Kto. ALBA SE (4000)</t>
        </is>
      </c>
      <c r="C355" s="10" t="inlineStr">
        <is>
          <t>bilanz_abgrenzung</t>
        </is>
      </c>
      <c r="D355" s="10" t="inlineStr">
        <is>
          <t>PASSIVA</t>
        </is>
      </c>
      <c r="E355" s="8" t="n">
        <v>-956.1</v>
      </c>
      <c r="F355" s="8" t="n">
        <v>-8.1</v>
      </c>
      <c r="G355" s="8" t="n">
        <v>-948</v>
      </c>
    </row>
    <row r="356" ht="21" customHeight="1">
      <c r="A356" s="10" t="inlineStr">
        <is>
          <t>194406</t>
        </is>
      </c>
      <c r="B356" s="10" t="inlineStr">
        <is>
          <t>194406 V-Kto 2 ALBA KG (5002)</t>
        </is>
      </c>
      <c r="C356" s="10" t="inlineStr">
        <is>
          <t>bilanz_abgrenzung</t>
        </is>
      </c>
      <c r="D356" s="10" t="inlineStr">
        <is>
          <t>PASSIVA</t>
        </is>
      </c>
      <c r="E356" s="8" t="n">
        <v>-21765.48</v>
      </c>
      <c r="F356" s="8" t="n">
        <v>8545.030000000001</v>
      </c>
      <c r="G356" s="8" t="n">
        <v>-30310.51</v>
      </c>
    </row>
    <row r="357" ht="21" customHeight="1">
      <c r="A357" s="10" t="inlineStr">
        <is>
          <t>199901</t>
        </is>
      </c>
      <c r="B357" s="10" t="inlineStr">
        <is>
          <t>199901 Verrechnung Lieferantenskonti (Nettoverfahren)</t>
        </is>
      </c>
      <c r="C357" s="10" t="inlineStr">
        <is>
          <t>bilanz_verbindlichkeiten</t>
        </is>
      </c>
      <c r="D357" s="10" t="n"/>
      <c r="E357" s="8" t="n">
        <v>0</v>
      </c>
      <c r="F357" s="8" t="n">
        <v>-14.83</v>
      </c>
      <c r="G357" s="8" t="n">
        <v>14.83</v>
      </c>
    </row>
    <row r="358" ht="21" customHeight="1">
      <c r="A358" s="10" t="inlineStr">
        <is>
          <t>21000</t>
        </is>
      </c>
      <c r="B358" s="10" t="inlineStr">
        <is>
          <t>021000 Maschinen</t>
        </is>
      </c>
      <c r="C358" s="10" t="inlineStr">
        <is>
          <t>bilanz_anlagevermoegen</t>
        </is>
      </c>
      <c r="D358" s="10" t="inlineStr">
        <is>
          <t>AKTIVA</t>
        </is>
      </c>
      <c r="E358" s="8" t="n">
        <v>8844</v>
      </c>
      <c r="F358" s="8" t="n">
        <v>0</v>
      </c>
      <c r="G358" s="8" t="n">
        <v>8844</v>
      </c>
    </row>
    <row r="359" ht="21" customHeight="1">
      <c r="A359" s="10" t="inlineStr">
        <is>
          <t>221200</t>
        </is>
      </c>
      <c r="B359" s="10" t="inlineStr">
        <is>
          <t>221200 Solidaritätszuschlag</t>
        </is>
      </c>
      <c r="C359" s="10" t="inlineStr">
        <is>
          <t>ertragsteuer</t>
        </is>
      </c>
      <c r="D359" s="10" t="n"/>
      <c r="E359" s="8" t="n">
        <v>0</v>
      </c>
      <c r="F359" s="8" t="n">
        <v>0</v>
      </c>
      <c r="G359" s="8" t="n">
        <v>0</v>
      </c>
    </row>
    <row r="360" ht="21" customHeight="1">
      <c r="A360" s="10" t="inlineStr">
        <is>
          <t>26000</t>
        </is>
      </c>
      <c r="B360" s="10" t="inlineStr">
        <is>
          <t>026000 Transportanlagen u.ä.</t>
        </is>
      </c>
      <c r="C360" s="10" t="inlineStr">
        <is>
          <t>bilanz_anlagevermoegen</t>
        </is>
      </c>
      <c r="D360" s="10" t="inlineStr">
        <is>
          <t>AKTIVA</t>
        </is>
      </c>
      <c r="E360" s="8" t="n">
        <v>13715</v>
      </c>
      <c r="F360" s="8" t="n">
        <v>0</v>
      </c>
      <c r="G360" s="8" t="n">
        <v>13715</v>
      </c>
    </row>
    <row r="361" ht="21" customHeight="1">
      <c r="A361" s="10" t="inlineStr">
        <is>
          <t>277000</t>
        </is>
      </c>
      <c r="B361" s="10" t="inlineStr">
        <is>
          <t>277000 Steuernachzahl. E + E Vorjahre (bis 2025)</t>
        </is>
      </c>
      <c r="C361" s="10" t="n"/>
      <c r="D361" s="10" t="n"/>
      <c r="E361" s="8" t="n">
        <v>0</v>
      </c>
      <c r="F361" s="8" t="n">
        <v>0</v>
      </c>
      <c r="G361" s="8" t="n">
        <v>0</v>
      </c>
    </row>
    <row r="362" ht="21" customHeight="1">
      <c r="A362" s="10" t="inlineStr">
        <is>
          <t>277100</t>
        </is>
      </c>
      <c r="B362" s="10" t="inlineStr">
        <is>
          <t>277100 Steuernachzahl. E + E Vorjahre</t>
        </is>
      </c>
      <c r="C362" s="10" t="inlineStr">
        <is>
          <t>ertragsteuer</t>
        </is>
      </c>
      <c r="D362" s="10" t="inlineStr">
        <is>
          <t>PASSIVA</t>
        </is>
      </c>
      <c r="E362" s="8" t="n">
        <v>66530.2</v>
      </c>
      <c r="F362" s="8" t="n">
        <v>66530.2</v>
      </c>
      <c r="G362" s="8" t="n">
        <v>0</v>
      </c>
    </row>
    <row r="363" ht="21" customHeight="1">
      <c r="A363" s="10" t="inlineStr">
        <is>
          <t>278000</t>
        </is>
      </c>
      <c r="B363" s="10" t="inlineStr">
        <is>
          <t>278000 Steuererstattung VJ f.Steuern v. E+E (bis 2025)</t>
        </is>
      </c>
      <c r="C363" s="10" t="inlineStr">
        <is>
          <t>ertragsteuer</t>
        </is>
      </c>
      <c r="D363" s="10" t="n"/>
      <c r="E363" s="8" t="n">
        <v>0</v>
      </c>
      <c r="F363" s="8" t="n">
        <v>0</v>
      </c>
      <c r="G363" s="8" t="n">
        <v>0</v>
      </c>
    </row>
    <row r="364" ht="21" customHeight="1">
      <c r="A364" s="10" t="inlineStr">
        <is>
          <t>278100</t>
        </is>
      </c>
      <c r="B364" s="10" t="inlineStr">
        <is>
          <t>278100 Steuererstattung E + E Vorjahre</t>
        </is>
      </c>
      <c r="C364" s="10" t="inlineStr">
        <is>
          <t>ertragsteuer</t>
        </is>
      </c>
      <c r="D364" s="10" t="inlineStr">
        <is>
          <t>PASSIVA</t>
        </is>
      </c>
      <c r="E364" s="8" t="n">
        <v>-13413.67</v>
      </c>
      <c r="F364" s="8" t="n">
        <v>-13413.67</v>
      </c>
      <c r="G364" s="8" t="n">
        <v>0</v>
      </c>
    </row>
    <row r="365" ht="21" customHeight="1">
      <c r="A365" s="10" t="inlineStr">
        <is>
          <t>28000</t>
        </is>
      </c>
      <c r="B365" s="10" t="inlineStr">
        <is>
          <t>028000 Betriebsvorrichtungen</t>
        </is>
      </c>
      <c r="C365" s="10" t="inlineStr">
        <is>
          <t>bilanz_anlagevermoegen</t>
        </is>
      </c>
      <c r="D365" s="10" t="inlineStr">
        <is>
          <t>AKTIVA</t>
        </is>
      </c>
      <c r="E365" s="8" t="n">
        <v>3828</v>
      </c>
      <c r="F365" s="8" t="n">
        <v>0</v>
      </c>
      <c r="G365" s="8" t="n">
        <v>3828</v>
      </c>
    </row>
    <row r="366" ht="21" customHeight="1">
      <c r="A366" s="10" t="inlineStr">
        <is>
          <t>289200</t>
        </is>
      </c>
      <c r="B366" s="10" t="inlineStr">
        <is>
          <t>289200 Verr. kalk. Zinsen</t>
        </is>
      </c>
      <c r="C366" s="10" t="inlineStr">
        <is>
          <t>bilanz_abgrenzung</t>
        </is>
      </c>
      <c r="D366" s="10" t="inlineStr">
        <is>
          <t>PASSIVA</t>
        </is>
      </c>
      <c r="E366" s="8" t="n">
        <v>-14873</v>
      </c>
      <c r="F366" s="8" t="n">
        <v>-12968</v>
      </c>
      <c r="G366" s="8" t="n">
        <v>-1905</v>
      </c>
    </row>
    <row r="367" ht="21" customHeight="1">
      <c r="A367" s="10" t="inlineStr">
        <is>
          <t>289300</t>
        </is>
      </c>
      <c r="B367" s="10" t="inlineStr">
        <is>
          <t>289300 Verr. kalk. Abschreibungen</t>
        </is>
      </c>
      <c r="C367" s="10" t="inlineStr">
        <is>
          <t>bilanz_abgrenzung</t>
        </is>
      </c>
      <c r="D367" s="10" t="inlineStr">
        <is>
          <t>PASSIVA</t>
        </is>
      </c>
      <c r="E367" s="8" t="n">
        <v>-73755.92</v>
      </c>
      <c r="F367" s="8" t="n">
        <v>-64651.92</v>
      </c>
      <c r="G367" s="8" t="n">
        <v>-9104</v>
      </c>
    </row>
    <row r="368" ht="21" customHeight="1">
      <c r="A368" s="10" t="inlineStr">
        <is>
          <t>32000</t>
        </is>
      </c>
      <c r="B368" s="10" t="inlineStr">
        <is>
          <t>032000 PKW</t>
        </is>
      </c>
      <c r="C368" s="10" t="inlineStr">
        <is>
          <t>bilanz_anlagevermoegen</t>
        </is>
      </c>
      <c r="D368" s="10" t="inlineStr">
        <is>
          <t>AKTIVA</t>
        </is>
      </c>
      <c r="E368" s="8" t="n">
        <v>6463</v>
      </c>
      <c r="F368" s="8" t="n">
        <v>0</v>
      </c>
      <c r="G368" s="8" t="n">
        <v>6463</v>
      </c>
    </row>
    <row r="369" ht="21" customHeight="1">
      <c r="A369" s="10" t="inlineStr">
        <is>
          <t>35000</t>
        </is>
      </c>
      <c r="B369" s="10" t="inlineStr">
        <is>
          <t>035000 LKW</t>
        </is>
      </c>
      <c r="C369" s="10" t="inlineStr">
        <is>
          <t>bilanz_anlagevermoegen</t>
        </is>
      </c>
      <c r="D369" s="10" t="inlineStr">
        <is>
          <t>AKTIVA</t>
        </is>
      </c>
      <c r="E369" s="8" t="n">
        <v>6752</v>
      </c>
      <c r="F369" s="8" t="n">
        <v>0</v>
      </c>
      <c r="G369" s="8" t="n">
        <v>6752</v>
      </c>
    </row>
    <row r="370" ht="21" customHeight="1">
      <c r="A370" s="10" t="inlineStr">
        <is>
          <t>36000</t>
        </is>
      </c>
      <c r="B370" s="10" t="inlineStr">
        <is>
          <t>036000 Schneefahrzeuge</t>
        </is>
      </c>
      <c r="C370" s="10" t="inlineStr">
        <is>
          <t>bilanz_anlagevermoegen</t>
        </is>
      </c>
      <c r="D370" s="10" t="inlineStr">
        <is>
          <t>AKTIVA</t>
        </is>
      </c>
      <c r="E370" s="8" t="n">
        <v>32080</v>
      </c>
      <c r="F370" s="8" t="n">
        <v>0</v>
      </c>
      <c r="G370" s="8" t="n">
        <v>32080</v>
      </c>
    </row>
    <row r="371" ht="21" customHeight="1">
      <c r="A371" s="10" t="inlineStr">
        <is>
          <t>38000</t>
        </is>
      </c>
      <c r="B371" s="10" t="inlineStr">
        <is>
          <t>038000 Sonstige Transportmittel</t>
        </is>
      </c>
      <c r="C371" s="10" t="inlineStr">
        <is>
          <t>bilanz_anlagevermoegen</t>
        </is>
      </c>
      <c r="D371" s="10" t="inlineStr">
        <is>
          <t>AKTIVA</t>
        </is>
      </c>
      <c r="E371" s="8" t="n">
        <v>193755</v>
      </c>
      <c r="F371" s="8" t="n">
        <v>0</v>
      </c>
      <c r="G371" s="8" t="n">
        <v>193755</v>
      </c>
    </row>
    <row r="372" ht="21" customHeight="1">
      <c r="A372" s="10" t="inlineStr">
        <is>
          <t>380950</t>
        </is>
      </c>
      <c r="B372" s="10" t="inlineStr">
        <is>
          <t>380950 Bestände Ersatzteile</t>
        </is>
      </c>
      <c r="C372" s="10" t="inlineStr">
        <is>
          <t>bilanz_anlagevermoegen</t>
        </is>
      </c>
      <c r="D372" s="10" t="inlineStr">
        <is>
          <t>AKTIVA</t>
        </is>
      </c>
      <c r="E372" s="8" t="n">
        <v>49055.01</v>
      </c>
      <c r="F372" s="8" t="n">
        <v>0</v>
      </c>
      <c r="G372" s="8" t="n">
        <v>49055.01</v>
      </c>
    </row>
    <row r="373" ht="21" customHeight="1">
      <c r="A373" s="10" t="inlineStr">
        <is>
          <t>40000</t>
        </is>
      </c>
      <c r="B373" s="10" t="inlineStr">
        <is>
          <t>040000 Betriebsausstattung</t>
        </is>
      </c>
      <c r="C373" s="10" t="inlineStr">
        <is>
          <t>bilanz_anlagevermoegen</t>
        </is>
      </c>
      <c r="D373" s="10" t="inlineStr">
        <is>
          <t>AKTIVA</t>
        </is>
      </c>
      <c r="E373" s="8" t="n">
        <v>117859</v>
      </c>
      <c r="F373" s="8" t="n">
        <v>0</v>
      </c>
      <c r="G373" s="8" t="n">
        <v>117859</v>
      </c>
    </row>
    <row r="374" ht="21" customHeight="1">
      <c r="A374" s="10" t="inlineStr">
        <is>
          <t>41000</t>
        </is>
      </c>
      <c r="B374" s="10" t="inlineStr">
        <is>
          <t>041000 Geschäftsausstattung/ EDV</t>
        </is>
      </c>
      <c r="C374" s="10" t="inlineStr">
        <is>
          <t>bilanz_anlagevermoegen</t>
        </is>
      </c>
      <c r="D374" s="10" t="inlineStr">
        <is>
          <t>AKTIVA</t>
        </is>
      </c>
      <c r="E374" s="8" t="n">
        <v>6274</v>
      </c>
      <c r="F374" s="8" t="n">
        <v>0</v>
      </c>
      <c r="G374" s="8" t="n">
        <v>6274</v>
      </c>
    </row>
    <row r="375" ht="21" customHeight="1">
      <c r="A375" s="10" t="inlineStr">
        <is>
          <t>42000</t>
        </is>
      </c>
      <c r="B375" s="10" t="inlineStr">
        <is>
          <t>042000 Büroeinrichtung</t>
        </is>
      </c>
      <c r="C375" s="10" t="inlineStr">
        <is>
          <t>bilanz_anlagevermoegen</t>
        </is>
      </c>
      <c r="D375" s="10" t="inlineStr">
        <is>
          <t>AKTIVA</t>
        </is>
      </c>
      <c r="E375" s="8" t="n">
        <v>1054</v>
      </c>
      <c r="F375" s="8" t="n">
        <v>0</v>
      </c>
      <c r="G375" s="8" t="n">
        <v>1054</v>
      </c>
    </row>
    <row r="376" ht="21" customHeight="1">
      <c r="A376" s="10" t="inlineStr">
        <is>
          <t>43000</t>
        </is>
      </c>
      <c r="B376" s="10" t="inlineStr">
        <is>
          <t>043000 Werkstatteinrichtung</t>
        </is>
      </c>
      <c r="C376" s="10" t="inlineStr">
        <is>
          <t>bilanz_anlagevermoegen</t>
        </is>
      </c>
      <c r="D376" s="10" t="inlineStr">
        <is>
          <t>AKTIVA</t>
        </is>
      </c>
      <c r="E376" s="8" t="n">
        <v>10192</v>
      </c>
      <c r="F376" s="8" t="n">
        <v>0</v>
      </c>
      <c r="G376" s="8" t="n">
        <v>10192</v>
      </c>
    </row>
    <row r="377" ht="21" customHeight="1">
      <c r="A377" s="10" t="inlineStr">
        <is>
          <t>44000</t>
        </is>
      </c>
      <c r="B377" s="10" t="inlineStr">
        <is>
          <t>044000 Werkzeuge</t>
        </is>
      </c>
      <c r="C377" s="10" t="inlineStr">
        <is>
          <t>bilanz_anlagevermoegen</t>
        </is>
      </c>
      <c r="D377" s="10" t="inlineStr">
        <is>
          <t>AKTIVA</t>
        </is>
      </c>
      <c r="E377" s="8" t="n">
        <v>11747</v>
      </c>
      <c r="F377" s="8" t="n">
        <v>0</v>
      </c>
      <c r="G377" s="8" t="n">
        <v>11747</v>
      </c>
    </row>
    <row r="378" ht="21" customHeight="1">
      <c r="A378" s="10" t="inlineStr">
        <is>
          <t>45000</t>
        </is>
      </c>
      <c r="B378" s="10" t="inlineStr">
        <is>
          <t>045000 Container,Pressen und Behälter</t>
        </is>
      </c>
      <c r="C378" s="10" t="inlineStr">
        <is>
          <t>bilanz_anlagevermoegen</t>
        </is>
      </c>
      <c r="D378" s="10" t="inlineStr">
        <is>
          <t>AKTIVA</t>
        </is>
      </c>
      <c r="E378" s="8" t="n">
        <v>7257</v>
      </c>
      <c r="F378" s="8" t="n">
        <v>0</v>
      </c>
      <c r="G378" s="8" t="n">
        <v>7257</v>
      </c>
    </row>
    <row r="379" ht="21" customHeight="1">
      <c r="A379" s="10" t="inlineStr">
        <is>
          <t>48000</t>
        </is>
      </c>
      <c r="B379" s="10" t="inlineStr">
        <is>
          <t>048000 Betriebsausstattung GWG</t>
        </is>
      </c>
      <c r="C379" s="10" t="inlineStr">
        <is>
          <t>bilanz_anlagevermoegen</t>
        </is>
      </c>
      <c r="D379" s="10" t="inlineStr">
        <is>
          <t>AKTIVA</t>
        </is>
      </c>
      <c r="E379" s="8" t="n">
        <v>10161</v>
      </c>
      <c r="F379" s="8" t="n">
        <v>0</v>
      </c>
      <c r="G379" s="8" t="n">
        <v>10161</v>
      </c>
    </row>
    <row r="380" ht="21" customHeight="1">
      <c r="A380" s="10" t="inlineStr">
        <is>
          <t>48100</t>
        </is>
      </c>
      <c r="B380" s="10" t="inlineStr">
        <is>
          <t>048100 Geschäftsausstattung GWG</t>
        </is>
      </c>
      <c r="C380" s="10" t="inlineStr">
        <is>
          <t>bilanz_anlagevermoegen</t>
        </is>
      </c>
      <c r="D380" s="10" t="inlineStr">
        <is>
          <t>AKTIVA</t>
        </is>
      </c>
      <c r="E380" s="8" t="n">
        <v>9576</v>
      </c>
      <c r="F380" s="8" t="n">
        <v>0</v>
      </c>
      <c r="G380" s="8" t="n">
        <v>9576</v>
      </c>
    </row>
    <row r="381" ht="21" customHeight="1">
      <c r="A381" s="10" t="inlineStr">
        <is>
          <t>499200</t>
        </is>
      </c>
      <c r="B381" s="10" t="inlineStr">
        <is>
          <t>499200 Kalk. Zinsen</t>
        </is>
      </c>
      <c r="C381" s="10" t="inlineStr">
        <is>
          <t>bilanz_abgrenzung</t>
        </is>
      </c>
      <c r="D381" s="10" t="inlineStr">
        <is>
          <t>PASSIVA</t>
        </is>
      </c>
      <c r="E381" s="8" t="n">
        <v>14873</v>
      </c>
      <c r="F381" s="8" t="n">
        <v>12968</v>
      </c>
      <c r="G381" s="8" t="n">
        <v>1905</v>
      </c>
    </row>
    <row r="382" ht="21" customHeight="1">
      <c r="A382" s="10" t="inlineStr">
        <is>
          <t>499300</t>
        </is>
      </c>
      <c r="B382" s="10" t="inlineStr">
        <is>
          <t>499300 Kalk. Abschreibungen</t>
        </is>
      </c>
      <c r="C382" s="10" t="inlineStr">
        <is>
          <t>bilanz_abgrenzung</t>
        </is>
      </c>
      <c r="D382" s="10" t="inlineStr">
        <is>
          <t>PASSIVA</t>
        </is>
      </c>
      <c r="E382" s="8" t="n">
        <v>73755.92</v>
      </c>
      <c r="F382" s="8" t="n">
        <v>64651.92</v>
      </c>
      <c r="G382" s="8" t="n">
        <v>9104</v>
      </c>
    </row>
    <row r="383" ht="21" customHeight="1">
      <c r="A383" s="10" t="inlineStr">
        <is>
          <t>49951</t>
        </is>
      </c>
      <c r="B383" s="10" t="inlineStr">
        <is>
          <t>049951 Bestände unfertige Erzeugnisse</t>
        </is>
      </c>
      <c r="C383" s="10" t="inlineStr">
        <is>
          <t>bilanz_bestand</t>
        </is>
      </c>
      <c r="D383" s="10" t="inlineStr">
        <is>
          <t>AKTIVA</t>
        </is>
      </c>
      <c r="E383" s="8" t="n">
        <v>11278895.04</v>
      </c>
      <c r="F383" s="8" t="n">
        <v>3886319.32</v>
      </c>
      <c r="G383" s="8" t="n">
        <v>7392575.72</v>
      </c>
    </row>
    <row r="384" ht="21" customHeight="1">
      <c r="A384" s="10" t="inlineStr">
        <is>
          <t>49972</t>
        </is>
      </c>
      <c r="B384" s="10" t="inlineStr">
        <is>
          <t>049972 Erhaltene Anzahlungen auf Vorräte</t>
        </is>
      </c>
      <c r="C384" s="10" t="inlineStr">
        <is>
          <t>bilanz_anzahlungen</t>
        </is>
      </c>
      <c r="D384" s="10" t="inlineStr">
        <is>
          <t>PASSIVA</t>
        </is>
      </c>
      <c r="E384" s="8" t="n">
        <v>-8995448.880000001</v>
      </c>
      <c r="F384" s="8" t="n">
        <v>-2999838.81</v>
      </c>
      <c r="G384" s="8" t="n">
        <v>-5995610.07</v>
      </c>
    </row>
    <row r="385" ht="21" customHeight="1">
      <c r="A385" s="10" t="inlineStr">
        <is>
          <t>49999</t>
        </is>
      </c>
      <c r="B385" s="10" t="inlineStr">
        <is>
          <t>049999 Anlagenverrechnungskonto</t>
        </is>
      </c>
      <c r="C385" s="10" t="inlineStr">
        <is>
          <t>bilanz_abgrenzung</t>
        </is>
      </c>
      <c r="D385" s="10" t="n"/>
      <c r="E385" s="8" t="n">
        <v>763.4299999999999</v>
      </c>
      <c r="F385" s="8" t="n">
        <v>0</v>
      </c>
      <c r="G385" s="8" t="n">
        <v>763.4299999999999</v>
      </c>
    </row>
    <row r="386" ht="21" customHeight="1">
      <c r="A386" s="10" t="inlineStr">
        <is>
          <t>599131</t>
        </is>
      </c>
      <c r="B386" s="10" t="inlineStr">
        <is>
          <t>599131 Gegenkonto Abgrenzung Berufsgenossenschaft</t>
        </is>
      </c>
      <c r="C386" s="10" t="inlineStr">
        <is>
          <t>bilanz_abgrenzung</t>
        </is>
      </c>
      <c r="D386" s="10" t="inlineStr">
        <is>
          <t>PASSIVA</t>
        </is>
      </c>
      <c r="E386" s="8" t="n">
        <v>-42350</v>
      </c>
      <c r="F386" s="8" t="n">
        <v>-42350</v>
      </c>
      <c r="G386" s="8" t="n">
        <v>0</v>
      </c>
    </row>
    <row r="387" ht="21" customHeight="1">
      <c r="A387" s="10" t="inlineStr">
        <is>
          <t>599136</t>
        </is>
      </c>
      <c r="B387" s="10" t="inlineStr">
        <is>
          <t>599136 Gegenkonto Abgrenzung variable Vergütung</t>
        </is>
      </c>
      <c r="C387" s="10" t="inlineStr">
        <is>
          <t>bilanz_abgrenzung</t>
        </is>
      </c>
      <c r="D387" s="10" t="inlineStr">
        <is>
          <t>PASSIVA</t>
        </is>
      </c>
      <c r="E387" s="8" t="n">
        <v>-185038</v>
      </c>
      <c r="F387" s="8" t="n">
        <v>-185038</v>
      </c>
      <c r="G387" s="8" t="n">
        <v>0</v>
      </c>
    </row>
    <row r="388" ht="21" customHeight="1">
      <c r="A388" s="10" t="inlineStr">
        <is>
          <t>599992</t>
        </is>
      </c>
      <c r="B388" s="10" t="inlineStr">
        <is>
          <t>599992 Gegenkonto Kostenabgrenzungen (Rückstell.)</t>
        </is>
      </c>
      <c r="C388" s="10" t="inlineStr">
        <is>
          <t>bilanz_rueckstellungen</t>
        </is>
      </c>
      <c r="D388" s="10" t="inlineStr">
        <is>
          <t>PASSIVA</t>
        </is>
      </c>
      <c r="E388" s="8" t="n">
        <v>-57000</v>
      </c>
      <c r="F388" s="8" t="n">
        <v>-57000</v>
      </c>
      <c r="G388" s="8" t="n">
        <v>0</v>
      </c>
    </row>
    <row r="389" ht="21" customHeight="1">
      <c r="A389" s="10" t="inlineStr">
        <is>
          <t>599994</t>
        </is>
      </c>
      <c r="B389" s="10" t="inlineStr">
        <is>
          <t>599994 Gegenkonto aus Kostenabgrenzung Verb. L&amp;L</t>
        </is>
      </c>
      <c r="C389" s="10" t="inlineStr">
        <is>
          <t>bilanz_verbindlichkeiten</t>
        </is>
      </c>
      <c r="D389" s="10" t="inlineStr">
        <is>
          <t>PASSIVA</t>
        </is>
      </c>
      <c r="E389" s="8" t="n">
        <v>-3708.88</v>
      </c>
      <c r="F389" s="8" t="n">
        <v>-357773.88</v>
      </c>
      <c r="G389" s="8" t="n">
        <v>354065</v>
      </c>
    </row>
    <row r="390" ht="21" customHeight="1">
      <c r="A390" s="10" t="inlineStr">
        <is>
          <t>80000</t>
        </is>
      </c>
      <c r="B390" s="10" t="inlineStr">
        <is>
          <t>080000 Gezeichnetes Kapital</t>
        </is>
      </c>
      <c r="C390" s="10" t="inlineStr">
        <is>
          <t>bilanz_eigenkapital</t>
        </is>
      </c>
      <c r="D390" s="10" t="inlineStr">
        <is>
          <t>PASSIVA</t>
        </is>
      </c>
      <c r="E390" s="8" t="n">
        <v>-1023000</v>
      </c>
      <c r="F390" s="8" t="n">
        <v>0</v>
      </c>
      <c r="G390" s="8" t="n">
        <v>-1023000</v>
      </c>
    </row>
    <row r="391" ht="21" customHeight="1">
      <c r="A391" s="10" t="inlineStr">
        <is>
          <t>84000</t>
        </is>
      </c>
      <c r="B391" s="10" t="inlineStr">
        <is>
          <t>084000 Kapitalrücklage</t>
        </is>
      </c>
      <c r="C391" s="10" t="inlineStr">
        <is>
          <t>bilanz_eigenkapital</t>
        </is>
      </c>
      <c r="D391" s="10" t="inlineStr">
        <is>
          <t>PASSIVA</t>
        </is>
      </c>
      <c r="E391" s="8" t="n">
        <v>-1033875.64</v>
      </c>
      <c r="F391" s="8" t="n">
        <v>0</v>
      </c>
      <c r="G391" s="8" t="n">
        <v>-1033875.64</v>
      </c>
    </row>
    <row r="392" ht="21" customHeight="1">
      <c r="A392" s="10" t="inlineStr">
        <is>
          <t>85500</t>
        </is>
      </c>
      <c r="B392" s="10" t="inlineStr">
        <is>
          <t>085500 Andere Gewinnrücklagen</t>
        </is>
      </c>
      <c r="C392" s="10" t="inlineStr">
        <is>
          <t>bilanz_eigenkapital</t>
        </is>
      </c>
      <c r="D392" s="10" t="inlineStr">
        <is>
          <t>PASSIVA</t>
        </is>
      </c>
      <c r="E392" s="8" t="n">
        <v>-193745.56</v>
      </c>
      <c r="F392" s="8" t="n">
        <v>0</v>
      </c>
      <c r="G392" s="8" t="n">
        <v>-193745.56</v>
      </c>
    </row>
    <row r="393" ht="21" customHeight="1">
      <c r="A393" s="10" t="inlineStr">
        <is>
          <t>86800</t>
        </is>
      </c>
      <c r="B393" s="10" t="inlineStr">
        <is>
          <t>086800 Gewinn- oder Verlustvortrag</t>
        </is>
      </c>
      <c r="C393" s="10" t="inlineStr">
        <is>
          <t>bilanz_abgrenzung</t>
        </is>
      </c>
      <c r="D393" s="10" t="inlineStr">
        <is>
          <t>PASSIVA</t>
        </is>
      </c>
      <c r="E393" s="8" t="n">
        <v>-3874379.85</v>
      </c>
      <c r="F393" s="8" t="n">
        <v>0</v>
      </c>
      <c r="G393" s="8" t="n">
        <v>-3874379.85</v>
      </c>
    </row>
    <row r="394" ht="21" customHeight="1">
      <c r="A394" s="10" t="inlineStr">
        <is>
          <t>86801</t>
        </is>
      </c>
      <c r="B394" s="10" t="inlineStr">
        <is>
          <t>086801 Gewinn- oder Verlustvortrag (HGB nur FW Bew.)</t>
        </is>
      </c>
      <c r="C394" s="10" t="inlineStr">
        <is>
          <t>bilanz_abgrenzung</t>
        </is>
      </c>
      <c r="D394" s="10" t="inlineStr">
        <is>
          <t>PASSIVA</t>
        </is>
      </c>
      <c r="E394" s="8" t="n">
        <v>2702877.8</v>
      </c>
      <c r="F394" s="8" t="n">
        <v>0</v>
      </c>
      <c r="G394" s="8" t="n">
        <v>2702877.8</v>
      </c>
    </row>
    <row r="395" ht="21" customHeight="1">
      <c r="A395" s="10" t="inlineStr">
        <is>
          <t>900051</t>
        </is>
      </c>
      <c r="B395" s="10" t="inlineStr">
        <is>
          <t>900051 Kautionen (Korrekturkonto)</t>
        </is>
      </c>
      <c r="C395" s="10" t="inlineStr">
        <is>
          <t>bilanz_abgrenzung</t>
        </is>
      </c>
      <c r="D395" s="10" t="n"/>
      <c r="E395" s="8" t="n">
        <v>0</v>
      </c>
      <c r="F395" s="8" t="n">
        <v>0</v>
      </c>
      <c r="G395" s="8" t="n">
        <v>0</v>
      </c>
    </row>
    <row r="396" ht="21" customHeight="1">
      <c r="A396" s="10" t="inlineStr">
        <is>
          <t>900052</t>
        </is>
      </c>
      <c r="B396" s="10" t="inlineStr">
        <is>
          <t>900052 Kautionen (RLZ &gt;1 Jahr)</t>
        </is>
      </c>
      <c r="C396" s="10" t="inlineStr">
        <is>
          <t>bilanz_abgrenzung</t>
        </is>
      </c>
      <c r="D396" s="10" t="n"/>
      <c r="E396" s="8" t="n">
        <v>0</v>
      </c>
      <c r="F396" s="8" t="n">
        <v>0</v>
      </c>
      <c r="G396" s="8" t="n">
        <v>0</v>
      </c>
    </row>
    <row r="397" ht="21" customHeight="1">
      <c r="A397" s="10" t="inlineStr">
        <is>
          <t>900061</t>
        </is>
      </c>
      <c r="B397" s="10" t="inlineStr">
        <is>
          <t>900061 Verbind.aus L+L (Korrekturkto)</t>
        </is>
      </c>
      <c r="C397" s="10" t="inlineStr">
        <is>
          <t>bilanz_abgrenzung</t>
        </is>
      </c>
      <c r="D397" s="10" t="n"/>
      <c r="E397" s="8" t="n">
        <v>0</v>
      </c>
      <c r="F397" s="8" t="n">
        <v>-1181.41</v>
      </c>
      <c r="G397" s="8" t="n">
        <v>1181.41</v>
      </c>
    </row>
    <row r="398" ht="21" customHeight="1">
      <c r="A398" s="10" t="inlineStr">
        <is>
          <t>900065</t>
        </is>
      </c>
      <c r="B398" s="10" t="inlineStr">
        <is>
          <t>900065 Verbind.verb.Unternehmen (Korrekturkto)</t>
        </is>
      </c>
      <c r="C398" s="10" t="inlineStr">
        <is>
          <t>bilanz_abgrenzung</t>
        </is>
      </c>
      <c r="D398" s="10" t="n"/>
      <c r="E398" s="8" t="n">
        <v>0</v>
      </c>
      <c r="F398" s="8" t="n">
        <v>343774.94</v>
      </c>
      <c r="G398" s="8" t="n">
        <v>-343774.94</v>
      </c>
    </row>
    <row r="399" ht="21" customHeight="1">
      <c r="A399" s="10" t="inlineStr">
        <is>
          <t>900088</t>
        </is>
      </c>
      <c r="B399" s="10" t="inlineStr">
        <is>
          <t>900088 And. Sonst. Verbindlichkeiten (Korrekturkto)</t>
        </is>
      </c>
      <c r="C399" s="10" t="inlineStr">
        <is>
          <t>bilanz_abgrenzung</t>
        </is>
      </c>
      <c r="D399" s="10" t="n"/>
      <c r="E399" s="8" t="n">
        <v>0</v>
      </c>
      <c r="F399" s="8" t="n">
        <v>59943.4</v>
      </c>
      <c r="G399" s="8" t="n">
        <v>-59943.4</v>
      </c>
    </row>
    <row r="400" ht="21" customHeight="1">
      <c r="A400" s="10" t="inlineStr">
        <is>
          <t>900400</t>
        </is>
      </c>
      <c r="B400" s="10" t="inlineStr">
        <is>
          <t>900400 Debitorische Kreditoren (Verb.a.L+L)</t>
        </is>
      </c>
      <c r="C400" s="10" t="inlineStr">
        <is>
          <t>bilanz_abgrenzung</t>
        </is>
      </c>
      <c r="D400" s="10" t="n"/>
      <c r="E400" s="8" t="n">
        <v>0</v>
      </c>
      <c r="F400" s="8" t="n">
        <v>1181.41</v>
      </c>
      <c r="G400" s="8" t="n">
        <v>-1181.41</v>
      </c>
    </row>
    <row r="401" ht="21" customHeight="1">
      <c r="A401" s="10" t="inlineStr">
        <is>
          <t>900410</t>
        </is>
      </c>
      <c r="B401" s="10" t="inlineStr">
        <is>
          <t>900410 Debitorische Kreditoren (Verb.a.verb.Untern.)</t>
        </is>
      </c>
      <c r="C401" s="10" t="inlineStr">
        <is>
          <t>bilanz_abgrenzung</t>
        </is>
      </c>
      <c r="D401" s="10" t="n"/>
      <c r="E401" s="8" t="n">
        <v>0</v>
      </c>
      <c r="F401" s="8" t="n">
        <v>-343774.94</v>
      </c>
      <c r="G401" s="8" t="n">
        <v>343774.94</v>
      </c>
    </row>
    <row r="402" ht="21" customHeight="1">
      <c r="A402" s="10" t="inlineStr">
        <is>
          <t>900460</t>
        </is>
      </c>
      <c r="B402" s="10" t="inlineStr">
        <is>
          <t>900460 Debitorische Kreditoren (Verb. nicht L+L)</t>
        </is>
      </c>
      <c r="C402" s="10" t="inlineStr">
        <is>
          <t>bilanz_abgrenzung</t>
        </is>
      </c>
      <c r="D402" s="10" t="n"/>
      <c r="E402" s="8" t="n">
        <v>0</v>
      </c>
      <c r="F402" s="8" t="n">
        <v>992.0599999999999</v>
      </c>
      <c r="G402" s="8" t="n">
        <v>-992.0599999999999</v>
      </c>
    </row>
    <row r="403" ht="21" customHeight="1">
      <c r="A403" s="10" t="inlineStr">
        <is>
          <t>95510</t>
        </is>
      </c>
      <c r="B403" s="10" t="inlineStr">
        <is>
          <t>095510 Gewerbesteuerrückstellung</t>
        </is>
      </c>
      <c r="C403" s="10" t="inlineStr">
        <is>
          <t>bilanz_steuern</t>
        </is>
      </c>
      <c r="D403" s="10" t="inlineStr">
        <is>
          <t>PASSIVA</t>
        </is>
      </c>
      <c r="E403" s="8" t="n">
        <v>-250.8</v>
      </c>
      <c r="F403" s="8" t="n">
        <v>1014.3</v>
      </c>
      <c r="G403" s="8" t="n">
        <v>-1265.1</v>
      </c>
    </row>
    <row r="404" ht="21" customHeight="1">
      <c r="A404" s="10" t="inlineStr">
        <is>
          <t>95520</t>
        </is>
      </c>
      <c r="B404" s="10" t="inlineStr">
        <is>
          <t>095520 Körperschaftsteuerrückstellung inkl. SolZ</t>
        </is>
      </c>
      <c r="C404" s="10" t="inlineStr">
        <is>
          <t>bilanz_abgrenzung</t>
        </is>
      </c>
      <c r="D404" s="10" t="n"/>
      <c r="E404" s="8" t="n">
        <v>0</v>
      </c>
      <c r="F404" s="8" t="n">
        <v>1645.8</v>
      </c>
      <c r="G404" s="8" t="n">
        <v>-1645.8</v>
      </c>
    </row>
    <row r="405" ht="21" customHeight="1">
      <c r="A405" s="10" t="inlineStr">
        <is>
          <t>97030</t>
        </is>
      </c>
      <c r="B405" s="10" t="inlineStr">
        <is>
          <t>097030 Rückstellungen für ausstehende Rechnungen/Leistg.</t>
        </is>
      </c>
      <c r="C405" s="10" t="inlineStr">
        <is>
          <t>bilanz_abgrenzung</t>
        </is>
      </c>
      <c r="D405" s="10" t="n"/>
      <c r="E405" s="8" t="n">
        <v>0</v>
      </c>
      <c r="F405" s="8" t="n">
        <v>88700</v>
      </c>
      <c r="G405" s="8" t="n">
        <v>-88700</v>
      </c>
    </row>
    <row r="406" ht="21" customHeight="1">
      <c r="A406" s="10" t="inlineStr">
        <is>
          <t>97035</t>
        </is>
      </c>
      <c r="B406" s="10" t="inlineStr">
        <is>
          <t>097035 Rückst. f. Jahresabschluss/Rechtsberatung</t>
        </is>
      </c>
      <c r="C406" s="10" t="inlineStr">
        <is>
          <t>bilanz_abgrenzung</t>
        </is>
      </c>
      <c r="D406" s="10" t="inlineStr">
        <is>
          <t>PASSIVA</t>
        </is>
      </c>
      <c r="E406" s="8" t="n">
        <v>-11182</v>
      </c>
      <c r="F406" s="8" t="n">
        <v>22148</v>
      </c>
      <c r="G406" s="8" t="n">
        <v>-33330</v>
      </c>
    </row>
    <row r="407" ht="21" customHeight="1">
      <c r="A407" s="10" t="inlineStr">
        <is>
          <t>97200</t>
        </is>
      </c>
      <c r="B407" s="10" t="inlineStr">
        <is>
          <t>097200 Rückstellung Berufsgenossenschaft</t>
        </is>
      </c>
      <c r="C407" s="10" t="inlineStr">
        <is>
          <t>bilanz_rueckstellungen</t>
        </is>
      </c>
      <c r="D407" s="10" t="inlineStr">
        <is>
          <t>PASSIVA</t>
        </is>
      </c>
      <c r="E407" s="8" t="n">
        <v>-287.8</v>
      </c>
      <c r="F407" s="8" t="n">
        <v>67462.2</v>
      </c>
      <c r="G407" s="8" t="n">
        <v>-67750</v>
      </c>
    </row>
    <row r="408" ht="21" customHeight="1">
      <c r="A408" s="10" t="inlineStr">
        <is>
          <t>97201</t>
        </is>
      </c>
      <c r="B408" s="10" t="inlineStr">
        <is>
          <t>097201 Rückstellung Schwerbehindertenabgabe</t>
        </is>
      </c>
      <c r="C408" s="10" t="inlineStr">
        <is>
          <t>bilanz_abgrenzung</t>
        </is>
      </c>
      <c r="D408" s="10" t="n"/>
      <c r="E408" s="8" t="n">
        <v>0</v>
      </c>
      <c r="F408" s="8" t="n">
        <v>700</v>
      </c>
      <c r="G408" s="8" t="n">
        <v>-700</v>
      </c>
    </row>
    <row r="409" ht="21" customHeight="1">
      <c r="A409" s="10" t="inlineStr">
        <is>
          <t>97202</t>
        </is>
      </c>
      <c r="B409" s="10" t="inlineStr">
        <is>
          <t>097202 Rückstellung Urlaubsverpflichtungen</t>
        </is>
      </c>
      <c r="C409" s="10" t="inlineStr">
        <is>
          <t>bilanz_rueckstellungen</t>
        </is>
      </c>
      <c r="D409" s="10" t="inlineStr">
        <is>
          <t>PASSIVA</t>
        </is>
      </c>
      <c r="E409" s="8" t="n">
        <v>-108635.41</v>
      </c>
      <c r="F409" s="8" t="n">
        <v>0</v>
      </c>
      <c r="G409" s="8" t="n">
        <v>-108635.41</v>
      </c>
    </row>
    <row r="410" ht="21" customHeight="1">
      <c r="A410" s="10" t="inlineStr">
        <is>
          <t>97207</t>
        </is>
      </c>
      <c r="B410" s="10" t="inlineStr">
        <is>
          <t>097207 Rückstellung Variable Vergütung</t>
        </is>
      </c>
      <c r="C410" s="10" t="inlineStr">
        <is>
          <t>bilanz_rueckstellungen</t>
        </is>
      </c>
      <c r="D410" s="10" t="inlineStr">
        <is>
          <t>PASSIVA</t>
        </is>
      </c>
      <c r="E410" s="8" t="n">
        <v>-66505.64999999999</v>
      </c>
      <c r="F410" s="8" t="n">
        <v>49115.05</v>
      </c>
      <c r="G410" s="8" t="n">
        <v>-115620.7</v>
      </c>
    </row>
    <row r="411" ht="21" customHeight="1">
      <c r="A411" s="10" t="inlineStr">
        <is>
          <t>97209</t>
        </is>
      </c>
      <c r="B411" s="10" t="inlineStr">
        <is>
          <t>097209 Rückstellung Überstunden/Mehrarbeit</t>
        </is>
      </c>
      <c r="C411" s="10" t="inlineStr">
        <is>
          <t>bilanz_rueckstellungen</t>
        </is>
      </c>
      <c r="D411" s="10" t="inlineStr">
        <is>
          <t>PASSIVA</t>
        </is>
      </c>
      <c r="E411" s="8" t="n">
        <v>-75406.8</v>
      </c>
      <c r="F411" s="8" t="n">
        <v>0</v>
      </c>
      <c r="G411" s="8" t="n">
        <v>-75406.8</v>
      </c>
    </row>
    <row r="412" ht="21" customHeight="1">
      <c r="A412" s="10" t="inlineStr">
        <is>
          <t>97300</t>
        </is>
      </c>
      <c r="B412" s="10" t="inlineStr">
        <is>
          <t>097300 Rückstellung für Zinsen auf Steuernachzahlungen</t>
        </is>
      </c>
      <c r="C412" s="10" t="inlineStr">
        <is>
          <t>bilanz_steuern</t>
        </is>
      </c>
      <c r="D412" s="10" t="inlineStr">
        <is>
          <t>PASSIVA</t>
        </is>
      </c>
      <c r="E412" s="8" t="n">
        <v>-29.56</v>
      </c>
      <c r="F412" s="8" t="n">
        <v>128.18</v>
      </c>
      <c r="G412" s="8" t="n">
        <v>-157.74</v>
      </c>
    </row>
    <row r="413" ht="21" customHeight="1">
      <c r="A413" s="10" t="inlineStr">
        <is>
          <t>98002</t>
        </is>
      </c>
      <c r="B413" s="10" t="inlineStr">
        <is>
          <t>098002 ARAP Kfz-Steuer</t>
        </is>
      </c>
      <c r="C413" s="10" t="inlineStr">
        <is>
          <t>bilanz_steuern</t>
        </is>
      </c>
      <c r="D413" s="10" t="inlineStr">
        <is>
          <t>AKTIVA</t>
        </is>
      </c>
      <c r="E413" s="8" t="n">
        <v>3859.63</v>
      </c>
      <c r="F413" s="8" t="n">
        <v>-2604.84</v>
      </c>
      <c r="G413" s="8" t="n">
        <v>6464.47</v>
      </c>
    </row>
    <row r="414" ht="21" customHeight="1">
      <c r="A414" s="10" t="inlineStr">
        <is>
          <t>98004</t>
        </is>
      </c>
      <c r="B414" s="10" t="inlineStr">
        <is>
          <t>098004 ARAP sonstige Versicherungen</t>
        </is>
      </c>
      <c r="C414" s="10" t="inlineStr">
        <is>
          <t>bilanz_anlagevermoegen</t>
        </is>
      </c>
      <c r="D414" s="10" t="inlineStr">
        <is>
          <t>AKTIVA</t>
        </is>
      </c>
      <c r="E414" s="8" t="n">
        <v>89.54000000000001</v>
      </c>
      <c r="F414" s="8" t="n">
        <v>32.27</v>
      </c>
      <c r="G414" s="8" t="n">
        <v>57.27</v>
      </c>
    </row>
    <row r="415" ht="21" customHeight="1">
      <c r="A415" s="10" t="inlineStr">
        <is>
          <t>98006</t>
        </is>
      </c>
      <c r="B415" s="10" t="inlineStr">
        <is>
          <t>098006 ARAP OP-verwaltet</t>
        </is>
      </c>
      <c r="C415" s="10" t="inlineStr">
        <is>
          <t>bilanz_anlagevermoegen</t>
        </is>
      </c>
      <c r="D415" s="10" t="inlineStr">
        <is>
          <t>AKTIVA</t>
        </is>
      </c>
      <c r="E415" s="8" t="n">
        <v>5829.32</v>
      </c>
      <c r="F415" s="8" t="n">
        <v>604.89</v>
      </c>
      <c r="G415" s="8" t="n">
        <v>5224.43</v>
      </c>
    </row>
    <row r="416" ht="21" customHeight="1">
      <c r="A416" s="10" t="inlineStr">
        <is>
          <t>99800</t>
        </is>
      </c>
      <c r="B416" s="10" t="inlineStr">
        <is>
          <t>099800 EWB auf Forderungen</t>
        </is>
      </c>
      <c r="C416" s="10" t="inlineStr">
        <is>
          <t>bilanz_forderungen</t>
        </is>
      </c>
      <c r="D416" s="10" t="inlineStr">
        <is>
          <t>AKTIVA</t>
        </is>
      </c>
      <c r="E416" s="8" t="n">
        <v>-324796.86</v>
      </c>
      <c r="F416" s="8" t="n">
        <v>0</v>
      </c>
      <c r="G416" s="8" t="n">
        <v>-324796.86</v>
      </c>
    </row>
    <row r="417" ht="21" customHeight="1">
      <c r="A417" s="10" t="inlineStr">
        <is>
          <t>999920</t>
        </is>
      </c>
      <c r="B417" s="10" t="inlineStr">
        <is>
          <t>999920 Übernahme-Konto offene Posten Debitoren</t>
        </is>
      </c>
      <c r="C417" s="10" t="inlineStr">
        <is>
          <t>bilanz_abgrenzung</t>
        </is>
      </c>
      <c r="D417" s="10" t="inlineStr">
        <is>
          <t>PASSIVA</t>
        </is>
      </c>
      <c r="E417" s="8" t="n">
        <v>7519</v>
      </c>
      <c r="F417" s="8" t="n">
        <v>0</v>
      </c>
      <c r="G417" s="8" t="n">
        <v>7519</v>
      </c>
    </row>
    <row r="418" ht="21" customHeight="1">
      <c r="A418" s="10" t="inlineStr">
        <is>
          <t>999930</t>
        </is>
      </c>
      <c r="B418" s="10" t="inlineStr">
        <is>
          <t>999930 Übernahme-Konto offene Posten Kreditoren</t>
        </is>
      </c>
      <c r="C418" s="10" t="inlineStr">
        <is>
          <t>bilanz_darlehen</t>
        </is>
      </c>
      <c r="D418" s="10" t="inlineStr">
        <is>
          <t>PASSIVA</t>
        </is>
      </c>
      <c r="E418" s="8" t="n">
        <v>-7519</v>
      </c>
      <c r="F418" s="8" t="n">
        <v>0</v>
      </c>
      <c r="G418" s="8" t="n">
        <v>-7519</v>
      </c>
    </row>
    <row r="419" ht="21" customHeight="1">
      <c r="A419" s="10" t="inlineStr">
        <is>
          <t>F008600</t>
        </is>
      </c>
      <c r="B419" s="10" t="inlineStr">
        <is>
          <t>F008600 Nutzungsrechte Grund und Boden</t>
        </is>
      </c>
      <c r="C419" s="10" t="n"/>
      <c r="D419" s="10" t="n"/>
      <c r="E419" s="8" t="n">
        <v>350020.25</v>
      </c>
      <c r="F419" s="8" t="n">
        <v>0</v>
      </c>
      <c r="G419" s="8" t="n">
        <v>350020.25</v>
      </c>
    </row>
    <row r="420" ht="21" customHeight="1">
      <c r="A420" s="10" t="inlineStr">
        <is>
          <t>F009100</t>
        </is>
      </c>
      <c r="B420" s="10" t="inlineStr">
        <is>
          <t>F009100 Nutzungsrechte Gebaeude</t>
        </is>
      </c>
      <c r="C420" s="10" t="n"/>
      <c r="D420" s="10" t="n"/>
      <c r="E420" s="8" t="n">
        <v>226519.48</v>
      </c>
      <c r="F420" s="8" t="n">
        <v>0</v>
      </c>
      <c r="G420" s="8" t="n">
        <v>226519.48</v>
      </c>
    </row>
    <row r="421" ht="21" customHeight="1">
      <c r="A421" s="10" t="inlineStr">
        <is>
          <t>F033000</t>
        </is>
      </c>
      <c r="B421" s="10" t="inlineStr">
        <is>
          <t>F033000 Nutzungsrechte Fahrzeuge</t>
        </is>
      </c>
      <c r="C421" s="10" t="n"/>
      <c r="D421" s="10" t="n"/>
      <c r="E421" s="8" t="n">
        <v>577216.4</v>
      </c>
      <c r="F421" s="8" t="n">
        <v>0</v>
      </c>
      <c r="G421" s="8" t="n">
        <v>577216.4</v>
      </c>
    </row>
    <row r="422" ht="21" customHeight="1">
      <c r="A422" s="10" t="inlineStr">
        <is>
          <t>F049002</t>
        </is>
      </c>
      <c r="B422" s="10" t="inlineStr">
        <is>
          <t>F049002 Nutzungsrechte sonstige BGA</t>
        </is>
      </c>
      <c r="C422" s="10" t="n"/>
      <c r="D422" s="10" t="n"/>
      <c r="E422" s="8" t="n">
        <v>139153.41</v>
      </c>
      <c r="F422" s="8" t="n">
        <v>0</v>
      </c>
      <c r="G422" s="8" t="n">
        <v>139153.41</v>
      </c>
    </row>
    <row r="423" ht="21" customHeight="1">
      <c r="A423" s="10" t="inlineStr">
        <is>
          <t>F049951</t>
        </is>
      </c>
      <c r="B423" s="10" t="inlineStr">
        <is>
          <t>F049951 Bestände unfertige Erzeugnisse</t>
        </is>
      </c>
      <c r="C423" s="10" t="n"/>
      <c r="D423" s="10" t="n"/>
      <c r="E423" s="8" t="n">
        <v>-3770560.69</v>
      </c>
      <c r="F423" s="8" t="n">
        <v>0</v>
      </c>
      <c r="G423" s="8" t="n">
        <v>-3770560.69</v>
      </c>
    </row>
    <row r="424" ht="21" customHeight="1">
      <c r="A424" s="10" t="inlineStr">
        <is>
          <t>F049956</t>
        </is>
      </c>
      <c r="B424" s="10" t="inlineStr">
        <is>
          <t>F049956 WB Bestände unfertige Erzeugnisse</t>
        </is>
      </c>
      <c r="C424" s="10" t="n"/>
      <c r="D424" s="10" t="n"/>
      <c r="E424" s="8" t="n">
        <v>1612745.46</v>
      </c>
      <c r="F424" s="8" t="n">
        <v>0</v>
      </c>
      <c r="G424" s="8" t="n">
        <v>1612745.46</v>
      </c>
    </row>
    <row r="425" ht="21" customHeight="1">
      <c r="A425" s="10" t="inlineStr">
        <is>
          <t>F085500</t>
        </is>
      </c>
      <c r="B425" s="10" t="inlineStr">
        <is>
          <t>F085500 Andere Gewinnrücklagen</t>
        </is>
      </c>
      <c r="C425" s="10" t="n"/>
      <c r="D425" s="10" t="n"/>
      <c r="E425" s="8" t="n">
        <v>-173000</v>
      </c>
      <c r="F425" s="8" t="n">
        <v>0</v>
      </c>
      <c r="G425" s="8" t="n">
        <v>-173000</v>
      </c>
    </row>
    <row r="426" ht="21" customHeight="1">
      <c r="A426" s="10" t="inlineStr">
        <is>
          <t>F086800</t>
        </is>
      </c>
      <c r="B426" s="10" t="inlineStr">
        <is>
          <t>F086800 Gewinn- oder Verlustvortrag (IFRS)</t>
        </is>
      </c>
      <c r="C426" s="10" t="n"/>
      <c r="D426" s="10" t="n"/>
      <c r="E426" s="8" t="n">
        <v>2699066.61</v>
      </c>
      <c r="F426" s="8" t="n">
        <v>0</v>
      </c>
      <c r="G426" s="8" t="n">
        <v>2699066.61</v>
      </c>
    </row>
    <row r="427" ht="21" customHeight="1">
      <c r="A427" s="10" t="inlineStr">
        <is>
          <t>F095550</t>
        </is>
      </c>
      <c r="B427" s="10" t="inlineStr">
        <is>
          <t>F095550 Rückstellung latente Steuern &gt; 1 Jahr</t>
        </is>
      </c>
      <c r="C427" s="10" t="n"/>
      <c r="D427" s="10" t="n"/>
      <c r="E427" s="8" t="n">
        <v>-509383</v>
      </c>
      <c r="F427" s="8" t="n">
        <v>0</v>
      </c>
      <c r="G427" s="8" t="n">
        <v>-509383</v>
      </c>
    </row>
    <row r="428" ht="21" customHeight="1">
      <c r="A428" s="10" t="inlineStr">
        <is>
          <t>F098100</t>
        </is>
      </c>
      <c r="B428" s="10" t="inlineStr">
        <is>
          <t>F098100 Akt. Latente Steuern</t>
        </is>
      </c>
      <c r="C428" s="10" t="n"/>
      <c r="D428" s="10" t="n"/>
      <c r="E428" s="8" t="n">
        <v>644443</v>
      </c>
      <c r="F428" s="8" t="n">
        <v>0</v>
      </c>
      <c r="G428" s="8" t="n">
        <v>644443</v>
      </c>
    </row>
    <row r="429" ht="21" customHeight="1">
      <c r="A429" s="10" t="inlineStr">
        <is>
          <t>F098110</t>
        </is>
      </c>
      <c r="B429" s="10" t="inlineStr">
        <is>
          <t>F098110 Aktive latente Steuern auf Verlustvorträge</t>
        </is>
      </c>
      <c r="C429" s="10" t="n"/>
      <c r="D429" s="10" t="n"/>
      <c r="E429" s="8" t="n">
        <v>105330</v>
      </c>
      <c r="F429" s="8" t="n">
        <v>0</v>
      </c>
      <c r="G429" s="8" t="n">
        <v>105330</v>
      </c>
    </row>
    <row r="430" ht="21" customHeight="1">
      <c r="A430" s="10" t="inlineStr">
        <is>
          <t>F099610</t>
        </is>
      </c>
      <c r="B430" s="10" t="inlineStr">
        <is>
          <t>F099610 ECL auf Vertragsvermögenswerte</t>
        </is>
      </c>
      <c r="C430" s="10" t="n"/>
      <c r="D430" s="10" t="n"/>
      <c r="E430" s="8" t="n">
        <v>-19038.19</v>
      </c>
      <c r="F430" s="8" t="n">
        <v>0</v>
      </c>
      <c r="G430" s="8" t="n">
        <v>-19038.19</v>
      </c>
    </row>
    <row r="431" ht="21" customHeight="1">
      <c r="A431" s="10" t="inlineStr">
        <is>
          <t>F153905</t>
        </is>
      </c>
      <c r="B431" s="10" t="inlineStr">
        <is>
          <t>F153905 Forderungen aus POC-Aufträgen &lt; 1 Jahr</t>
        </is>
      </c>
      <c r="C431" s="10" t="n"/>
      <c r="D431" s="10" t="n"/>
      <c r="E431" s="8" t="n">
        <v>1797400</v>
      </c>
      <c r="F431" s="8" t="n">
        <v>0</v>
      </c>
      <c r="G431" s="8" t="n">
        <v>1797400</v>
      </c>
    </row>
    <row r="432" ht="21" customHeight="1">
      <c r="A432" s="10" t="inlineStr">
        <is>
          <t>F170202</t>
        </is>
      </c>
      <c r="B432" s="10" t="inlineStr">
        <is>
          <t>F170202 Verbindlichkeiten aus Leasing RLZ &lt; 1 Jahr</t>
        </is>
      </c>
      <c r="C432" s="10" t="n"/>
      <c r="D432" s="10" t="n"/>
      <c r="E432" s="8" t="n">
        <v>-1252734.93</v>
      </c>
      <c r="F432" s="8" t="n">
        <v>0</v>
      </c>
      <c r="G432" s="8" t="n">
        <v>-1252734.93</v>
      </c>
    </row>
    <row r="433" ht="21" customHeight="1">
      <c r="A433" s="10" t="inlineStr">
        <is>
          <t>F170593</t>
        </is>
      </c>
      <c r="B433" s="10" t="inlineStr">
        <is>
          <t>F170593 Verbindlichkeiten aus POC-Aufträgen &lt; 1 Jahr</t>
        </is>
      </c>
      <c r="C433" s="10" t="n"/>
      <c r="D433" s="10" t="n"/>
      <c r="E433" s="8" t="n">
        <v>-84700</v>
      </c>
      <c r="F433" s="8" t="n">
        <v>0</v>
      </c>
      <c r="G433" s="8" t="n">
        <v>-84700</v>
      </c>
    </row>
    <row r="434" ht="21" customHeight="1">
      <c r="A434" s="10" t="inlineStr">
        <is>
          <t>F900026</t>
        </is>
      </c>
      <c r="B434" s="10" t="inlineStr">
        <is>
          <t>F900026 Forderungen L+L ( RLZ &gt; 1Jahr )</t>
        </is>
      </c>
      <c r="C434" s="10" t="n"/>
      <c r="D434" s="10" t="n"/>
      <c r="E434" s="8" t="n">
        <v>360400</v>
      </c>
      <c r="F434" s="8" t="n">
        <v>0</v>
      </c>
      <c r="G434" s="8" t="n">
        <v>360400</v>
      </c>
    </row>
    <row r="435" ht="21" customHeight="1">
      <c r="A435" s="10" t="inlineStr">
        <is>
          <t>F900108</t>
        </is>
      </c>
      <c r="B435" s="10" t="inlineStr">
        <is>
          <t>F900108 Mietkaufverbindlichkeiten (Korrekturkonto)</t>
        </is>
      </c>
      <c r="C435" s="10" t="n"/>
      <c r="D435" s="10" t="n"/>
      <c r="E435" s="8" t="n">
        <v>844597.14</v>
      </c>
      <c r="F435" s="8" t="n">
        <v>0</v>
      </c>
      <c r="G435" s="8" t="n">
        <v>844597.14</v>
      </c>
    </row>
    <row r="436" ht="21" customHeight="1">
      <c r="A436" s="10" t="inlineStr">
        <is>
          <t>F900109</t>
        </is>
      </c>
      <c r="B436" s="10" t="inlineStr">
        <is>
          <t>F900109 Mietkaufverbindlichkeiten  (RLZ 1-5 Jahre)</t>
        </is>
      </c>
      <c r="C436" s="10" t="n"/>
      <c r="D436" s="10" t="n"/>
      <c r="E436" s="8" t="n">
        <v>-668169.13</v>
      </c>
      <c r="F436" s="8" t="n">
        <v>0</v>
      </c>
      <c r="G436" s="8" t="n">
        <v>-668169.13</v>
      </c>
    </row>
    <row r="437" ht="21" customHeight="1">
      <c r="A437" s="10" t="inlineStr">
        <is>
          <t>F900110</t>
        </is>
      </c>
      <c r="B437" s="10" t="inlineStr">
        <is>
          <t>F900110 Mietkaufverbindlichkeiten (RLZ &gt; 5 Jahre)</t>
        </is>
      </c>
      <c r="C437" s="10" t="n"/>
      <c r="D437" s="10" t="n"/>
      <c r="E437" s="8" t="n">
        <v>-176428.01</v>
      </c>
      <c r="F437" s="8" t="n">
        <v>0</v>
      </c>
      <c r="G437" s="8" t="n">
        <v>-176428.01</v>
      </c>
    </row>
    <row r="438" ht="21" customHeight="1">
      <c r="A438" s="10" t="inlineStr">
        <is>
          <t>F999910</t>
        </is>
      </c>
      <c r="B438" s="10" t="inlineStr">
        <is>
          <t>F999910 Übernahmekonto Salden Sachkonten</t>
        </is>
      </c>
      <c r="C438" s="10" t="n"/>
      <c r="D438" s="10" t="n"/>
      <c r="E438" s="8" t="n">
        <v>-2702877.8</v>
      </c>
      <c r="F438" s="8" t="n">
        <v>0</v>
      </c>
      <c r="G438" s="8" t="n">
        <v>-2702877.8</v>
      </c>
    </row>
    <row r="442" ht="24" customHeight="1">
      <c r="A442" s="58" t="inlineStr">
        <is>
          <t>v_forecast_auftrag</t>
        </is>
      </c>
    </row>
    <row r="443" ht="36" customHeight="1">
      <c r="A443" s="3" t="inlineStr">
        <is>
          <t>auftrag</t>
        </is>
      </c>
      <c r="B443" s="3" t="inlineStr">
        <is>
          <t>auftragname</t>
        </is>
      </c>
      <c r="C443" s="3" t="inlineStr">
        <is>
          <t>region</t>
        </is>
      </c>
      <c r="D443" s="3" t="inlineStr">
        <is>
          <t>umsatz_plan</t>
        </is>
      </c>
      <c r="E443" s="3" t="inlineStr">
        <is>
          <t>kosten_plan</t>
        </is>
      </c>
      <c r="F443" s="3" t="inlineStr">
        <is>
          <t>umsatz_ist</t>
        </is>
      </c>
      <c r="G443" s="3" t="inlineStr">
        <is>
          <t>kosten_ist</t>
        </is>
      </c>
      <c r="H443" s="3" t="inlineStr">
        <is>
          <t>umsatz_restplan</t>
        </is>
      </c>
      <c r="I443" s="3" t="inlineStr">
        <is>
          <t>kosten_restplan</t>
        </is>
      </c>
      <c r="J443" s="3" t="inlineStr">
        <is>
          <t>umsatz_erwartet</t>
        </is>
      </c>
      <c r="K443" s="3" t="inlineStr">
        <is>
          <t>kosten_erwartet</t>
        </is>
      </c>
      <c r="L443" s="3" t="inlineStr">
        <is>
          <t>ba_plan</t>
        </is>
      </c>
      <c r="M443" s="3" t="inlineStr">
        <is>
          <t>ba_restplan</t>
        </is>
      </c>
      <c r="N443" s="3" t="inlineStr">
        <is>
          <t>ba_ist</t>
        </is>
      </c>
      <c r="O443" s="3" t="inlineStr">
        <is>
          <t>ba_erwartet</t>
        </is>
      </c>
      <c r="P443" s="3" t="inlineStr">
        <is>
          <t>jahr</t>
        </is>
      </c>
    </row>
    <row r="444" ht="21" customHeight="1">
      <c r="A444" s="10" t="inlineStr">
        <is>
          <t>P4102157208</t>
        </is>
      </c>
      <c r="B444" s="10" t="inlineStr">
        <is>
          <t>Waggonverschrottung</t>
        </is>
      </c>
      <c r="C444" s="10" t="inlineStr">
        <is>
          <t>West</t>
        </is>
      </c>
      <c r="D444" s="8" t="n">
        <v>31733.63</v>
      </c>
      <c r="E444" s="8" t="n">
        <v>-50805.14</v>
      </c>
      <c r="F444" s="8" t="n">
        <v>24855.15</v>
      </c>
      <c r="G444" s="8" t="n">
        <v>-13515.52</v>
      </c>
      <c r="H444" s="8" t="n">
        <v>0</v>
      </c>
      <c r="I444" s="8" t="n">
        <v>0</v>
      </c>
      <c r="J444" s="8" t="n">
        <v>24855.15</v>
      </c>
      <c r="K444" s="8" t="n">
        <v>-13515.52</v>
      </c>
      <c r="L444" s="8" t="n">
        <v>0</v>
      </c>
      <c r="M444" s="8" t="n">
        <v>0</v>
      </c>
      <c r="N444" s="8" t="n">
        <v>-10000</v>
      </c>
      <c r="O444" s="8" t="n">
        <v>-10000</v>
      </c>
      <c r="P444" s="7" t="n">
        <v>2026</v>
      </c>
    </row>
    <row r="445" ht="21" customHeight="1">
      <c r="A445" s="10" t="inlineStr">
        <is>
          <t>P4102157411</t>
        </is>
      </c>
      <c r="B445" s="10" t="inlineStr">
        <is>
          <t>ARGE RB Chemiepark Krefeld</t>
        </is>
      </c>
      <c r="C445" s="10" t="inlineStr">
        <is>
          <t>West</t>
        </is>
      </c>
      <c r="D445" s="8" t="n">
        <v>0</v>
      </c>
      <c r="E445" s="8" t="n">
        <v>0</v>
      </c>
      <c r="F445" s="8" t="n">
        <v>45582.42</v>
      </c>
      <c r="G445" s="8" t="n">
        <v>0</v>
      </c>
      <c r="H445" s="8" t="n">
        <v>0</v>
      </c>
      <c r="I445" s="8" t="n">
        <v>0</v>
      </c>
      <c r="J445" s="8" t="n">
        <v>45582.42</v>
      </c>
      <c r="K445" s="8" t="n">
        <v>0</v>
      </c>
      <c r="L445" s="8" t="n">
        <v>0</v>
      </c>
      <c r="M445" s="8" t="n">
        <v>0</v>
      </c>
      <c r="N445" s="8" t="n">
        <v>0</v>
      </c>
      <c r="O445" s="8" t="n">
        <v>0</v>
      </c>
      <c r="P445" s="7" t="n">
        <v>2026</v>
      </c>
    </row>
    <row r="446" ht="21" customHeight="1">
      <c r="A446" s="10" t="inlineStr">
        <is>
          <t>P4102157414</t>
        </is>
      </c>
      <c r="B446" s="10" t="inlineStr">
        <is>
          <t>Krandemontage</t>
        </is>
      </c>
      <c r="C446" s="10" t="inlineStr">
        <is>
          <t>West</t>
        </is>
      </c>
      <c r="D446" s="8" t="n">
        <v>0</v>
      </c>
      <c r="E446" s="8" t="n">
        <v>0</v>
      </c>
      <c r="F446" s="8" t="n">
        <v>414976.03</v>
      </c>
      <c r="G446" s="8" t="n">
        <v>-100883.26</v>
      </c>
      <c r="H446" s="8" t="n">
        <v>0</v>
      </c>
      <c r="I446" s="8" t="n">
        <v>0</v>
      </c>
      <c r="J446" s="8" t="n">
        <v>414976.03</v>
      </c>
      <c r="K446" s="8" t="n">
        <v>-100883.26</v>
      </c>
      <c r="L446" s="8" t="n">
        <v>0</v>
      </c>
      <c r="M446" s="8" t="n">
        <v>0</v>
      </c>
      <c r="N446" s="8" t="n">
        <v>-279004.22</v>
      </c>
      <c r="O446" s="8" t="n">
        <v>-279004.22</v>
      </c>
      <c r="P446" s="7" t="n">
        <v>2026</v>
      </c>
    </row>
    <row r="447" ht="21" customHeight="1">
      <c r="A447" s="10" t="inlineStr">
        <is>
          <t>P4102157420</t>
        </is>
      </c>
      <c r="B447" s="10" t="inlineStr">
        <is>
          <t>ARGE RB GWA+SGA 4</t>
        </is>
      </c>
      <c r="C447" s="10" t="inlineStr">
        <is>
          <t>West</t>
        </is>
      </c>
      <c r="D447" s="8" t="n">
        <v>0</v>
      </c>
      <c r="E447" s="8" t="n">
        <v>0</v>
      </c>
      <c r="F447" s="8" t="n">
        <v>0</v>
      </c>
      <c r="G447" s="8" t="n">
        <v>-1084.64</v>
      </c>
      <c r="H447" s="8" t="n">
        <v>0</v>
      </c>
      <c r="I447" s="8" t="n">
        <v>0</v>
      </c>
      <c r="J447" s="8" t="n">
        <v>0</v>
      </c>
      <c r="K447" s="8" t="n">
        <v>-1084.64</v>
      </c>
      <c r="L447" s="8" t="n">
        <v>0</v>
      </c>
      <c r="M447" s="8" t="n">
        <v>0</v>
      </c>
      <c r="N447" s="8" t="n">
        <v>0</v>
      </c>
      <c r="O447" s="8" t="n">
        <v>0</v>
      </c>
      <c r="P447" s="7" t="n">
        <v>2026</v>
      </c>
    </row>
    <row r="448" ht="21" customHeight="1">
      <c r="A448" s="10" t="inlineStr">
        <is>
          <t>P4102157429</t>
        </is>
      </c>
      <c r="B448" s="10" t="inlineStr">
        <is>
          <t>Covestro - Rückbau LEV O13</t>
        </is>
      </c>
      <c r="C448" s="10" t="inlineStr">
        <is>
          <t>West</t>
        </is>
      </c>
      <c r="D448" s="8" t="n">
        <v>442000</v>
      </c>
      <c r="E448" s="8" t="n">
        <v>-350000</v>
      </c>
      <c r="F448" s="8" t="n">
        <v>0</v>
      </c>
      <c r="G448" s="8" t="n">
        <v>24.2</v>
      </c>
      <c r="H448" s="8" t="n">
        <v>442000</v>
      </c>
      <c r="I448" s="8" t="n">
        <v>-350000</v>
      </c>
      <c r="J448" s="8" t="n">
        <v>442000</v>
      </c>
      <c r="K448" s="8" t="n">
        <v>-349975.8</v>
      </c>
      <c r="L448" s="8" t="n">
        <v>0</v>
      </c>
      <c r="M448" s="8" t="n">
        <v>0</v>
      </c>
      <c r="N448" s="8" t="n">
        <v>59.31</v>
      </c>
      <c r="O448" s="8" t="n">
        <v>59.31</v>
      </c>
      <c r="P448" s="7" t="n">
        <v>2026</v>
      </c>
    </row>
    <row r="449" ht="21" customHeight="1">
      <c r="A449" s="10" t="inlineStr">
        <is>
          <t>P4102157431</t>
        </is>
      </c>
      <c r="B449" s="10" t="inlineStr">
        <is>
          <t>RB drei Sandfilter</t>
        </is>
      </c>
      <c r="C449" s="10" t="inlineStr">
        <is>
          <t>West</t>
        </is>
      </c>
      <c r="D449" s="8" t="n">
        <v>3800</v>
      </c>
      <c r="E449" s="8" t="n">
        <v>-3413.76</v>
      </c>
      <c r="F449" s="8" t="n">
        <v>19000</v>
      </c>
      <c r="G449" s="8" t="n">
        <v>0</v>
      </c>
      <c r="H449" s="8" t="n">
        <v>0</v>
      </c>
      <c r="I449" s="8" t="n">
        <v>0</v>
      </c>
      <c r="J449" s="8" t="n">
        <v>19000</v>
      </c>
      <c r="K449" s="8" t="n">
        <v>0</v>
      </c>
      <c r="L449" s="8" t="n">
        <v>0</v>
      </c>
      <c r="M449" s="8" t="n">
        <v>0</v>
      </c>
      <c r="N449" s="8" t="n">
        <v>-24683.12</v>
      </c>
      <c r="O449" s="8" t="n">
        <v>-24683.12</v>
      </c>
      <c r="P449" s="7" t="n">
        <v>2026</v>
      </c>
    </row>
    <row r="450" ht="21" customHeight="1">
      <c r="A450" s="10" t="inlineStr">
        <is>
          <t>P4102157436</t>
        </is>
      </c>
      <c r="B450" s="10" t="inlineStr">
        <is>
          <t>Sanierung Kompensatoren</t>
        </is>
      </c>
      <c r="C450" s="10" t="inlineStr">
        <is>
          <t>West</t>
        </is>
      </c>
      <c r="D450" s="8" t="n">
        <v>15236.37</v>
      </c>
      <c r="E450" s="8" t="n">
        <v>-9779.84</v>
      </c>
      <c r="F450" s="8" t="n">
        <v>49999</v>
      </c>
      <c r="G450" s="8" t="n">
        <v>0</v>
      </c>
      <c r="H450" s="8" t="n">
        <v>0</v>
      </c>
      <c r="I450" s="8" t="n">
        <v>0</v>
      </c>
      <c r="J450" s="8" t="n">
        <v>49999</v>
      </c>
      <c r="K450" s="8" t="n">
        <v>0</v>
      </c>
      <c r="L450" s="8" t="n">
        <v>0</v>
      </c>
      <c r="M450" s="8" t="n">
        <v>0</v>
      </c>
      <c r="N450" s="8" t="n">
        <v>-44762.43</v>
      </c>
      <c r="O450" s="8" t="n">
        <v>-44762.43</v>
      </c>
      <c r="P450" s="7" t="n">
        <v>2026</v>
      </c>
    </row>
    <row r="451" ht="21" customHeight="1">
      <c r="A451" s="10" t="inlineStr">
        <is>
          <t>P4102157439</t>
        </is>
      </c>
      <c r="B451" s="10" t="inlineStr">
        <is>
          <t>RB Sperrmüllschereefeld</t>
        </is>
      </c>
      <c r="C451" s="10" t="inlineStr">
        <is>
          <t>West</t>
        </is>
      </c>
      <c r="D451" s="8" t="n">
        <v>0</v>
      </c>
      <c r="E451" s="8" t="n">
        <v>0</v>
      </c>
      <c r="F451" s="8" t="n">
        <v>37284</v>
      </c>
      <c r="G451" s="8" t="n">
        <v>0</v>
      </c>
      <c r="H451" s="8" t="n">
        <v>0</v>
      </c>
      <c r="I451" s="8" t="n">
        <v>0</v>
      </c>
      <c r="J451" s="8" t="n">
        <v>37284</v>
      </c>
      <c r="K451" s="8" t="n">
        <v>0</v>
      </c>
      <c r="L451" s="8" t="n">
        <v>0</v>
      </c>
      <c r="M451" s="8" t="n">
        <v>0</v>
      </c>
      <c r="N451" s="8" t="n">
        <v>0</v>
      </c>
      <c r="O451" s="8" t="n">
        <v>0</v>
      </c>
      <c r="P451" s="7" t="n">
        <v>2026</v>
      </c>
    </row>
    <row r="452" ht="21" customHeight="1">
      <c r="A452" s="10" t="inlineStr">
        <is>
          <t>P4102157440</t>
        </is>
      </c>
      <c r="B452" s="10" t="inlineStr">
        <is>
          <t>tkse RB 2025</t>
        </is>
      </c>
      <c r="C452" s="10" t="inlineStr">
        <is>
          <t>West</t>
        </is>
      </c>
      <c r="D452" s="8" t="n">
        <v>0</v>
      </c>
      <c r="E452" s="8" t="n">
        <v>0</v>
      </c>
      <c r="F452" s="8" t="n">
        <v>0</v>
      </c>
      <c r="G452" s="8" t="n">
        <v>0</v>
      </c>
      <c r="H452" s="8" t="n">
        <v>0</v>
      </c>
      <c r="I452" s="8" t="n">
        <v>0</v>
      </c>
      <c r="J452" s="8" t="n">
        <v>0</v>
      </c>
      <c r="K452" s="8" t="n">
        <v>0</v>
      </c>
      <c r="L452" s="8" t="n">
        <v>0</v>
      </c>
      <c r="M452" s="8" t="n">
        <v>0</v>
      </c>
      <c r="N452" s="8" t="n">
        <v>0</v>
      </c>
      <c r="O452" s="8" t="n">
        <v>0</v>
      </c>
      <c r="P452" s="7" t="n">
        <v>2026</v>
      </c>
    </row>
    <row r="453" ht="21" customHeight="1">
      <c r="A453" s="10" t="inlineStr">
        <is>
          <t>P4102157442</t>
        </is>
      </c>
      <c r="B453" s="10" t="inlineStr">
        <is>
          <t>RB Leitstand Flämmaschine</t>
        </is>
      </c>
      <c r="C453" s="10" t="inlineStr">
        <is>
          <t>West</t>
        </is>
      </c>
      <c r="D453" s="8" t="n">
        <v>35000</v>
      </c>
      <c r="E453" s="8" t="n">
        <v>0</v>
      </c>
      <c r="F453" s="8" t="n">
        <v>48086.9</v>
      </c>
      <c r="G453" s="8" t="n">
        <v>-31274.13</v>
      </c>
      <c r="H453" s="8" t="n">
        <v>0</v>
      </c>
      <c r="I453" s="8" t="n">
        <v>0</v>
      </c>
      <c r="J453" s="8" t="n">
        <v>48086.9</v>
      </c>
      <c r="K453" s="8" t="n">
        <v>-31274.13</v>
      </c>
      <c r="L453" s="8" t="n">
        <v>0</v>
      </c>
      <c r="M453" s="8" t="n">
        <v>0</v>
      </c>
      <c r="N453" s="8" t="n">
        <v>0</v>
      </c>
      <c r="O453" s="8" t="n">
        <v>0</v>
      </c>
      <c r="P453" s="7" t="n">
        <v>2026</v>
      </c>
    </row>
    <row r="454" ht="21" customHeight="1">
      <c r="A454" s="10" t="inlineStr">
        <is>
          <t>P4102157443</t>
        </is>
      </c>
      <c r="B454" s="10" t="inlineStr">
        <is>
          <t>Medice Arzneim. RB 2 Tanks</t>
        </is>
      </c>
      <c r="C454" s="10" t="inlineStr">
        <is>
          <t>West</t>
        </is>
      </c>
      <c r="D454" s="8" t="n">
        <v>0</v>
      </c>
      <c r="E454" s="8" t="n">
        <v>0</v>
      </c>
      <c r="F454" s="8" t="n">
        <v>21000</v>
      </c>
      <c r="G454" s="8" t="n">
        <v>0</v>
      </c>
      <c r="H454" s="8" t="n">
        <v>0</v>
      </c>
      <c r="I454" s="8" t="n">
        <v>0</v>
      </c>
      <c r="J454" s="8" t="n">
        <v>21000</v>
      </c>
      <c r="K454" s="8" t="n">
        <v>0</v>
      </c>
      <c r="L454" s="8" t="n">
        <v>0</v>
      </c>
      <c r="M454" s="8" t="n">
        <v>0</v>
      </c>
      <c r="N454" s="8" t="n">
        <v>-13730.16</v>
      </c>
      <c r="O454" s="8" t="n">
        <v>-13730.16</v>
      </c>
      <c r="P454" s="7" t="n">
        <v>2026</v>
      </c>
    </row>
    <row r="455" ht="21" customHeight="1">
      <c r="A455" s="10" t="inlineStr">
        <is>
          <t>P4102157445</t>
        </is>
      </c>
      <c r="B455" s="10" t="inlineStr">
        <is>
          <t>RB 2 Stahlwände Lüra Halle</t>
        </is>
      </c>
      <c r="C455" s="10" t="inlineStr">
        <is>
          <t>West</t>
        </is>
      </c>
      <c r="D455" s="8" t="n">
        <v>0</v>
      </c>
      <c r="E455" s="8" t="n">
        <v>0</v>
      </c>
      <c r="F455" s="8" t="n">
        <v>0</v>
      </c>
      <c r="G455" s="8" t="n">
        <v>-189.05</v>
      </c>
      <c r="H455" s="8" t="n">
        <v>0</v>
      </c>
      <c r="I455" s="8" t="n">
        <v>0</v>
      </c>
      <c r="J455" s="8" t="n">
        <v>0</v>
      </c>
      <c r="K455" s="8" t="n">
        <v>-189.05</v>
      </c>
      <c r="L455" s="8" t="n">
        <v>0</v>
      </c>
      <c r="M455" s="8" t="n">
        <v>0</v>
      </c>
      <c r="N455" s="8" t="n">
        <v>0</v>
      </c>
      <c r="O455" s="8" t="n">
        <v>0</v>
      </c>
      <c r="P455" s="7" t="n">
        <v>2026</v>
      </c>
    </row>
    <row r="456" ht="21" customHeight="1">
      <c r="A456" s="10" t="inlineStr">
        <is>
          <t>P4102157447</t>
        </is>
      </c>
      <c r="B456" s="10" t="inlineStr">
        <is>
          <t>Hkm Demontage DN 500</t>
        </is>
      </c>
      <c r="C456" s="10" t="inlineStr">
        <is>
          <t>West</t>
        </is>
      </c>
      <c r="D456" s="8" t="n">
        <v>0</v>
      </c>
      <c r="E456" s="8" t="n">
        <v>0</v>
      </c>
      <c r="F456" s="8" t="n">
        <v>0</v>
      </c>
      <c r="G456" s="8" t="n">
        <v>0</v>
      </c>
      <c r="H456" s="8" t="n">
        <v>0</v>
      </c>
      <c r="I456" s="8" t="n">
        <v>0</v>
      </c>
      <c r="J456" s="8" t="n">
        <v>0</v>
      </c>
      <c r="K456" s="8" t="n">
        <v>0</v>
      </c>
      <c r="L456" s="8" t="n">
        <v>0</v>
      </c>
      <c r="M456" s="8" t="n">
        <v>0</v>
      </c>
      <c r="N456" s="8" t="n">
        <v>0</v>
      </c>
      <c r="O456" s="8" t="n">
        <v>0</v>
      </c>
      <c r="P456" s="7" t="n">
        <v>2026</v>
      </c>
    </row>
    <row r="457" ht="21" customHeight="1">
      <c r="A457" s="10" t="inlineStr">
        <is>
          <t>P4102157449</t>
        </is>
      </c>
      <c r="B457" s="10" t="inlineStr">
        <is>
          <t>RB Kessel KW Lausward</t>
        </is>
      </c>
      <c r="C457" s="10" t="inlineStr">
        <is>
          <t>West</t>
        </is>
      </c>
      <c r="D457" s="8" t="n">
        <v>258576.22</v>
      </c>
      <c r="E457" s="8" t="n">
        <v>-231770.49</v>
      </c>
      <c r="F457" s="8" t="n">
        <v>827176.51</v>
      </c>
      <c r="G457" s="8" t="n">
        <v>-137348.38</v>
      </c>
      <c r="H457" s="8" t="n">
        <v>0</v>
      </c>
      <c r="I457" s="8" t="n">
        <v>0</v>
      </c>
      <c r="J457" s="8" t="n">
        <v>827176.51</v>
      </c>
      <c r="K457" s="8" t="n">
        <v>-137348.38</v>
      </c>
      <c r="L457" s="8" t="n">
        <v>0</v>
      </c>
      <c r="M457" s="8" t="n">
        <v>0</v>
      </c>
      <c r="N457" s="8" t="n">
        <v>-578657.23</v>
      </c>
      <c r="O457" s="8" t="n">
        <v>-578657.23</v>
      </c>
      <c r="P457" s="7" t="n">
        <v>2026</v>
      </c>
    </row>
    <row r="458" ht="21" customHeight="1">
      <c r="A458" s="10" t="inlineStr">
        <is>
          <t>P4102157450</t>
        </is>
      </c>
      <c r="B458" s="10" t="inlineStr">
        <is>
          <t>Verschr. Brennkammer BA-301 Oxygen</t>
        </is>
      </c>
      <c r="C458" s="10" t="inlineStr">
        <is>
          <t>West</t>
        </is>
      </c>
      <c r="D458" s="8" t="n">
        <v>0</v>
      </c>
      <c r="E458" s="8" t="n">
        <v>0</v>
      </c>
      <c r="F458" s="8" t="n">
        <v>0</v>
      </c>
      <c r="G458" s="8" t="n">
        <v>-6.1</v>
      </c>
      <c r="H458" s="8" t="n">
        <v>0</v>
      </c>
      <c r="I458" s="8" t="n">
        <v>0</v>
      </c>
      <c r="J458" s="8" t="n">
        <v>0</v>
      </c>
      <c r="K458" s="8" t="n">
        <v>-6.1</v>
      </c>
      <c r="L458" s="8" t="n">
        <v>0</v>
      </c>
      <c r="M458" s="8" t="n">
        <v>0</v>
      </c>
      <c r="N458" s="8" t="n">
        <v>0</v>
      </c>
      <c r="O458" s="8" t="n">
        <v>0</v>
      </c>
      <c r="P458" s="7" t="n">
        <v>2026</v>
      </c>
    </row>
    <row r="459" ht="21" customHeight="1">
      <c r="A459" s="10" t="inlineStr">
        <is>
          <t>P4102157451</t>
        </is>
      </c>
      <c r="B459" s="10" t="inlineStr">
        <is>
          <t>Sanierung Campus Golzheim</t>
        </is>
      </c>
      <c r="C459" s="10" t="inlineStr">
        <is>
          <t>West</t>
        </is>
      </c>
      <c r="D459" s="8" t="n">
        <v>75000</v>
      </c>
      <c r="E459" s="8" t="n">
        <v>-71250</v>
      </c>
      <c r="F459" s="8" t="n">
        <v>40150.9</v>
      </c>
      <c r="G459" s="8" t="n">
        <v>-1893113.68</v>
      </c>
      <c r="H459" s="8" t="n">
        <v>0</v>
      </c>
      <c r="I459" s="8" t="n">
        <v>0</v>
      </c>
      <c r="J459" s="8" t="n">
        <v>40150.9</v>
      </c>
      <c r="K459" s="8" t="n">
        <v>-1893113.68</v>
      </c>
      <c r="L459" s="8" t="n">
        <v>0</v>
      </c>
      <c r="M459" s="8" t="n">
        <v>0</v>
      </c>
      <c r="N459" s="8" t="n">
        <v>2134210.44</v>
      </c>
      <c r="O459" s="8" t="n">
        <v>2134210.44</v>
      </c>
      <c r="P459" s="7" t="n">
        <v>2026</v>
      </c>
    </row>
    <row r="460" ht="21" customHeight="1">
      <c r="A460" s="10" t="inlineStr">
        <is>
          <t>P4102157452</t>
        </is>
      </c>
      <c r="B460" s="10" t="inlineStr">
        <is>
          <t>RB Cont.anlage TKSE Gelände</t>
        </is>
      </c>
      <c r="C460" s="10" t="inlineStr">
        <is>
          <t>West</t>
        </is>
      </c>
      <c r="D460" s="8" t="n">
        <v>0</v>
      </c>
      <c r="E460" s="8" t="n">
        <v>0</v>
      </c>
      <c r="F460" s="8" t="n">
        <v>0</v>
      </c>
      <c r="G460" s="8" t="n">
        <v>0</v>
      </c>
      <c r="H460" s="8" t="n">
        <v>0</v>
      </c>
      <c r="I460" s="8" t="n">
        <v>0</v>
      </c>
      <c r="J460" s="8" t="n">
        <v>0</v>
      </c>
      <c r="K460" s="8" t="n">
        <v>0</v>
      </c>
      <c r="L460" s="8" t="n">
        <v>0</v>
      </c>
      <c r="M460" s="8" t="n">
        <v>0</v>
      </c>
      <c r="N460" s="8" t="n">
        <v>-2847.73</v>
      </c>
      <c r="O460" s="8" t="n">
        <v>-2847.73</v>
      </c>
      <c r="P460" s="7" t="n">
        <v>2026</v>
      </c>
    </row>
    <row r="461" ht="21" customHeight="1">
      <c r="A461" s="10" t="inlineStr">
        <is>
          <t>P4102157453</t>
        </is>
      </c>
      <c r="B461" s="10" t="inlineStr">
        <is>
          <t>Wbw 4 Hallenrückbau</t>
        </is>
      </c>
      <c r="C461" s="10" t="inlineStr">
        <is>
          <t>West</t>
        </is>
      </c>
      <c r="D461" s="8" t="n">
        <v>0</v>
      </c>
      <c r="E461" s="8" t="n">
        <v>0</v>
      </c>
      <c r="F461" s="8" t="n">
        <v>1176663.57</v>
      </c>
      <c r="G461" s="8" t="n">
        <v>-699485.9</v>
      </c>
      <c r="H461" s="8" t="n">
        <v>0</v>
      </c>
      <c r="I461" s="8" t="n">
        <v>0</v>
      </c>
      <c r="J461" s="8" t="n">
        <v>1176663.57</v>
      </c>
      <c r="K461" s="8" t="n">
        <v>-699485.9</v>
      </c>
      <c r="L461" s="8" t="n">
        <v>0</v>
      </c>
      <c r="M461" s="8" t="n">
        <v>0</v>
      </c>
      <c r="N461" s="8" t="n">
        <v>-0.01</v>
      </c>
      <c r="O461" s="8" t="n">
        <v>-0.01</v>
      </c>
      <c r="P461" s="7" t="n">
        <v>2026</v>
      </c>
    </row>
    <row r="462" ht="21" customHeight="1">
      <c r="A462" s="10" t="inlineStr">
        <is>
          <t>P4102157455</t>
        </is>
      </c>
      <c r="B462" s="10" t="inlineStr">
        <is>
          <t>Currenta San.+RB G22 Los 1+2 Anm.fehlt</t>
        </is>
      </c>
      <c r="C462" s="10" t="inlineStr">
        <is>
          <t>West</t>
        </is>
      </c>
      <c r="D462" s="8" t="n">
        <v>5462009.53</v>
      </c>
      <c r="E462" s="8" t="n">
        <v>-6564310.17</v>
      </c>
      <c r="F462" s="8" t="n">
        <v>0</v>
      </c>
      <c r="G462" s="8" t="n">
        <v>-3255042.73</v>
      </c>
      <c r="H462" s="8" t="n">
        <v>2223000</v>
      </c>
      <c r="I462" s="8" t="n">
        <v>-2114000</v>
      </c>
      <c r="J462" s="8" t="n">
        <v>2223000</v>
      </c>
      <c r="K462" s="8" t="n">
        <v>-5369042.73</v>
      </c>
      <c r="L462" s="8" t="n">
        <v>0</v>
      </c>
      <c r="M462" s="8" t="n">
        <v>0</v>
      </c>
      <c r="N462" s="8" t="n">
        <v>3166169.81</v>
      </c>
      <c r="O462" s="8" t="n">
        <v>3166169.81</v>
      </c>
      <c r="P462" s="7" t="n">
        <v>2026</v>
      </c>
    </row>
    <row r="463" ht="21" customHeight="1">
      <c r="A463" s="10" t="inlineStr">
        <is>
          <t>P4102157456</t>
        </is>
      </c>
      <c r="B463" s="10" t="inlineStr">
        <is>
          <t>RB und Entsorgung Fundament Schleifbank</t>
        </is>
      </c>
      <c r="C463" s="10" t="inlineStr">
        <is>
          <t>West</t>
        </is>
      </c>
      <c r="D463" s="8" t="n">
        <v>0</v>
      </c>
      <c r="E463" s="8" t="n">
        <v>0</v>
      </c>
      <c r="F463" s="8" t="n">
        <v>103280</v>
      </c>
      <c r="G463" s="8" t="n">
        <v>-69993.84</v>
      </c>
      <c r="H463" s="8" t="n">
        <v>0</v>
      </c>
      <c r="I463" s="8" t="n">
        <v>0</v>
      </c>
      <c r="J463" s="8" t="n">
        <v>103280</v>
      </c>
      <c r="K463" s="8" t="n">
        <v>-69993.84</v>
      </c>
      <c r="L463" s="8" t="n">
        <v>0</v>
      </c>
      <c r="M463" s="8" t="n">
        <v>0</v>
      </c>
      <c r="N463" s="8" t="n">
        <v>0</v>
      </c>
      <c r="O463" s="8" t="n">
        <v>0</v>
      </c>
      <c r="P463" s="7" t="n">
        <v>2026</v>
      </c>
    </row>
    <row r="464" ht="21" customHeight="1">
      <c r="A464" s="10" t="inlineStr">
        <is>
          <t>P4102157457</t>
        </is>
      </c>
      <c r="B464" s="10" t="inlineStr">
        <is>
          <t>tkse RB 2026</t>
        </is>
      </c>
      <c r="C464" s="10" t="inlineStr">
        <is>
          <t>West</t>
        </is>
      </c>
      <c r="D464" s="8" t="n">
        <v>85000</v>
      </c>
      <c r="E464" s="8" t="n">
        <v>-80000</v>
      </c>
      <c r="F464" s="8" t="n">
        <v>322730.1</v>
      </c>
      <c r="G464" s="8" t="n">
        <v>-146134.19</v>
      </c>
      <c r="H464" s="8" t="n">
        <v>85000</v>
      </c>
      <c r="I464" s="8" t="n">
        <v>-80000</v>
      </c>
      <c r="J464" s="8" t="n">
        <v>407730.1</v>
      </c>
      <c r="K464" s="8" t="n">
        <v>-226134.19</v>
      </c>
      <c r="L464" s="8" t="n">
        <v>0</v>
      </c>
      <c r="M464" s="8" t="n">
        <v>0</v>
      </c>
      <c r="N464" s="8" t="n">
        <v>0</v>
      </c>
      <c r="O464" s="8" t="n">
        <v>0</v>
      </c>
      <c r="P464" s="7" t="n">
        <v>2026</v>
      </c>
    </row>
    <row r="465" ht="21" customHeight="1">
      <c r="A465" s="10" t="inlineStr">
        <is>
          <t>P4102157458</t>
        </is>
      </c>
      <c r="B465" s="10" t="inlineStr">
        <is>
          <t>Kleinaufträge Region West 2026</t>
        </is>
      </c>
      <c r="C465" s="10" t="inlineStr">
        <is>
          <t>West</t>
        </is>
      </c>
      <c r="D465" s="8" t="n">
        <v>0</v>
      </c>
      <c r="E465" s="8" t="n">
        <v>0</v>
      </c>
      <c r="F465" s="8" t="n">
        <v>27473.13</v>
      </c>
      <c r="G465" s="8" t="n">
        <v>-4953.57</v>
      </c>
      <c r="H465" s="8" t="n">
        <v>0</v>
      </c>
      <c r="I465" s="8" t="n">
        <v>0</v>
      </c>
      <c r="J465" s="8" t="n">
        <v>27473.13</v>
      </c>
      <c r="K465" s="8" t="n">
        <v>-4953.57</v>
      </c>
      <c r="L465" s="8" t="n">
        <v>0</v>
      </c>
      <c r="M465" s="8" t="n">
        <v>0</v>
      </c>
      <c r="N465" s="8" t="n">
        <v>0</v>
      </c>
      <c r="O465" s="8" t="n">
        <v>0</v>
      </c>
      <c r="P465" s="7" t="n">
        <v>2026</v>
      </c>
    </row>
    <row r="466" ht="21" customHeight="1">
      <c r="A466" s="10" t="inlineStr">
        <is>
          <t>P4102157459</t>
        </is>
      </c>
      <c r="B466" s="10" t="inlineStr">
        <is>
          <t>RB alte Beizanlage</t>
        </is>
      </c>
      <c r="C466" s="10" t="inlineStr">
        <is>
          <t>West</t>
        </is>
      </c>
      <c r="D466" s="8" t="n">
        <v>0</v>
      </c>
      <c r="E466" s="8" t="n">
        <v>0</v>
      </c>
      <c r="F466" s="8" t="n">
        <v>32538</v>
      </c>
      <c r="G466" s="8" t="n">
        <v>-15918.45</v>
      </c>
      <c r="H466" s="8" t="n">
        <v>0</v>
      </c>
      <c r="I466" s="8" t="n">
        <v>0</v>
      </c>
      <c r="J466" s="8" t="n">
        <v>32538</v>
      </c>
      <c r="K466" s="8" t="n">
        <v>-15918.45</v>
      </c>
      <c r="L466" s="8" t="n">
        <v>0</v>
      </c>
      <c r="M466" s="8" t="n">
        <v>0</v>
      </c>
      <c r="N466" s="8" t="n">
        <v>0</v>
      </c>
      <c r="O466" s="8" t="n">
        <v>0</v>
      </c>
      <c r="P466" s="7" t="n">
        <v>2026</v>
      </c>
    </row>
    <row r="467" ht="21" customHeight="1">
      <c r="A467" s="10" t="inlineStr">
        <is>
          <t>P4102157461</t>
        </is>
      </c>
      <c r="B467" s="10" t="inlineStr">
        <is>
          <t>Brücke D 1 Seitenteile</t>
        </is>
      </c>
      <c r="C467" s="10" t="inlineStr">
        <is>
          <t>West</t>
        </is>
      </c>
      <c r="D467" s="8" t="n">
        <v>0</v>
      </c>
      <c r="E467" s="8" t="n">
        <v>0</v>
      </c>
      <c r="F467" s="8" t="n">
        <v>37000</v>
      </c>
      <c r="G467" s="8" t="n">
        <v>-22614.95</v>
      </c>
      <c r="H467" s="8" t="n">
        <v>0</v>
      </c>
      <c r="I467" s="8" t="n">
        <v>0</v>
      </c>
      <c r="J467" s="8" t="n">
        <v>37000</v>
      </c>
      <c r="K467" s="8" t="n">
        <v>-22614.95</v>
      </c>
      <c r="L467" s="8" t="n">
        <v>0</v>
      </c>
      <c r="M467" s="8" t="n">
        <v>0</v>
      </c>
      <c r="N467" s="8" t="n">
        <v>0</v>
      </c>
      <c r="O467" s="8" t="n">
        <v>0</v>
      </c>
      <c r="P467" s="7" t="n">
        <v>2026</v>
      </c>
    </row>
    <row r="468" ht="21" customHeight="1">
      <c r="A468" s="10" t="inlineStr">
        <is>
          <t>P4102157462</t>
        </is>
      </c>
      <c r="B468" s="10" t="inlineStr">
        <is>
          <t>Waggonverschrottung 2026</t>
        </is>
      </c>
      <c r="C468" s="10" t="inlineStr">
        <is>
          <t>West</t>
        </is>
      </c>
      <c r="D468" s="8" t="n">
        <v>0</v>
      </c>
      <c r="E468" s="8" t="n">
        <v>0</v>
      </c>
      <c r="F468" s="8" t="n">
        <v>27918.14</v>
      </c>
      <c r="G468" s="8" t="n">
        <v>-30897.53</v>
      </c>
      <c r="H468" s="8" t="n">
        <v>0</v>
      </c>
      <c r="I468" s="8" t="n">
        <v>0</v>
      </c>
      <c r="J468" s="8" t="n">
        <v>27918.14</v>
      </c>
      <c r="K468" s="8" t="n">
        <v>-30897.53</v>
      </c>
      <c r="L468" s="8" t="n">
        <v>0</v>
      </c>
      <c r="M468" s="8" t="n">
        <v>0</v>
      </c>
      <c r="N468" s="8" t="n">
        <v>0</v>
      </c>
      <c r="O468" s="8" t="n">
        <v>0</v>
      </c>
      <c r="P468" s="7" t="n">
        <v>2026</v>
      </c>
    </row>
    <row r="469" ht="21" customHeight="1">
      <c r="A469" s="10" t="inlineStr">
        <is>
          <t>P4102157463</t>
        </is>
      </c>
      <c r="B469" s="10" t="inlineStr">
        <is>
          <t>RB Maschinenhaus Bl. B+C</t>
        </is>
      </c>
      <c r="C469" s="10" t="inlineStr">
        <is>
          <t>West</t>
        </is>
      </c>
      <c r="D469" s="8" t="n">
        <v>1046994</v>
      </c>
      <c r="E469" s="8" t="n">
        <v>-807500</v>
      </c>
      <c r="F469" s="8" t="n">
        <v>546993.5699999999</v>
      </c>
      <c r="G469" s="8" t="n">
        <v>-876166.21</v>
      </c>
      <c r="H469" s="8" t="n">
        <v>546994</v>
      </c>
      <c r="I469" s="8" t="n">
        <v>-350000</v>
      </c>
      <c r="J469" s="8" t="n">
        <v>1093987.57</v>
      </c>
      <c r="K469" s="8" t="n">
        <v>-1226166.21</v>
      </c>
      <c r="L469" s="8" t="n">
        <v>0</v>
      </c>
      <c r="M469" s="8" t="n">
        <v>0</v>
      </c>
      <c r="N469" s="8" t="n">
        <v>327267.27</v>
      </c>
      <c r="O469" s="8" t="n">
        <v>327267.27</v>
      </c>
      <c r="P469" s="7" t="n">
        <v>2026</v>
      </c>
    </row>
    <row r="470" ht="21" customHeight="1">
      <c r="A470" s="10" t="inlineStr">
        <is>
          <t>P4102157464</t>
        </is>
      </c>
      <c r="B470" s="10" t="inlineStr">
        <is>
          <t>Asbest Schadstoffsanierung C 601</t>
        </is>
      </c>
      <c r="C470" s="10" t="inlineStr">
        <is>
          <t>West</t>
        </is>
      </c>
      <c r="D470" s="8" t="n">
        <v>0</v>
      </c>
      <c r="E470" s="8" t="n">
        <v>0</v>
      </c>
      <c r="F470" s="8" t="n">
        <v>23745</v>
      </c>
      <c r="G470" s="8" t="n">
        <v>-15967</v>
      </c>
      <c r="H470" s="8" t="n">
        <v>0</v>
      </c>
      <c r="I470" s="8" t="n">
        <v>0</v>
      </c>
      <c r="J470" s="8" t="n">
        <v>23745</v>
      </c>
      <c r="K470" s="8" t="n">
        <v>-15967</v>
      </c>
      <c r="L470" s="8" t="n">
        <v>0</v>
      </c>
      <c r="M470" s="8" t="n">
        <v>0</v>
      </c>
      <c r="N470" s="8" t="n">
        <v>0</v>
      </c>
      <c r="O470" s="8" t="n">
        <v>0</v>
      </c>
      <c r="P470" s="7" t="n">
        <v>2026</v>
      </c>
    </row>
    <row r="471" ht="21" customHeight="1">
      <c r="A471" s="10" t="inlineStr">
        <is>
          <t>P4102157465</t>
        </is>
      </c>
      <c r="B471" s="10" t="inlineStr">
        <is>
          <t>Reinigungsarbeiten Block B</t>
        </is>
      </c>
      <c r="C471" s="10" t="inlineStr">
        <is>
          <t>West</t>
        </is>
      </c>
      <c r="D471" s="8" t="n">
        <v>0</v>
      </c>
      <c r="E471" s="8" t="n">
        <v>0</v>
      </c>
      <c r="F471" s="8" t="n">
        <v>16000</v>
      </c>
      <c r="G471" s="8" t="n">
        <v>-8117.03</v>
      </c>
      <c r="H471" s="8" t="n">
        <v>0</v>
      </c>
      <c r="I471" s="8" t="n">
        <v>0</v>
      </c>
      <c r="J471" s="8" t="n">
        <v>16000</v>
      </c>
      <c r="K471" s="8" t="n">
        <v>-8117.03</v>
      </c>
      <c r="L471" s="8" t="n">
        <v>0</v>
      </c>
      <c r="M471" s="8" t="n">
        <v>0</v>
      </c>
      <c r="N471" s="8" t="n">
        <v>0</v>
      </c>
      <c r="O471" s="8" t="n">
        <v>0</v>
      </c>
      <c r="P471" s="7" t="n">
        <v>2026</v>
      </c>
    </row>
    <row r="472" ht="21" customHeight="1">
      <c r="A472" s="10" t="inlineStr">
        <is>
          <t>P4102157466</t>
        </is>
      </c>
      <c r="B472" s="10" t="inlineStr">
        <is>
          <t>Verschrottung Anlagenteile</t>
        </is>
      </c>
      <c r="C472" s="10" t="inlineStr">
        <is>
          <t>West</t>
        </is>
      </c>
      <c r="D472" s="8" t="n">
        <v>0</v>
      </c>
      <c r="E472" s="8" t="n">
        <v>0</v>
      </c>
      <c r="F472" s="8" t="n">
        <v>15250</v>
      </c>
      <c r="G472" s="8" t="n">
        <v>-8192.09</v>
      </c>
      <c r="H472" s="8" t="n">
        <v>0</v>
      </c>
      <c r="I472" s="8" t="n">
        <v>0</v>
      </c>
      <c r="J472" s="8" t="n">
        <v>15250</v>
      </c>
      <c r="K472" s="8" t="n">
        <v>-8192.09</v>
      </c>
      <c r="L472" s="8" t="n">
        <v>0</v>
      </c>
      <c r="M472" s="8" t="n">
        <v>0</v>
      </c>
      <c r="N472" s="8" t="n">
        <v>0</v>
      </c>
      <c r="O472" s="8" t="n">
        <v>0</v>
      </c>
      <c r="P472" s="7" t="n">
        <v>2026</v>
      </c>
    </row>
    <row r="473" ht="21" customHeight="1">
      <c r="A473" s="10" t="inlineStr">
        <is>
          <t>P4102157467</t>
        </is>
      </c>
      <c r="B473" s="10" t="inlineStr">
        <is>
          <t>Plakoma - Dem. Roheisenfähren</t>
        </is>
      </c>
      <c r="C473" s="10" t="inlineStr">
        <is>
          <t>West</t>
        </is>
      </c>
      <c r="D473" s="8" t="n">
        <v>230000</v>
      </c>
      <c r="E473" s="8" t="n">
        <v>-184000</v>
      </c>
      <c r="F473" s="8" t="n">
        <v>220000</v>
      </c>
      <c r="G473" s="8" t="n">
        <v>-40000</v>
      </c>
      <c r="H473" s="8" t="n">
        <v>230000</v>
      </c>
      <c r="I473" s="8" t="n">
        <v>-184000</v>
      </c>
      <c r="J473" s="8" t="n">
        <v>450000</v>
      </c>
      <c r="K473" s="8" t="n">
        <v>-224000</v>
      </c>
      <c r="L473" s="8" t="n">
        <v>0</v>
      </c>
      <c r="M473" s="8" t="n">
        <v>0</v>
      </c>
      <c r="N473" s="8" t="n">
        <v>0</v>
      </c>
      <c r="O473" s="8" t="n">
        <v>0</v>
      </c>
      <c r="P473" s="7" t="n">
        <v>2026</v>
      </c>
    </row>
    <row r="474" ht="21" customHeight="1">
      <c r="A474" s="10" t="inlineStr">
        <is>
          <t>P4102157468</t>
        </is>
      </c>
      <c r="B474" s="10" t="inlineStr">
        <is>
          <t>Verschr. Kondensattank Kokerei Schwelger</t>
        </is>
      </c>
      <c r="C474" s="10" t="inlineStr">
        <is>
          <t>West</t>
        </is>
      </c>
      <c r="D474" s="8" t="n">
        <v>0</v>
      </c>
      <c r="E474" s="8" t="n">
        <v>0</v>
      </c>
      <c r="F474" s="8" t="n">
        <v>0</v>
      </c>
      <c r="G474" s="8" t="n">
        <v>-31262.12</v>
      </c>
      <c r="H474" s="8" t="n">
        <v>0</v>
      </c>
      <c r="I474" s="8" t="n">
        <v>0</v>
      </c>
      <c r="J474" s="8" t="n">
        <v>0</v>
      </c>
      <c r="K474" s="8" t="n">
        <v>-31262.12</v>
      </c>
      <c r="L474" s="8" t="n">
        <v>0</v>
      </c>
      <c r="M474" s="8" t="n">
        <v>0</v>
      </c>
      <c r="N474" s="8" t="n">
        <v>0</v>
      </c>
      <c r="O474" s="8" t="n">
        <v>0</v>
      </c>
      <c r="P474" s="7" t="n">
        <v>2026</v>
      </c>
    </row>
    <row r="475" ht="21" customHeight="1">
      <c r="A475" s="10" t="inlineStr">
        <is>
          <t>P4102157469</t>
        </is>
      </c>
      <c r="B475" s="10" t="inlineStr">
        <is>
          <t>Anmeldung fehlt</t>
        </is>
      </c>
      <c r="C475" s="10" t="inlineStr">
        <is>
          <t>West</t>
        </is>
      </c>
      <c r="D475" s="8" t="n">
        <v>18500</v>
      </c>
      <c r="E475" s="8" t="n">
        <v>-17575</v>
      </c>
      <c r="F475" s="8" t="n">
        <v>0</v>
      </c>
      <c r="G475" s="8" t="n">
        <v>-3228.29</v>
      </c>
      <c r="H475" s="8" t="n">
        <v>0</v>
      </c>
      <c r="I475" s="8" t="n">
        <v>0</v>
      </c>
      <c r="J475" s="8" t="n">
        <v>0</v>
      </c>
      <c r="K475" s="8" t="n">
        <v>-3228.29</v>
      </c>
      <c r="L475" s="8" t="n">
        <v>0</v>
      </c>
      <c r="M475" s="8" t="n">
        <v>0</v>
      </c>
      <c r="N475" s="8" t="n">
        <v>0</v>
      </c>
      <c r="O475" s="8" t="n">
        <v>0</v>
      </c>
      <c r="P475" s="7" t="n">
        <v>2026</v>
      </c>
    </row>
    <row r="476" ht="21" customHeight="1">
      <c r="A476" s="10" t="inlineStr">
        <is>
          <t>P4102307304</t>
        </is>
      </c>
      <c r="B476" s="10" t="inlineStr">
        <is>
          <t>HKW Süd</t>
        </is>
      </c>
      <c r="C476" s="10" t="inlineStr">
        <is>
          <t>Süd-West</t>
        </is>
      </c>
      <c r="D476" s="8" t="n">
        <v>0</v>
      </c>
      <c r="E476" s="8" t="n">
        <v>0</v>
      </c>
      <c r="F476" s="8" t="n">
        <v>0</v>
      </c>
      <c r="G476" s="8" t="n">
        <v>-1337.87</v>
      </c>
      <c r="H476" s="8" t="n">
        <v>0</v>
      </c>
      <c r="I476" s="8" t="n">
        <v>0</v>
      </c>
      <c r="J476" s="8" t="n">
        <v>0</v>
      </c>
      <c r="K476" s="8" t="n">
        <v>-1337.87</v>
      </c>
      <c r="L476" s="8" t="n">
        <v>0</v>
      </c>
      <c r="M476" s="8" t="n">
        <v>0</v>
      </c>
      <c r="N476" s="8" t="n">
        <v>124.87</v>
      </c>
      <c r="O476" s="8" t="n">
        <v>124.87</v>
      </c>
      <c r="P476" s="7" t="n">
        <v>2026</v>
      </c>
    </row>
    <row r="477" ht="21" customHeight="1">
      <c r="A477" s="10" t="inlineStr">
        <is>
          <t>P4102307306</t>
        </is>
      </c>
      <c r="B477" s="10" t="inlineStr">
        <is>
          <t>RB Halle Karlsruhe</t>
        </is>
      </c>
      <c r="C477" s="10" t="inlineStr">
        <is>
          <t>Süd-West</t>
        </is>
      </c>
      <c r="D477" s="8" t="n">
        <v>0</v>
      </c>
      <c r="E477" s="8" t="n">
        <v>0</v>
      </c>
      <c r="F477" s="8" t="n">
        <v>0</v>
      </c>
      <c r="G477" s="8" t="n">
        <v>0</v>
      </c>
      <c r="H477" s="8" t="n">
        <v>0</v>
      </c>
      <c r="I477" s="8" t="n">
        <v>0</v>
      </c>
      <c r="J477" s="8" t="n">
        <v>0</v>
      </c>
      <c r="K477" s="8" t="n">
        <v>0</v>
      </c>
      <c r="L477" s="8" t="n">
        <v>0</v>
      </c>
      <c r="M477" s="8" t="n">
        <v>0</v>
      </c>
      <c r="N477" s="8" t="n">
        <v>-7000</v>
      </c>
      <c r="O477" s="8" t="n">
        <v>-7000</v>
      </c>
      <c r="P477" s="7" t="n">
        <v>2026</v>
      </c>
    </row>
    <row r="478" ht="21" customHeight="1">
      <c r="A478" s="10" t="inlineStr">
        <is>
          <t>P4102307366</t>
        </is>
      </c>
      <c r="B478" s="10" t="inlineStr">
        <is>
          <t>EnBW UW Niederbühl</t>
        </is>
      </c>
      <c r="C478" s="10" t="inlineStr">
        <is>
          <t>Süd-West</t>
        </is>
      </c>
      <c r="D478" s="8" t="n">
        <v>66000</v>
      </c>
      <c r="E478" s="8" t="n">
        <v>0</v>
      </c>
      <c r="F478" s="8" t="n">
        <v>0</v>
      </c>
      <c r="G478" s="8" t="n">
        <v>0</v>
      </c>
      <c r="H478" s="8" t="n">
        <v>66000</v>
      </c>
      <c r="I478" s="8" t="n">
        <v>0</v>
      </c>
      <c r="J478" s="8" t="n">
        <v>66000</v>
      </c>
      <c r="K478" s="8" t="n">
        <v>0</v>
      </c>
      <c r="L478" s="8" t="n">
        <v>0</v>
      </c>
      <c r="M478" s="8" t="n">
        <v>0</v>
      </c>
      <c r="N478" s="8" t="n">
        <v>0</v>
      </c>
      <c r="O478" s="8" t="n">
        <v>0</v>
      </c>
      <c r="P478" s="7" t="n">
        <v>2026</v>
      </c>
    </row>
    <row r="479" ht="21" customHeight="1">
      <c r="A479" s="10" t="inlineStr">
        <is>
          <t>P4102307411</t>
        </is>
      </c>
      <c r="B479" s="10" t="inlineStr">
        <is>
          <t>BASF G 521</t>
        </is>
      </c>
      <c r="C479" s="10" t="inlineStr">
        <is>
          <t>Süd-West</t>
        </is>
      </c>
      <c r="D479" s="8" t="n">
        <v>0</v>
      </c>
      <c r="E479" s="8" t="n">
        <v>0</v>
      </c>
      <c r="F479" s="8" t="n">
        <v>0</v>
      </c>
      <c r="G479" s="8" t="n">
        <v>0</v>
      </c>
      <c r="H479" s="8" t="n">
        <v>0</v>
      </c>
      <c r="I479" s="8" t="n">
        <v>0</v>
      </c>
      <c r="J479" s="8" t="n">
        <v>0</v>
      </c>
      <c r="K479" s="8" t="n">
        <v>0</v>
      </c>
      <c r="L479" s="8" t="n">
        <v>0</v>
      </c>
      <c r="M479" s="8" t="n">
        <v>0</v>
      </c>
      <c r="N479" s="8" t="n">
        <v>0</v>
      </c>
      <c r="O479" s="8" t="n">
        <v>0</v>
      </c>
      <c r="P479" s="7" t="n">
        <v>2026</v>
      </c>
    </row>
    <row r="480" ht="21" customHeight="1">
      <c r="A480" s="10" t="inlineStr">
        <is>
          <t>P4102307416</t>
        </is>
      </c>
      <c r="B480" s="10" t="inlineStr">
        <is>
          <t>BASF O 405 Ammoniak</t>
        </is>
      </c>
      <c r="C480" s="10" t="inlineStr">
        <is>
          <t>Süd-West</t>
        </is>
      </c>
      <c r="D480" s="8" t="n">
        <v>0</v>
      </c>
      <c r="E480" s="8" t="n">
        <v>0</v>
      </c>
      <c r="F480" s="8" t="n">
        <v>0</v>
      </c>
      <c r="G480" s="8" t="n">
        <v>0</v>
      </c>
      <c r="H480" s="8" t="n">
        <v>0</v>
      </c>
      <c r="I480" s="8" t="n">
        <v>0</v>
      </c>
      <c r="J480" s="8" t="n">
        <v>0</v>
      </c>
      <c r="K480" s="8" t="n">
        <v>0</v>
      </c>
      <c r="L480" s="8" t="n">
        <v>0</v>
      </c>
      <c r="M480" s="8" t="n">
        <v>0</v>
      </c>
      <c r="N480" s="8" t="n">
        <v>-25780.46</v>
      </c>
      <c r="O480" s="8" t="n">
        <v>-25780.46</v>
      </c>
      <c r="P480" s="7" t="n">
        <v>2026</v>
      </c>
    </row>
    <row r="481" ht="21" customHeight="1">
      <c r="A481" s="10" t="inlineStr">
        <is>
          <t>P4102307422</t>
        </is>
      </c>
      <c r="B481" s="10" t="inlineStr">
        <is>
          <t>BASF M 950</t>
        </is>
      </c>
      <c r="C481" s="10" t="inlineStr">
        <is>
          <t>Süd-West</t>
        </is>
      </c>
      <c r="D481" s="8" t="n">
        <v>0</v>
      </c>
      <c r="E481" s="8" t="n">
        <v>0</v>
      </c>
      <c r="F481" s="8" t="n">
        <v>1613.33</v>
      </c>
      <c r="G481" s="8" t="n">
        <v>-17995.46</v>
      </c>
      <c r="H481" s="8" t="n">
        <v>0</v>
      </c>
      <c r="I481" s="8" t="n">
        <v>0</v>
      </c>
      <c r="J481" s="8" t="n">
        <v>1613.33</v>
      </c>
      <c r="K481" s="8" t="n">
        <v>-17995.46</v>
      </c>
      <c r="L481" s="8" t="n">
        <v>0</v>
      </c>
      <c r="M481" s="8" t="n">
        <v>0</v>
      </c>
      <c r="N481" s="8" t="n">
        <v>-10353.48</v>
      </c>
      <c r="O481" s="8" t="n">
        <v>-10353.48</v>
      </c>
      <c r="P481" s="7" t="n">
        <v>2026</v>
      </c>
    </row>
    <row r="482" ht="21" customHeight="1">
      <c r="A482" s="10" t="inlineStr">
        <is>
          <t>P4102307423</t>
        </is>
      </c>
      <c r="B482" s="10" t="inlineStr">
        <is>
          <t>BASF F 712</t>
        </is>
      </c>
      <c r="C482" s="10" t="inlineStr">
        <is>
          <t>Süd-West</t>
        </is>
      </c>
      <c r="D482" s="8" t="n">
        <v>0</v>
      </c>
      <c r="E482" s="8" t="n">
        <v>0</v>
      </c>
      <c r="F482" s="8" t="n">
        <v>29755.02</v>
      </c>
      <c r="G482" s="8" t="n">
        <v>-31000</v>
      </c>
      <c r="H482" s="8" t="n">
        <v>0</v>
      </c>
      <c r="I482" s="8" t="n">
        <v>0</v>
      </c>
      <c r="J482" s="8" t="n">
        <v>29755.02</v>
      </c>
      <c r="K482" s="8" t="n">
        <v>-31000</v>
      </c>
      <c r="L482" s="8" t="n">
        <v>0</v>
      </c>
      <c r="M482" s="8" t="n">
        <v>0</v>
      </c>
      <c r="N482" s="8" t="n">
        <v>0</v>
      </c>
      <c r="O482" s="8" t="n">
        <v>0</v>
      </c>
      <c r="P482" s="7" t="n">
        <v>2026</v>
      </c>
    </row>
    <row r="483" ht="21" customHeight="1">
      <c r="A483" s="10" t="inlineStr">
        <is>
          <t>P4102307424</t>
        </is>
      </c>
      <c r="B483" s="10" t="inlineStr">
        <is>
          <t>BASF P 703</t>
        </is>
      </c>
      <c r="C483" s="10" t="inlineStr">
        <is>
          <t>Süd-West</t>
        </is>
      </c>
      <c r="D483" s="8" t="n">
        <v>0</v>
      </c>
      <c r="E483" s="8" t="n">
        <v>0</v>
      </c>
      <c r="F483" s="8" t="n">
        <v>0</v>
      </c>
      <c r="G483" s="8" t="n">
        <v>-166.84</v>
      </c>
      <c r="H483" s="8" t="n">
        <v>0</v>
      </c>
      <c r="I483" s="8" t="n">
        <v>0</v>
      </c>
      <c r="J483" s="8" t="n">
        <v>0</v>
      </c>
      <c r="K483" s="8" t="n">
        <v>-166.84</v>
      </c>
      <c r="L483" s="8" t="n">
        <v>0</v>
      </c>
      <c r="M483" s="8" t="n">
        <v>0</v>
      </c>
      <c r="N483" s="8" t="n">
        <v>0</v>
      </c>
      <c r="O483" s="8" t="n">
        <v>0</v>
      </c>
      <c r="P483" s="7" t="n">
        <v>2026</v>
      </c>
    </row>
    <row r="484" ht="21" customHeight="1">
      <c r="A484" s="10" t="inlineStr">
        <is>
          <t>P4102307426</t>
        </is>
      </c>
      <c r="B484" s="10" t="inlineStr">
        <is>
          <t>BASF Z 300</t>
        </is>
      </c>
      <c r="C484" s="10" t="inlineStr">
        <is>
          <t>Süd-West</t>
        </is>
      </c>
      <c r="D484" s="8" t="n">
        <v>10000</v>
      </c>
      <c r="E484" s="8" t="n">
        <v>0</v>
      </c>
      <c r="F484" s="8" t="n">
        <v>40236.26</v>
      </c>
      <c r="G484" s="8" t="n">
        <v>-31447.44</v>
      </c>
      <c r="H484" s="8" t="n">
        <v>10000</v>
      </c>
      <c r="I484" s="8" t="n">
        <v>0</v>
      </c>
      <c r="J484" s="8" t="n">
        <v>50236.26</v>
      </c>
      <c r="K484" s="8" t="n">
        <v>-31447.44</v>
      </c>
      <c r="L484" s="8" t="n">
        <v>0</v>
      </c>
      <c r="M484" s="8" t="n">
        <v>0</v>
      </c>
      <c r="N484" s="8" t="n">
        <v>0</v>
      </c>
      <c r="O484" s="8" t="n">
        <v>0</v>
      </c>
      <c r="P484" s="7" t="n">
        <v>2026</v>
      </c>
    </row>
    <row r="485" ht="21" customHeight="1">
      <c r="A485" s="10" t="inlineStr">
        <is>
          <t>P4102307427</t>
        </is>
      </c>
      <c r="B485" s="10" t="inlineStr">
        <is>
          <t>BASF N 720</t>
        </is>
      </c>
      <c r="C485" s="10" t="inlineStr">
        <is>
          <t>Süd-West</t>
        </is>
      </c>
      <c r="D485" s="8" t="n">
        <v>200000</v>
      </c>
      <c r="E485" s="8" t="n">
        <v>-95000</v>
      </c>
      <c r="F485" s="8" t="n">
        <v>40570.44</v>
      </c>
      <c r="G485" s="8" t="n">
        <v>-63381.2</v>
      </c>
      <c r="H485" s="8" t="n">
        <v>100000</v>
      </c>
      <c r="I485" s="8" t="n">
        <v>-95000</v>
      </c>
      <c r="J485" s="8" t="n">
        <v>140570.44</v>
      </c>
      <c r="K485" s="8" t="n">
        <v>-158381.2</v>
      </c>
      <c r="L485" s="8" t="n">
        <v>0</v>
      </c>
      <c r="M485" s="8" t="n">
        <v>0</v>
      </c>
      <c r="N485" s="8" t="n">
        <v>0</v>
      </c>
      <c r="O485" s="8" t="n">
        <v>0</v>
      </c>
      <c r="P485" s="7" t="n">
        <v>2026</v>
      </c>
    </row>
    <row r="486" ht="21" customHeight="1">
      <c r="A486" s="10" t="inlineStr">
        <is>
          <t>P4102307428</t>
        </is>
      </c>
      <c r="B486" s="10" t="inlineStr">
        <is>
          <t>BASF O 405</t>
        </is>
      </c>
      <c r="C486" s="10" t="inlineStr">
        <is>
          <t>Süd-West</t>
        </is>
      </c>
      <c r="D486" s="8" t="n">
        <v>79000</v>
      </c>
      <c r="E486" s="8" t="n">
        <v>-58800</v>
      </c>
      <c r="F486" s="8" t="n">
        <v>149536.25</v>
      </c>
      <c r="G486" s="8" t="n">
        <v>-7367.86</v>
      </c>
      <c r="H486" s="8" t="n">
        <v>49000</v>
      </c>
      <c r="I486" s="8" t="n">
        <v>-29400</v>
      </c>
      <c r="J486" s="8" t="n">
        <v>198536.25</v>
      </c>
      <c r="K486" s="8" t="n">
        <v>-36767.86</v>
      </c>
      <c r="L486" s="8" t="n">
        <v>0</v>
      </c>
      <c r="M486" s="8" t="n">
        <v>0</v>
      </c>
      <c r="N486" s="8" t="n">
        <v>0</v>
      </c>
      <c r="O486" s="8" t="n">
        <v>0</v>
      </c>
      <c r="P486" s="7" t="n">
        <v>2026</v>
      </c>
    </row>
    <row r="487" ht="21" customHeight="1">
      <c r="A487" s="10" t="inlineStr">
        <is>
          <t>P4102307429</t>
        </is>
      </c>
      <c r="B487" s="10" t="inlineStr">
        <is>
          <t>BASF C 509</t>
        </is>
      </c>
      <c r="C487" s="10" t="inlineStr">
        <is>
          <t>Süd-West</t>
        </is>
      </c>
      <c r="D487" s="8" t="n">
        <v>14000</v>
      </c>
      <c r="E487" s="8" t="n">
        <v>0</v>
      </c>
      <c r="F487" s="8" t="n">
        <v>47313.87</v>
      </c>
      <c r="G487" s="8" t="n">
        <v>-11295.81</v>
      </c>
      <c r="H487" s="8" t="n">
        <v>0</v>
      </c>
      <c r="I487" s="8" t="n">
        <v>0</v>
      </c>
      <c r="J487" s="8" t="n">
        <v>47313.87</v>
      </c>
      <c r="K487" s="8" t="n">
        <v>-11295.81</v>
      </c>
      <c r="L487" s="8" t="n">
        <v>0</v>
      </c>
      <c r="M487" s="8" t="n">
        <v>0</v>
      </c>
      <c r="N487" s="8" t="n">
        <v>0</v>
      </c>
      <c r="O487" s="8" t="n">
        <v>0</v>
      </c>
      <c r="P487" s="7" t="n">
        <v>2026</v>
      </c>
    </row>
    <row r="488" ht="21" customHeight="1">
      <c r="A488" s="10" t="inlineStr">
        <is>
          <t>P4102307430</t>
        </is>
      </c>
      <c r="B488" s="10" t="inlineStr">
        <is>
          <t>BASF E 701</t>
        </is>
      </c>
      <c r="C488" s="10" t="inlineStr">
        <is>
          <t>Süd-West</t>
        </is>
      </c>
      <c r="D488" s="8" t="n">
        <v>10000</v>
      </c>
      <c r="E488" s="8" t="n">
        <v>0</v>
      </c>
      <c r="F488" s="8" t="n">
        <v>42425.11</v>
      </c>
      <c r="G488" s="8" t="n">
        <v>-19891.85</v>
      </c>
      <c r="H488" s="8" t="n">
        <v>0</v>
      </c>
      <c r="I488" s="8" t="n">
        <v>0</v>
      </c>
      <c r="J488" s="8" t="n">
        <v>42425.11</v>
      </c>
      <c r="K488" s="8" t="n">
        <v>-19891.85</v>
      </c>
      <c r="L488" s="8" t="n">
        <v>0</v>
      </c>
      <c r="M488" s="8" t="n">
        <v>0</v>
      </c>
      <c r="N488" s="8" t="n">
        <v>0</v>
      </c>
      <c r="O488" s="8" t="n">
        <v>0</v>
      </c>
      <c r="P488" s="7" t="n">
        <v>2026</v>
      </c>
    </row>
    <row r="489" ht="21" customHeight="1">
      <c r="A489" s="10" t="inlineStr">
        <is>
          <t>P4102307431</t>
        </is>
      </c>
      <c r="B489" s="10" t="inlineStr">
        <is>
          <t>HNVG Bauph. II Gaswerk</t>
        </is>
      </c>
      <c r="C489" s="10" t="inlineStr">
        <is>
          <t>Süd-West</t>
        </is>
      </c>
      <c r="D489" s="8" t="n">
        <v>0</v>
      </c>
      <c r="E489" s="8" t="n">
        <v>0</v>
      </c>
      <c r="F489" s="8" t="n">
        <v>97490.11</v>
      </c>
      <c r="G489" s="8" t="n">
        <v>0</v>
      </c>
      <c r="H489" s="8" t="n">
        <v>0</v>
      </c>
      <c r="I489" s="8" t="n">
        <v>0</v>
      </c>
      <c r="J489" s="8" t="n">
        <v>97490.11</v>
      </c>
      <c r="K489" s="8" t="n">
        <v>0</v>
      </c>
      <c r="L489" s="8" t="n">
        <v>0</v>
      </c>
      <c r="M489" s="8" t="n">
        <v>0</v>
      </c>
      <c r="N489" s="8" t="n">
        <v>-83199.77</v>
      </c>
      <c r="O489" s="8" t="n">
        <v>-83199.77</v>
      </c>
      <c r="P489" s="7" t="n">
        <v>2026</v>
      </c>
    </row>
    <row r="490" ht="21" customHeight="1">
      <c r="A490" s="10" t="inlineStr">
        <is>
          <t>P4102307432</t>
        </is>
      </c>
      <c r="B490" s="10" t="inlineStr">
        <is>
          <t>HNVG - Bauph. III Gaswerk</t>
        </is>
      </c>
      <c r="C490" s="10" t="inlineStr">
        <is>
          <t>Süd-West</t>
        </is>
      </c>
      <c r="D490" s="8" t="n">
        <v>0</v>
      </c>
      <c r="E490" s="8" t="n">
        <v>0</v>
      </c>
      <c r="F490" s="8" t="n">
        <v>85258.00999999999</v>
      </c>
      <c r="G490" s="8" t="n">
        <v>-30600</v>
      </c>
      <c r="H490" s="8" t="n">
        <v>0</v>
      </c>
      <c r="I490" s="8" t="n">
        <v>0</v>
      </c>
      <c r="J490" s="8" t="n">
        <v>85258.00999999999</v>
      </c>
      <c r="K490" s="8" t="n">
        <v>-30600</v>
      </c>
      <c r="L490" s="8" t="n">
        <v>0</v>
      </c>
      <c r="M490" s="8" t="n">
        <v>0</v>
      </c>
      <c r="N490" s="8" t="n">
        <v>-39732.85</v>
      </c>
      <c r="O490" s="8" t="n">
        <v>-39732.85</v>
      </c>
      <c r="P490" s="7" t="n">
        <v>2026</v>
      </c>
    </row>
    <row r="491" ht="21" customHeight="1">
      <c r="A491" s="10" t="inlineStr">
        <is>
          <t>P4102307433</t>
        </is>
      </c>
      <c r="B491" s="10" t="inlineStr">
        <is>
          <t>BASF U 505 Blauer Block</t>
        </is>
      </c>
      <c r="C491" s="10" t="inlineStr">
        <is>
          <t>Süd-West</t>
        </is>
      </c>
      <c r="D491" s="8" t="n">
        <v>380000</v>
      </c>
      <c r="E491" s="8" t="n">
        <v>-129000</v>
      </c>
      <c r="F491" s="8" t="n">
        <v>845320.52</v>
      </c>
      <c r="G491" s="8" t="n">
        <v>-825817.55</v>
      </c>
      <c r="H491" s="8" t="n">
        <v>200000</v>
      </c>
      <c r="I491" s="8" t="n">
        <v>-120000</v>
      </c>
      <c r="J491" s="8" t="n">
        <v>1045320.52</v>
      </c>
      <c r="K491" s="8" t="n">
        <v>-945817.55</v>
      </c>
      <c r="L491" s="8" t="n">
        <v>0</v>
      </c>
      <c r="M491" s="8" t="n">
        <v>0</v>
      </c>
      <c r="N491" s="8" t="n">
        <v>0</v>
      </c>
      <c r="O491" s="8" t="n">
        <v>0</v>
      </c>
      <c r="P491" s="7" t="n">
        <v>2026</v>
      </c>
    </row>
    <row r="492" ht="21" customHeight="1">
      <c r="A492" s="10" t="inlineStr">
        <is>
          <t>P4102307434</t>
        </is>
      </c>
      <c r="B492" s="10" t="inlineStr">
        <is>
          <t>BASF S 304</t>
        </is>
      </c>
      <c r="C492" s="10" t="inlineStr">
        <is>
          <t>Süd-West</t>
        </is>
      </c>
      <c r="D492" s="8" t="n">
        <v>0</v>
      </c>
      <c r="E492" s="8" t="n">
        <v>0</v>
      </c>
      <c r="F492" s="8" t="n">
        <v>60554.04</v>
      </c>
      <c r="G492" s="8" t="n">
        <v>-22058.42</v>
      </c>
      <c r="H492" s="8" t="n">
        <v>0</v>
      </c>
      <c r="I492" s="8" t="n">
        <v>0</v>
      </c>
      <c r="J492" s="8" t="n">
        <v>60554.04</v>
      </c>
      <c r="K492" s="8" t="n">
        <v>-22058.42</v>
      </c>
      <c r="L492" s="8" t="n">
        <v>0</v>
      </c>
      <c r="M492" s="8" t="n">
        <v>0</v>
      </c>
      <c r="N492" s="8" t="n">
        <v>-46621</v>
      </c>
      <c r="O492" s="8" t="n">
        <v>-46621</v>
      </c>
      <c r="P492" s="7" t="n">
        <v>2026</v>
      </c>
    </row>
    <row r="493" ht="21" customHeight="1">
      <c r="A493" s="10" t="inlineStr">
        <is>
          <t>P4102307435</t>
        </is>
      </c>
      <c r="B493" s="10" t="inlineStr">
        <is>
          <t>ENBW - KW Walheim</t>
        </is>
      </c>
      <c r="C493" s="10" t="inlineStr">
        <is>
          <t>Süd-West</t>
        </is>
      </c>
      <c r="D493" s="8" t="n">
        <v>0</v>
      </c>
      <c r="E493" s="8" t="n">
        <v>0</v>
      </c>
      <c r="F493" s="8" t="n">
        <v>240770.35</v>
      </c>
      <c r="G493" s="8" t="n">
        <v>-142710.2</v>
      </c>
      <c r="H493" s="8" t="n">
        <v>0</v>
      </c>
      <c r="I493" s="8" t="n">
        <v>0</v>
      </c>
      <c r="J493" s="8" t="n">
        <v>240770.35</v>
      </c>
      <c r="K493" s="8" t="n">
        <v>-142710.2</v>
      </c>
      <c r="L493" s="8" t="n">
        <v>0</v>
      </c>
      <c r="M493" s="8" t="n">
        <v>0</v>
      </c>
      <c r="N493" s="8" t="n">
        <v>-168400.34</v>
      </c>
      <c r="O493" s="8" t="n">
        <v>-168400.34</v>
      </c>
      <c r="P493" s="7" t="n">
        <v>2026</v>
      </c>
    </row>
    <row r="494" ht="21" customHeight="1">
      <c r="A494" s="10" t="inlineStr">
        <is>
          <t>P4102307436</t>
        </is>
      </c>
      <c r="B494" s="10" t="inlineStr">
        <is>
          <t>BASF O 914 - O 915</t>
        </is>
      </c>
      <c r="C494" s="10" t="inlineStr">
        <is>
          <t>Süd-West</t>
        </is>
      </c>
      <c r="D494" s="8" t="n">
        <v>0</v>
      </c>
      <c r="E494" s="8" t="n">
        <v>0</v>
      </c>
      <c r="F494" s="8" t="n">
        <v>51822.08</v>
      </c>
      <c r="G494" s="8" t="n">
        <v>-56256.37</v>
      </c>
      <c r="H494" s="8" t="n">
        <v>0</v>
      </c>
      <c r="I494" s="8" t="n">
        <v>0</v>
      </c>
      <c r="J494" s="8" t="n">
        <v>51822.08</v>
      </c>
      <c r="K494" s="8" t="n">
        <v>-56256.37</v>
      </c>
      <c r="L494" s="8" t="n">
        <v>0</v>
      </c>
      <c r="M494" s="8" t="n">
        <v>0</v>
      </c>
      <c r="N494" s="8" t="n">
        <v>5723.3</v>
      </c>
      <c r="O494" s="8" t="n">
        <v>5723.3</v>
      </c>
      <c r="P494" s="7" t="n">
        <v>2026</v>
      </c>
    </row>
    <row r="495" ht="21" customHeight="1">
      <c r="A495" s="10" t="inlineStr">
        <is>
          <t>P4102307437</t>
        </is>
      </c>
      <c r="B495" s="10" t="inlineStr">
        <is>
          <t>ENBW - KW Walheim, Permutit-Anlage</t>
        </is>
      </c>
      <c r="C495" s="10" t="inlineStr">
        <is>
          <t>Süd-West</t>
        </is>
      </c>
      <c r="D495" s="8" t="n">
        <v>0</v>
      </c>
      <c r="E495" s="8" t="n">
        <v>0</v>
      </c>
      <c r="F495" s="8" t="n">
        <v>66801.86</v>
      </c>
      <c r="G495" s="8" t="n">
        <v>-188.19</v>
      </c>
      <c r="H495" s="8" t="n">
        <v>0</v>
      </c>
      <c r="I495" s="8" t="n">
        <v>0</v>
      </c>
      <c r="J495" s="8" t="n">
        <v>66801.86</v>
      </c>
      <c r="K495" s="8" t="n">
        <v>-188.19</v>
      </c>
      <c r="L495" s="8" t="n">
        <v>0</v>
      </c>
      <c r="M495" s="8" t="n">
        <v>0</v>
      </c>
      <c r="N495" s="8" t="n">
        <v>-66752</v>
      </c>
      <c r="O495" s="8" t="n">
        <v>-66752</v>
      </c>
      <c r="P495" s="7" t="n">
        <v>2026</v>
      </c>
    </row>
    <row r="496" ht="21" customHeight="1">
      <c r="A496" s="10" t="inlineStr">
        <is>
          <t>P4102307438</t>
        </is>
      </c>
      <c r="B496" s="10" t="inlineStr">
        <is>
          <t>Netze BW- UW Bruchsal</t>
        </is>
      </c>
      <c r="C496" s="10" t="inlineStr">
        <is>
          <t>Süd-West</t>
        </is>
      </c>
      <c r="D496" s="8" t="n">
        <v>81000</v>
      </c>
      <c r="E496" s="8" t="n">
        <v>-70227</v>
      </c>
      <c r="F496" s="8" t="n">
        <v>20108.3</v>
      </c>
      <c r="G496" s="8" t="n">
        <v>-65980.50999999999</v>
      </c>
      <c r="H496" s="8" t="n">
        <v>81000</v>
      </c>
      <c r="I496" s="8" t="n">
        <v>-70227</v>
      </c>
      <c r="J496" s="8" t="n">
        <v>101108.3</v>
      </c>
      <c r="K496" s="8" t="n">
        <v>-136207.51</v>
      </c>
      <c r="L496" s="8" t="n">
        <v>0</v>
      </c>
      <c r="M496" s="8" t="n">
        <v>0</v>
      </c>
      <c r="N496" s="8" t="n">
        <v>66878.32000000001</v>
      </c>
      <c r="O496" s="8" t="n">
        <v>66878.32000000001</v>
      </c>
      <c r="P496" s="7" t="n">
        <v>2026</v>
      </c>
    </row>
    <row r="497" ht="21" customHeight="1">
      <c r="A497" s="10" t="inlineStr">
        <is>
          <t>P4102307439</t>
        </is>
      </c>
      <c r="B497" s="10" t="inlineStr">
        <is>
          <t>BASF U 405 Teil 1</t>
        </is>
      </c>
      <c r="C497" s="10" t="inlineStr">
        <is>
          <t>Süd-West</t>
        </is>
      </c>
      <c r="D497" s="8" t="n">
        <v>94000</v>
      </c>
      <c r="E497" s="8" t="n">
        <v>-50000</v>
      </c>
      <c r="F497" s="8" t="n">
        <v>73270.25</v>
      </c>
      <c r="G497" s="8" t="n">
        <v>-104560.54</v>
      </c>
      <c r="H497" s="8" t="n">
        <v>94000</v>
      </c>
      <c r="I497" s="8" t="n">
        <v>-50000</v>
      </c>
      <c r="J497" s="8" t="n">
        <v>167270.25</v>
      </c>
      <c r="K497" s="8" t="n">
        <v>-154560.54</v>
      </c>
      <c r="L497" s="8" t="n">
        <v>0</v>
      </c>
      <c r="M497" s="8" t="n">
        <v>0</v>
      </c>
      <c r="N497" s="8" t="n">
        <v>0</v>
      </c>
      <c r="O497" s="8" t="n">
        <v>0</v>
      </c>
      <c r="P497" s="7" t="n">
        <v>2026</v>
      </c>
    </row>
    <row r="498" ht="21" customHeight="1">
      <c r="A498" s="10" t="inlineStr">
        <is>
          <t>P4102307440</t>
        </is>
      </c>
      <c r="B498" s="10" t="inlineStr">
        <is>
          <t>BASF  L 605</t>
        </is>
      </c>
      <c r="C498" s="10" t="inlineStr">
        <is>
          <t>Süd-West</t>
        </is>
      </c>
      <c r="D498" s="8" t="n">
        <v>0</v>
      </c>
      <c r="E498" s="8" t="n">
        <v>0</v>
      </c>
      <c r="F498" s="8" t="n">
        <v>249898.21</v>
      </c>
      <c r="G498" s="8" t="n">
        <v>-161600.06</v>
      </c>
      <c r="H498" s="8" t="n">
        <v>0</v>
      </c>
      <c r="I498" s="8" t="n">
        <v>0</v>
      </c>
      <c r="J498" s="8" t="n">
        <v>249898.21</v>
      </c>
      <c r="K498" s="8" t="n">
        <v>-161600.06</v>
      </c>
      <c r="L498" s="8" t="n">
        <v>0</v>
      </c>
      <c r="M498" s="8" t="n">
        <v>0</v>
      </c>
      <c r="N498" s="8" t="n">
        <v>0</v>
      </c>
      <c r="O498" s="8" t="n">
        <v>0</v>
      </c>
      <c r="P498" s="7" t="n">
        <v>2026</v>
      </c>
    </row>
    <row r="499" ht="21" customHeight="1">
      <c r="A499" s="10" t="inlineStr">
        <is>
          <t>P4102307441</t>
        </is>
      </c>
      <c r="B499" s="10" t="inlineStr">
        <is>
          <t>BASF  E 301</t>
        </is>
      </c>
      <c r="C499" s="10" t="inlineStr">
        <is>
          <t>Süd-West</t>
        </is>
      </c>
      <c r="D499" s="8" t="n">
        <v>0</v>
      </c>
      <c r="E499" s="8" t="n">
        <v>0</v>
      </c>
      <c r="F499" s="8" t="n">
        <v>50827.6</v>
      </c>
      <c r="G499" s="8" t="n">
        <v>-16165.48</v>
      </c>
      <c r="H499" s="8" t="n">
        <v>0</v>
      </c>
      <c r="I499" s="8" t="n">
        <v>0</v>
      </c>
      <c r="J499" s="8" t="n">
        <v>50827.6</v>
      </c>
      <c r="K499" s="8" t="n">
        <v>-16165.48</v>
      </c>
      <c r="L499" s="8" t="n">
        <v>0</v>
      </c>
      <c r="M499" s="8" t="n">
        <v>0</v>
      </c>
      <c r="N499" s="8" t="n">
        <v>0</v>
      </c>
      <c r="O499" s="8" t="n">
        <v>0</v>
      </c>
      <c r="P499" s="7" t="n">
        <v>2026</v>
      </c>
    </row>
    <row r="500" ht="21" customHeight="1">
      <c r="A500" s="10" t="inlineStr">
        <is>
          <t>P4102307442</t>
        </is>
      </c>
      <c r="B500" s="10" t="inlineStr">
        <is>
          <t>Leingarten Schwimmhalle 1</t>
        </is>
      </c>
      <c r="C500" s="10" t="inlineStr">
        <is>
          <t>Süd-West</t>
        </is>
      </c>
      <c r="D500" s="8" t="n">
        <v>35000</v>
      </c>
      <c r="E500" s="8" t="n">
        <v>0</v>
      </c>
      <c r="F500" s="8" t="n">
        <v>9232.4</v>
      </c>
      <c r="G500" s="8" t="n">
        <v>-68659.09</v>
      </c>
      <c r="H500" s="8" t="n">
        <v>0</v>
      </c>
      <c r="I500" s="8" t="n">
        <v>0</v>
      </c>
      <c r="J500" s="8" t="n">
        <v>9232.4</v>
      </c>
      <c r="K500" s="8" t="n">
        <v>-68659.09</v>
      </c>
      <c r="L500" s="8" t="n">
        <v>0</v>
      </c>
      <c r="M500" s="8" t="n">
        <v>0</v>
      </c>
      <c r="N500" s="8" t="n">
        <v>77704.58</v>
      </c>
      <c r="O500" s="8" t="n">
        <v>77704.58</v>
      </c>
      <c r="P500" s="7" t="n">
        <v>2026</v>
      </c>
    </row>
    <row r="501" ht="21" customHeight="1">
      <c r="A501" s="10" t="inlineStr">
        <is>
          <t>P4102307443</t>
        </is>
      </c>
      <c r="B501" s="10" t="inlineStr">
        <is>
          <t>Leingarten Schwimmhalle 2</t>
        </is>
      </c>
      <c r="C501" s="10" t="inlineStr">
        <is>
          <t>Süd-West</t>
        </is>
      </c>
      <c r="D501" s="8" t="n">
        <v>193000</v>
      </c>
      <c r="E501" s="8" t="n">
        <v>-182000</v>
      </c>
      <c r="F501" s="8" t="n">
        <v>121773.65</v>
      </c>
      <c r="G501" s="8" t="n">
        <v>-144088.97</v>
      </c>
      <c r="H501" s="8" t="n">
        <v>193000</v>
      </c>
      <c r="I501" s="8" t="n">
        <v>-182000</v>
      </c>
      <c r="J501" s="8" t="n">
        <v>314773.65</v>
      </c>
      <c r="K501" s="8" t="n">
        <v>-326088.97</v>
      </c>
      <c r="L501" s="8" t="n">
        <v>0</v>
      </c>
      <c r="M501" s="8" t="n">
        <v>0</v>
      </c>
      <c r="N501" s="8" t="n">
        <v>59730.99</v>
      </c>
      <c r="O501" s="8" t="n">
        <v>59730.99</v>
      </c>
      <c r="P501" s="7" t="n">
        <v>2026</v>
      </c>
    </row>
    <row r="502" ht="21" customHeight="1">
      <c r="A502" s="10" t="inlineStr">
        <is>
          <t>P4102307444</t>
        </is>
      </c>
      <c r="B502" s="10" t="inlineStr">
        <is>
          <t>BASF  N 416-O 405</t>
        </is>
      </c>
      <c r="C502" s="10" t="inlineStr">
        <is>
          <t>Süd-West</t>
        </is>
      </c>
      <c r="D502" s="8" t="n">
        <v>633000</v>
      </c>
      <c r="E502" s="8" t="n">
        <v>-614010</v>
      </c>
      <c r="F502" s="8" t="n">
        <v>119850.06</v>
      </c>
      <c r="G502" s="8" t="n">
        <v>-228386.29</v>
      </c>
      <c r="H502" s="8" t="n">
        <v>566000</v>
      </c>
      <c r="I502" s="8" t="n">
        <v>-549020</v>
      </c>
      <c r="J502" s="8" t="n">
        <v>685850.0600000001</v>
      </c>
      <c r="K502" s="8" t="n">
        <v>-777406.29</v>
      </c>
      <c r="L502" s="8" t="n">
        <v>0</v>
      </c>
      <c r="M502" s="8" t="n">
        <v>0</v>
      </c>
      <c r="N502" s="8" t="n">
        <v>0</v>
      </c>
      <c r="O502" s="8" t="n">
        <v>0</v>
      </c>
      <c r="P502" s="7" t="n">
        <v>2026</v>
      </c>
    </row>
    <row r="503" ht="21" customHeight="1">
      <c r="A503" s="10" t="inlineStr">
        <is>
          <t>P4102307445</t>
        </is>
      </c>
      <c r="B503" s="10" t="inlineStr">
        <is>
          <t>BASF A 030</t>
        </is>
      </c>
      <c r="C503" s="10" t="inlineStr">
        <is>
          <t>Süd-West</t>
        </is>
      </c>
      <c r="D503" s="8" t="n">
        <v>68000</v>
      </c>
      <c r="E503" s="8" t="n">
        <v>-41600</v>
      </c>
      <c r="F503" s="8" t="n">
        <v>0</v>
      </c>
      <c r="G503" s="8" t="n">
        <v>0</v>
      </c>
      <c r="H503" s="8" t="n">
        <v>68000</v>
      </c>
      <c r="I503" s="8" t="n">
        <v>-41600</v>
      </c>
      <c r="J503" s="8" t="n">
        <v>68000</v>
      </c>
      <c r="K503" s="8" t="n">
        <v>-41600</v>
      </c>
      <c r="L503" s="8" t="n">
        <v>0</v>
      </c>
      <c r="M503" s="8" t="n">
        <v>0</v>
      </c>
      <c r="N503" s="8" t="n">
        <v>0</v>
      </c>
      <c r="O503" s="8" t="n">
        <v>0</v>
      </c>
      <c r="P503" s="7" t="n">
        <v>2026</v>
      </c>
    </row>
    <row r="504" ht="21" customHeight="1">
      <c r="A504" s="10" t="inlineStr">
        <is>
          <t>P4102307446</t>
        </is>
      </c>
      <c r="B504" s="10" t="inlineStr">
        <is>
          <t>Schwimmhalle Leingarten</t>
        </is>
      </c>
      <c r="C504" s="10" t="inlineStr">
        <is>
          <t>Süd-West</t>
        </is>
      </c>
      <c r="D504" s="8" t="n">
        <v>45000</v>
      </c>
      <c r="E504" s="8" t="n">
        <v>-34000</v>
      </c>
      <c r="F504" s="8" t="n">
        <v>0</v>
      </c>
      <c r="G504" s="8" t="n">
        <v>0</v>
      </c>
      <c r="H504" s="8" t="n">
        <v>45000</v>
      </c>
      <c r="I504" s="8" t="n">
        <v>-34000</v>
      </c>
      <c r="J504" s="8" t="n">
        <v>45000</v>
      </c>
      <c r="K504" s="8" t="n">
        <v>-34000</v>
      </c>
      <c r="L504" s="8" t="n">
        <v>0</v>
      </c>
      <c r="M504" s="8" t="n">
        <v>0</v>
      </c>
      <c r="N504" s="8" t="n">
        <v>0</v>
      </c>
      <c r="O504" s="8" t="n">
        <v>0</v>
      </c>
      <c r="P504" s="7" t="n">
        <v>2026</v>
      </c>
    </row>
    <row r="505" ht="21" customHeight="1">
      <c r="A505" s="10" t="inlineStr">
        <is>
          <t>P4102307447</t>
        </is>
      </c>
      <c r="B505" s="10" t="inlineStr">
        <is>
          <t>BASF C 317</t>
        </is>
      </c>
      <c r="C505" s="10" t="inlineStr">
        <is>
          <t>Süd-West</t>
        </is>
      </c>
      <c r="D505" s="8" t="n">
        <v>29000</v>
      </c>
      <c r="E505" s="8" t="n">
        <v>-15000</v>
      </c>
      <c r="F505" s="8" t="n">
        <v>60444.44</v>
      </c>
      <c r="G505" s="8" t="n">
        <v>-46837.81</v>
      </c>
      <c r="H505" s="8" t="n">
        <v>0</v>
      </c>
      <c r="I505" s="8" t="n">
        <v>0</v>
      </c>
      <c r="J505" s="8" t="n">
        <v>60444.44</v>
      </c>
      <c r="K505" s="8" t="n">
        <v>-46837.81</v>
      </c>
      <c r="L505" s="8" t="n">
        <v>0</v>
      </c>
      <c r="M505" s="8" t="n">
        <v>0</v>
      </c>
      <c r="N505" s="8" t="n">
        <v>0</v>
      </c>
      <c r="O505" s="8" t="n">
        <v>0</v>
      </c>
      <c r="P505" s="7" t="n">
        <v>2026</v>
      </c>
    </row>
    <row r="506" ht="21" customHeight="1">
      <c r="A506" s="10" t="inlineStr">
        <is>
          <t>P4102307448</t>
        </is>
      </c>
      <c r="B506" s="10" t="inlineStr">
        <is>
          <t>Kopf SynGas - Klärschlammvergasung</t>
        </is>
      </c>
      <c r="C506" s="10" t="inlineStr">
        <is>
          <t>Süd-West</t>
        </is>
      </c>
      <c r="D506" s="8" t="n">
        <v>90000</v>
      </c>
      <c r="E506" s="8" t="n">
        <v>-84000</v>
      </c>
      <c r="F506" s="8" t="n">
        <v>9829.799999999999</v>
      </c>
      <c r="G506" s="8" t="n">
        <v>-9695.459999999999</v>
      </c>
      <c r="H506" s="8" t="n">
        <v>90000</v>
      </c>
      <c r="I506" s="8" t="n">
        <v>-84000</v>
      </c>
      <c r="J506" s="8" t="n">
        <v>99829.8</v>
      </c>
      <c r="K506" s="8" t="n">
        <v>-93695.46000000001</v>
      </c>
      <c r="L506" s="8" t="n">
        <v>0</v>
      </c>
      <c r="M506" s="8" t="n">
        <v>0</v>
      </c>
      <c r="N506" s="8" t="n">
        <v>0</v>
      </c>
      <c r="O506" s="8" t="n">
        <v>0</v>
      </c>
      <c r="P506" s="7" t="n">
        <v>2026</v>
      </c>
    </row>
    <row r="507" ht="21" customHeight="1">
      <c r="A507" s="10" t="inlineStr">
        <is>
          <t>P4102307449</t>
        </is>
      </c>
      <c r="B507" s="10" t="inlineStr">
        <is>
          <t>BASF S 607</t>
        </is>
      </c>
      <c r="C507" s="10" t="inlineStr">
        <is>
          <t>Süd-West</t>
        </is>
      </c>
      <c r="D507" s="8" t="n">
        <v>320000</v>
      </c>
      <c r="E507" s="8" t="n">
        <v>-257500</v>
      </c>
      <c r="F507" s="8" t="n">
        <v>43996.66</v>
      </c>
      <c r="G507" s="8" t="n">
        <v>-38919.52</v>
      </c>
      <c r="H507" s="8" t="n">
        <v>298000</v>
      </c>
      <c r="I507" s="8" t="n">
        <v>-240000</v>
      </c>
      <c r="J507" s="8" t="n">
        <v>341996.66</v>
      </c>
      <c r="K507" s="8" t="n">
        <v>-278919.52</v>
      </c>
      <c r="L507" s="8" t="n">
        <v>0</v>
      </c>
      <c r="M507" s="8" t="n">
        <v>0</v>
      </c>
      <c r="N507" s="8" t="n">
        <v>0</v>
      </c>
      <c r="O507" s="8" t="n">
        <v>0</v>
      </c>
      <c r="P507" s="7" t="n">
        <v>2026</v>
      </c>
    </row>
    <row r="508" ht="21" customHeight="1">
      <c r="A508" s="10" t="inlineStr">
        <is>
          <t>P4102307450</t>
        </is>
      </c>
      <c r="B508" s="10" t="inlineStr">
        <is>
          <t>Z500-4 Helion</t>
        </is>
      </c>
      <c r="C508" s="10" t="inlineStr">
        <is>
          <t>Süd-West</t>
        </is>
      </c>
      <c r="D508" s="8" t="n">
        <v>120000</v>
      </c>
      <c r="E508" s="8" t="n">
        <v>-120000</v>
      </c>
      <c r="F508" s="8" t="n">
        <v>132500</v>
      </c>
      <c r="G508" s="8" t="n">
        <v>-116621.75</v>
      </c>
      <c r="H508" s="8" t="n">
        <v>120000</v>
      </c>
      <c r="I508" s="8" t="n">
        <v>-120000</v>
      </c>
      <c r="J508" s="8" t="n">
        <v>252500</v>
      </c>
      <c r="K508" s="8" t="n">
        <v>-236621.75</v>
      </c>
      <c r="L508" s="8" t="n">
        <v>0</v>
      </c>
      <c r="M508" s="8" t="n">
        <v>0</v>
      </c>
      <c r="N508" s="8" t="n">
        <v>0</v>
      </c>
      <c r="O508" s="8" t="n">
        <v>0</v>
      </c>
      <c r="P508" s="7" t="n">
        <v>2026</v>
      </c>
    </row>
    <row r="509" ht="21" customHeight="1">
      <c r="A509" s="10" t="inlineStr">
        <is>
          <t>P4102309044</t>
        </is>
      </c>
      <c r="B509" s="10" t="inlineStr">
        <is>
          <t>RB BASF 2022</t>
        </is>
      </c>
      <c r="C509" s="10" t="inlineStr">
        <is>
          <t>Süd-West</t>
        </is>
      </c>
      <c r="D509" s="8" t="n">
        <v>0</v>
      </c>
      <c r="E509" s="8" t="n">
        <v>0</v>
      </c>
      <c r="F509" s="8" t="n">
        <v>0</v>
      </c>
      <c r="G509" s="8" t="n">
        <v>0</v>
      </c>
      <c r="H509" s="8" t="n">
        <v>0</v>
      </c>
      <c r="I509" s="8" t="n">
        <v>0</v>
      </c>
      <c r="J509" s="8" t="n">
        <v>0</v>
      </c>
      <c r="K509" s="8" t="n">
        <v>0</v>
      </c>
      <c r="L509" s="8" t="n">
        <v>0</v>
      </c>
      <c r="M509" s="8" t="n">
        <v>0</v>
      </c>
      <c r="N509" s="8" t="n">
        <v>-6447.83</v>
      </c>
      <c r="O509" s="8" t="n">
        <v>-6447.83</v>
      </c>
      <c r="P509" s="7" t="n">
        <v>2026</v>
      </c>
    </row>
    <row r="510" ht="21" customHeight="1">
      <c r="A510" s="10" t="inlineStr">
        <is>
          <t>P4102309045</t>
        </is>
      </c>
      <c r="B510" s="10" t="inlineStr">
        <is>
          <t>BASF Sonstige Kleinmaßnahmen</t>
        </is>
      </c>
      <c r="C510" s="10" t="inlineStr">
        <is>
          <t>Süd-West</t>
        </is>
      </c>
      <c r="D510" s="8" t="n">
        <v>0</v>
      </c>
      <c r="E510" s="8" t="n">
        <v>0</v>
      </c>
      <c r="F510" s="8" t="n">
        <v>133273.51</v>
      </c>
      <c r="G510" s="8" t="n">
        <v>-96408.7</v>
      </c>
      <c r="H510" s="8" t="n">
        <v>0</v>
      </c>
      <c r="I510" s="8" t="n">
        <v>0</v>
      </c>
      <c r="J510" s="8" t="n">
        <v>133273.51</v>
      </c>
      <c r="K510" s="8" t="n">
        <v>-96408.7</v>
      </c>
      <c r="L510" s="8" t="n">
        <v>0</v>
      </c>
      <c r="M510" s="8" t="n">
        <v>0</v>
      </c>
      <c r="N510" s="8" t="n">
        <v>0</v>
      </c>
      <c r="O510" s="8" t="n">
        <v>0</v>
      </c>
      <c r="P510" s="7" t="n">
        <v>2026</v>
      </c>
    </row>
    <row r="511" ht="21" customHeight="1">
      <c r="A511" s="10" t="inlineStr">
        <is>
          <t>P4102309046</t>
        </is>
      </c>
      <c r="B511" s="10" t="inlineStr">
        <is>
          <t>Sonstige Kleinmaßnahmen</t>
        </is>
      </c>
      <c r="C511" s="10" t="inlineStr">
        <is>
          <t>Süd-West</t>
        </is>
      </c>
      <c r="D511" s="8" t="n">
        <v>0</v>
      </c>
      <c r="E511" s="8" t="n">
        <v>0</v>
      </c>
      <c r="F511" s="8" t="n">
        <v>24410.59</v>
      </c>
      <c r="G511" s="8" t="n">
        <v>-15778</v>
      </c>
      <c r="H511" s="8" t="n">
        <v>0</v>
      </c>
      <c r="I511" s="8" t="n">
        <v>0</v>
      </c>
      <c r="J511" s="8" t="n">
        <v>24410.59</v>
      </c>
      <c r="K511" s="8" t="n">
        <v>-15778</v>
      </c>
      <c r="L511" s="8" t="n">
        <v>0</v>
      </c>
      <c r="M511" s="8" t="n">
        <v>0</v>
      </c>
      <c r="N511" s="8" t="n">
        <v>0</v>
      </c>
      <c r="O511" s="8" t="n">
        <v>0</v>
      </c>
      <c r="P511" s="7" t="n">
        <v>2026</v>
      </c>
    </row>
    <row r="512" ht="21" customHeight="1">
      <c r="A512" s="10" t="inlineStr">
        <is>
          <t>P4102602023</t>
        </is>
      </c>
      <c r="B512" s="10" t="inlineStr">
        <is>
          <t>nachlaufende Kosten</t>
        </is>
      </c>
      <c r="C512" s="10" t="inlineStr">
        <is>
          <t>Ost</t>
        </is>
      </c>
      <c r="D512" s="8" t="n">
        <v>0</v>
      </c>
      <c r="E512" s="8" t="n">
        <v>0</v>
      </c>
      <c r="F512" s="8" t="n">
        <v>0</v>
      </c>
      <c r="G512" s="8" t="n">
        <v>-5293.57</v>
      </c>
      <c r="H512" s="8" t="n">
        <v>0</v>
      </c>
      <c r="I512" s="8" t="n">
        <v>0</v>
      </c>
      <c r="J512" s="8" t="n">
        <v>0</v>
      </c>
      <c r="K512" s="8" t="n">
        <v>-5293.57</v>
      </c>
      <c r="L512" s="8" t="n">
        <v>0</v>
      </c>
      <c r="M512" s="8" t="n">
        <v>0</v>
      </c>
      <c r="N512" s="8" t="n">
        <v>0</v>
      </c>
      <c r="O512" s="8" t="n">
        <v>0</v>
      </c>
      <c r="P512" s="7" t="n">
        <v>2026</v>
      </c>
    </row>
    <row r="513" ht="21" customHeight="1">
      <c r="A513" s="10" t="inlineStr">
        <is>
          <t>P4102604612</t>
        </is>
      </c>
      <c r="B513" s="10" t="inlineStr">
        <is>
          <t>Recyclingplatz Boxberg</t>
        </is>
      </c>
      <c r="C513" s="10" t="inlineStr">
        <is>
          <t>Ost</t>
        </is>
      </c>
      <c r="D513" s="8" t="n">
        <v>0</v>
      </c>
      <c r="E513" s="8" t="n">
        <v>0</v>
      </c>
      <c r="F513" s="8" t="n">
        <v>1055.73</v>
      </c>
      <c r="G513" s="8" t="n">
        <v>-9771.620000000001</v>
      </c>
      <c r="H513" s="8" t="n">
        <v>0</v>
      </c>
      <c r="I513" s="8" t="n">
        <v>0</v>
      </c>
      <c r="J513" s="8" t="n">
        <v>1055.73</v>
      </c>
      <c r="K513" s="8" t="n">
        <v>-9771.620000000001</v>
      </c>
      <c r="L513" s="8" t="n">
        <v>0</v>
      </c>
      <c r="M513" s="8" t="n">
        <v>0</v>
      </c>
      <c r="N513" s="8" t="n">
        <v>0</v>
      </c>
      <c r="O513" s="8" t="n">
        <v>0</v>
      </c>
      <c r="P513" s="7" t="n">
        <v>2026</v>
      </c>
    </row>
    <row r="514" ht="21" customHeight="1">
      <c r="A514" s="10" t="inlineStr">
        <is>
          <t>P4102607989</t>
        </is>
      </c>
      <c r="B514" s="10" t="inlineStr">
        <is>
          <t>Kleinaufträge</t>
        </is>
      </c>
      <c r="C514" s="10" t="inlineStr">
        <is>
          <t>Ost</t>
        </is>
      </c>
      <c r="D514" s="8" t="n">
        <v>0</v>
      </c>
      <c r="E514" s="8" t="n">
        <v>0</v>
      </c>
      <c r="F514" s="8" t="n">
        <v>113903.69</v>
      </c>
      <c r="G514" s="8" t="n">
        <v>-32842.94</v>
      </c>
      <c r="H514" s="8" t="n">
        <v>0</v>
      </c>
      <c r="I514" s="8" t="n">
        <v>0</v>
      </c>
      <c r="J514" s="8" t="n">
        <v>113903.69</v>
      </c>
      <c r="K514" s="8" t="n">
        <v>-32842.94</v>
      </c>
      <c r="L514" s="8" t="n">
        <v>0</v>
      </c>
      <c r="M514" s="8" t="n">
        <v>0</v>
      </c>
      <c r="N514" s="8" t="n">
        <v>0</v>
      </c>
      <c r="O514" s="8" t="n">
        <v>0</v>
      </c>
      <c r="P514" s="7" t="n">
        <v>2026</v>
      </c>
    </row>
    <row r="515" ht="21" customHeight="1">
      <c r="A515" s="10" t="inlineStr">
        <is>
          <t>P4102608224</t>
        </is>
      </c>
      <c r="B515" s="10" t="inlineStr">
        <is>
          <t>RB Turbinen Hirschfelde</t>
        </is>
      </c>
      <c r="C515" s="10" t="inlineStr">
        <is>
          <t>Ost</t>
        </is>
      </c>
      <c r="D515" s="8" t="n">
        <v>0</v>
      </c>
      <c r="E515" s="8" t="n">
        <v>0</v>
      </c>
      <c r="F515" s="8" t="n">
        <v>0</v>
      </c>
      <c r="G515" s="8" t="n">
        <v>-1758.75</v>
      </c>
      <c r="H515" s="8" t="n">
        <v>0</v>
      </c>
      <c r="I515" s="8" t="n">
        <v>0</v>
      </c>
      <c r="J515" s="8" t="n">
        <v>0</v>
      </c>
      <c r="K515" s="8" t="n">
        <v>-1758.75</v>
      </c>
      <c r="L515" s="8" t="n">
        <v>0</v>
      </c>
      <c r="M515" s="8" t="n">
        <v>0</v>
      </c>
      <c r="N515" s="8" t="n">
        <v>1969.8</v>
      </c>
      <c r="O515" s="8" t="n">
        <v>1969.8</v>
      </c>
      <c r="P515" s="7" t="n">
        <v>2026</v>
      </c>
    </row>
    <row r="516" ht="21" customHeight="1">
      <c r="A516" s="10" t="inlineStr">
        <is>
          <t>P4102608226</t>
        </is>
      </c>
      <c r="B516" s="10" t="inlineStr">
        <is>
          <t>RB Kohlebunker Lübbenau</t>
        </is>
      </c>
      <c r="C516" s="10" t="inlineStr">
        <is>
          <t>Ost</t>
        </is>
      </c>
      <c r="D516" s="8" t="n">
        <v>72000</v>
      </c>
      <c r="E516" s="8" t="n">
        <v>-45000</v>
      </c>
      <c r="F516" s="8" t="n">
        <v>0</v>
      </c>
      <c r="G516" s="8" t="n">
        <v>-400.43</v>
      </c>
      <c r="H516" s="8" t="n">
        <v>57000</v>
      </c>
      <c r="I516" s="8" t="n">
        <v>-45000</v>
      </c>
      <c r="J516" s="8" t="n">
        <v>57000</v>
      </c>
      <c r="K516" s="8" t="n">
        <v>-45400.43</v>
      </c>
      <c r="L516" s="8" t="n">
        <v>0</v>
      </c>
      <c r="M516" s="8" t="n">
        <v>0</v>
      </c>
      <c r="N516" s="8" t="n">
        <v>0</v>
      </c>
      <c r="O516" s="8" t="n">
        <v>0</v>
      </c>
      <c r="P516" s="7" t="n">
        <v>2026</v>
      </c>
    </row>
    <row r="517" ht="21" customHeight="1">
      <c r="A517" s="10" t="inlineStr">
        <is>
          <t>P4102608232</t>
        </is>
      </c>
      <c r="B517" s="10" t="inlineStr">
        <is>
          <t>Seilbaggerarbeiten Platz der Republik</t>
        </is>
      </c>
      <c r="C517" s="10" t="inlineStr">
        <is>
          <t>Ost</t>
        </is>
      </c>
      <c r="D517" s="8" t="n">
        <v>0</v>
      </c>
      <c r="E517" s="8" t="n">
        <v>0</v>
      </c>
      <c r="F517" s="8" t="n">
        <v>6059.53</v>
      </c>
      <c r="G517" s="8" t="n">
        <v>0</v>
      </c>
      <c r="H517" s="8" t="n">
        <v>0</v>
      </c>
      <c r="I517" s="8" t="n">
        <v>0</v>
      </c>
      <c r="J517" s="8" t="n">
        <v>6059.53</v>
      </c>
      <c r="K517" s="8" t="n">
        <v>0</v>
      </c>
      <c r="L517" s="8" t="n">
        <v>0</v>
      </c>
      <c r="M517" s="8" t="n">
        <v>0</v>
      </c>
      <c r="N517" s="8" t="n">
        <v>0</v>
      </c>
      <c r="O517" s="8" t="n">
        <v>0</v>
      </c>
      <c r="P517" s="7" t="n">
        <v>2026</v>
      </c>
    </row>
    <row r="518" ht="21" customHeight="1">
      <c r="A518" s="10" t="inlineStr">
        <is>
          <t>P4102608246</t>
        </is>
      </c>
      <c r="B518" s="10" t="inlineStr">
        <is>
          <t>RB Kohlebunker/Brücke Lübbenau</t>
        </is>
      </c>
      <c r="C518" s="10" t="inlineStr">
        <is>
          <t>Ost</t>
        </is>
      </c>
      <c r="D518" s="8" t="n">
        <v>910000</v>
      </c>
      <c r="E518" s="8" t="n">
        <v>-195000</v>
      </c>
      <c r="F518" s="8" t="n">
        <v>71914.57000000001</v>
      </c>
      <c r="G518" s="8" t="n">
        <v>-472333.29</v>
      </c>
      <c r="H518" s="8" t="n">
        <v>760000</v>
      </c>
      <c r="I518" s="8" t="n">
        <v>-195000</v>
      </c>
      <c r="J518" s="8" t="n">
        <v>831914.5699999999</v>
      </c>
      <c r="K518" s="8" t="n">
        <v>-667333.29</v>
      </c>
      <c r="L518" s="8" t="n">
        <v>0</v>
      </c>
      <c r="M518" s="8" t="n">
        <v>0</v>
      </c>
      <c r="N518" s="8" t="n">
        <v>854549.58</v>
      </c>
      <c r="O518" s="8" t="n">
        <v>854549.58</v>
      </c>
      <c r="P518" s="7" t="n">
        <v>2026</v>
      </c>
    </row>
    <row r="519" ht="21" customHeight="1">
      <c r="A519" s="10" t="inlineStr">
        <is>
          <t>P4102608258</t>
        </is>
      </c>
      <c r="B519" s="10" t="inlineStr">
        <is>
          <t>BTU Dachsanierung Halle 3b</t>
        </is>
      </c>
      <c r="C519" s="10" t="inlineStr">
        <is>
          <t>Ost</t>
        </is>
      </c>
      <c r="D519" s="8" t="n">
        <v>0</v>
      </c>
      <c r="E519" s="8" t="n">
        <v>0</v>
      </c>
      <c r="F519" s="8" t="n">
        <v>125327.66</v>
      </c>
      <c r="G519" s="8" t="n">
        <v>0</v>
      </c>
      <c r="H519" s="8" t="n">
        <v>0</v>
      </c>
      <c r="I519" s="8" t="n">
        <v>0</v>
      </c>
      <c r="J519" s="8" t="n">
        <v>125327.66</v>
      </c>
      <c r="K519" s="8" t="n">
        <v>0</v>
      </c>
      <c r="L519" s="8" t="n">
        <v>0</v>
      </c>
      <c r="M519" s="8" t="n">
        <v>0</v>
      </c>
      <c r="N519" s="8" t="n">
        <v>-44321.39</v>
      </c>
      <c r="O519" s="8" t="n">
        <v>-44321.39</v>
      </c>
      <c r="P519" s="7" t="n">
        <v>2026</v>
      </c>
    </row>
    <row r="520" ht="21" customHeight="1">
      <c r="A520" s="10" t="inlineStr">
        <is>
          <t>P4102608260</t>
        </is>
      </c>
      <c r="B520" s="10" t="inlineStr">
        <is>
          <t>RB Floorflexplatten Berlin</t>
        </is>
      </c>
      <c r="C520" s="10" t="inlineStr">
        <is>
          <t>Ost</t>
        </is>
      </c>
      <c r="D520" s="8" t="n">
        <v>7000</v>
      </c>
      <c r="E520" s="8" t="n">
        <v>0</v>
      </c>
      <c r="F520" s="8" t="n">
        <v>36649.67</v>
      </c>
      <c r="G520" s="8" t="n">
        <v>-27469.51</v>
      </c>
      <c r="H520" s="8" t="n">
        <v>0</v>
      </c>
      <c r="I520" s="8" t="n">
        <v>0</v>
      </c>
      <c r="J520" s="8" t="n">
        <v>36649.67</v>
      </c>
      <c r="K520" s="8" t="n">
        <v>-27469.51</v>
      </c>
      <c r="L520" s="8" t="n">
        <v>0</v>
      </c>
      <c r="M520" s="8" t="n">
        <v>0</v>
      </c>
      <c r="N520" s="8" t="n">
        <v>0</v>
      </c>
      <c r="O520" s="8" t="n">
        <v>0</v>
      </c>
      <c r="P520" s="7" t="n">
        <v>2026</v>
      </c>
    </row>
    <row r="521" ht="21" customHeight="1">
      <c r="A521" s="10" t="inlineStr">
        <is>
          <t>P4102608263</t>
        </is>
      </c>
      <c r="B521" s="10" t="inlineStr">
        <is>
          <t>RB Föderbrücke AFB 60</t>
        </is>
      </c>
      <c r="C521" s="10" t="inlineStr">
        <is>
          <t>Ost</t>
        </is>
      </c>
      <c r="D521" s="8" t="n">
        <v>666800</v>
      </c>
      <c r="E521" s="8" t="n">
        <v>-573760</v>
      </c>
      <c r="F521" s="8" t="n">
        <v>4111658.58</v>
      </c>
      <c r="G521" s="8" t="n">
        <v>-2410704.88</v>
      </c>
      <c r="H521" s="8" t="n">
        <v>390400</v>
      </c>
      <c r="I521" s="8" t="n">
        <v>-325000</v>
      </c>
      <c r="J521" s="8" t="n">
        <v>4502058.58</v>
      </c>
      <c r="K521" s="8" t="n">
        <v>-2735704.88</v>
      </c>
      <c r="L521" s="8" t="n">
        <v>0</v>
      </c>
      <c r="M521" s="8" t="n">
        <v>0</v>
      </c>
      <c r="N521" s="8" t="n">
        <v>-870769.6</v>
      </c>
      <c r="O521" s="8" t="n">
        <v>-870769.6</v>
      </c>
      <c r="P521" s="7" t="n">
        <v>2026</v>
      </c>
    </row>
    <row r="522" ht="21" customHeight="1">
      <c r="A522" s="10" t="inlineStr">
        <is>
          <t>P4102608264</t>
        </is>
      </c>
      <c r="B522" s="10" t="inlineStr">
        <is>
          <t>Mastrückbau Mainflingen</t>
        </is>
      </c>
      <c r="C522" s="10" t="inlineStr">
        <is>
          <t>Ost</t>
        </is>
      </c>
      <c r="D522" s="8" t="n">
        <v>0</v>
      </c>
      <c r="E522" s="8" t="n">
        <v>0</v>
      </c>
      <c r="F522" s="8" t="n">
        <v>0</v>
      </c>
      <c r="G522" s="8" t="n">
        <v>-583.34</v>
      </c>
      <c r="H522" s="8" t="n">
        <v>0</v>
      </c>
      <c r="I522" s="8" t="n">
        <v>0</v>
      </c>
      <c r="J522" s="8" t="n">
        <v>0</v>
      </c>
      <c r="K522" s="8" t="n">
        <v>-583.34</v>
      </c>
      <c r="L522" s="8" t="n">
        <v>0</v>
      </c>
      <c r="M522" s="8" t="n">
        <v>0</v>
      </c>
      <c r="N522" s="8" t="n">
        <v>0</v>
      </c>
      <c r="O522" s="8" t="n">
        <v>0</v>
      </c>
      <c r="P522" s="7" t="n">
        <v>2026</v>
      </c>
    </row>
    <row r="523" ht="21" customHeight="1">
      <c r="A523" s="10" t="inlineStr">
        <is>
          <t>P4102608265</t>
        </is>
      </c>
      <c r="B523" s="10" t="inlineStr">
        <is>
          <t>RB Gebäude Grüneberg</t>
        </is>
      </c>
      <c r="C523" s="10" t="inlineStr">
        <is>
          <t>Ost</t>
        </is>
      </c>
      <c r="D523" s="8" t="n">
        <v>0</v>
      </c>
      <c r="E523" s="8" t="n">
        <v>0</v>
      </c>
      <c r="F523" s="8" t="n">
        <v>0</v>
      </c>
      <c r="G523" s="8" t="n">
        <v>-3096.72</v>
      </c>
      <c r="H523" s="8" t="n">
        <v>0</v>
      </c>
      <c r="I523" s="8" t="n">
        <v>0</v>
      </c>
      <c r="J523" s="8" t="n">
        <v>0</v>
      </c>
      <c r="K523" s="8" t="n">
        <v>-3096.72</v>
      </c>
      <c r="L523" s="8" t="n">
        <v>0</v>
      </c>
      <c r="M523" s="8" t="n">
        <v>0</v>
      </c>
      <c r="N523" s="8" t="n">
        <v>0</v>
      </c>
      <c r="O523" s="8" t="n">
        <v>0</v>
      </c>
      <c r="P523" s="7" t="n">
        <v>2026</v>
      </c>
    </row>
    <row r="524" ht="21" customHeight="1">
      <c r="A524" s="10" t="inlineStr">
        <is>
          <t>P4102608266</t>
        </is>
      </c>
      <c r="B524" s="10" t="inlineStr">
        <is>
          <t>RB Kurmark- Kaserne Storkow</t>
        </is>
      </c>
      <c r="C524" s="10" t="inlineStr">
        <is>
          <t>Ost</t>
        </is>
      </c>
      <c r="D524" s="8" t="n">
        <v>0</v>
      </c>
      <c r="E524" s="8" t="n">
        <v>0</v>
      </c>
      <c r="F524" s="8" t="n">
        <v>-591.8099999999999</v>
      </c>
      <c r="G524" s="8" t="n">
        <v>-279.03</v>
      </c>
      <c r="H524" s="8" t="n">
        <v>0</v>
      </c>
      <c r="I524" s="8" t="n">
        <v>0</v>
      </c>
      <c r="J524" s="8" t="n">
        <v>-591.8099999999999</v>
      </c>
      <c r="K524" s="8" t="n">
        <v>-279.03</v>
      </c>
      <c r="L524" s="8" t="n">
        <v>0</v>
      </c>
      <c r="M524" s="8" t="n">
        <v>0</v>
      </c>
      <c r="N524" s="8" t="n">
        <v>0</v>
      </c>
      <c r="O524" s="8" t="n">
        <v>0</v>
      </c>
      <c r="P524" s="7" t="n">
        <v>2026</v>
      </c>
    </row>
    <row r="525" ht="21" customHeight="1">
      <c r="A525" s="10" t="inlineStr">
        <is>
          <t>P4102608267</t>
        </is>
      </c>
      <c r="B525" s="10" t="inlineStr">
        <is>
          <t>Sprengarbeiten FLJS</t>
        </is>
      </c>
      <c r="C525" s="10" t="inlineStr">
        <is>
          <t>Ost</t>
        </is>
      </c>
      <c r="D525" s="8" t="n">
        <v>0</v>
      </c>
      <c r="E525" s="8" t="n">
        <v>0</v>
      </c>
      <c r="F525" s="8" t="n">
        <v>28224.24</v>
      </c>
      <c r="G525" s="8" t="n">
        <v>-20068.44</v>
      </c>
      <c r="H525" s="8" t="n">
        <v>0</v>
      </c>
      <c r="I525" s="8" t="n">
        <v>0</v>
      </c>
      <c r="J525" s="8" t="n">
        <v>28224.24</v>
      </c>
      <c r="K525" s="8" t="n">
        <v>-20068.44</v>
      </c>
      <c r="L525" s="8" t="n">
        <v>0</v>
      </c>
      <c r="M525" s="8" t="n">
        <v>0</v>
      </c>
      <c r="N525" s="8" t="n">
        <v>0</v>
      </c>
      <c r="O525" s="8" t="n">
        <v>0</v>
      </c>
      <c r="P525" s="7" t="n">
        <v>2026</v>
      </c>
    </row>
    <row r="526" ht="21" customHeight="1">
      <c r="A526" s="10" t="inlineStr">
        <is>
          <t>P4102608268</t>
        </is>
      </c>
      <c r="B526" s="10" t="inlineStr">
        <is>
          <t>Gutenbergstrasse Potsdam</t>
        </is>
      </c>
      <c r="C526" s="10" t="inlineStr">
        <is>
          <t>Ost</t>
        </is>
      </c>
      <c r="D526" s="8" t="n">
        <v>0</v>
      </c>
      <c r="E526" s="8" t="n">
        <v>0</v>
      </c>
      <c r="F526" s="8" t="n">
        <v>5542.71</v>
      </c>
      <c r="G526" s="8" t="n">
        <v>-556.45</v>
      </c>
      <c r="H526" s="8" t="n">
        <v>0</v>
      </c>
      <c r="I526" s="8" t="n">
        <v>0</v>
      </c>
      <c r="J526" s="8" t="n">
        <v>5542.71</v>
      </c>
      <c r="K526" s="8" t="n">
        <v>-556.45</v>
      </c>
      <c r="L526" s="8" t="n">
        <v>0</v>
      </c>
      <c r="M526" s="8" t="n">
        <v>0</v>
      </c>
      <c r="N526" s="8" t="n">
        <v>0</v>
      </c>
      <c r="O526" s="8" t="n">
        <v>0</v>
      </c>
      <c r="P526" s="7" t="n">
        <v>2026</v>
      </c>
    </row>
    <row r="527" ht="21" customHeight="1">
      <c r="A527" s="10" t="inlineStr">
        <is>
          <t>P4102608270</t>
        </is>
      </c>
      <c r="B527" s="10" t="inlineStr">
        <is>
          <t>Baggergestellung LH 956 Jänschwalde</t>
        </is>
      </c>
      <c r="C527" s="10" t="inlineStr">
        <is>
          <t>Ost</t>
        </is>
      </c>
      <c r="D527" s="8" t="n">
        <v>20700</v>
      </c>
      <c r="E527" s="8" t="n">
        <v>-8000</v>
      </c>
      <c r="F527" s="8" t="n">
        <v>120358.55</v>
      </c>
      <c r="G527" s="8" t="n">
        <v>-22672.84</v>
      </c>
      <c r="H527" s="8" t="n">
        <v>10000</v>
      </c>
      <c r="I527" s="8" t="n">
        <v>-8000</v>
      </c>
      <c r="J527" s="8" t="n">
        <v>130358.55</v>
      </c>
      <c r="K527" s="8" t="n">
        <v>-30672.84</v>
      </c>
      <c r="L527" s="8" t="n">
        <v>0</v>
      </c>
      <c r="M527" s="8" t="n">
        <v>0</v>
      </c>
      <c r="N527" s="8" t="n">
        <v>0</v>
      </c>
      <c r="O527" s="8" t="n">
        <v>0</v>
      </c>
      <c r="P527" s="7" t="n">
        <v>2026</v>
      </c>
    </row>
    <row r="528" ht="21" customHeight="1">
      <c r="A528" s="10" t="inlineStr">
        <is>
          <t>P4102608271</t>
        </is>
      </c>
      <c r="B528" s="10" t="inlineStr">
        <is>
          <t>Seilbagger Tagebau Jänschwalde</t>
        </is>
      </c>
      <c r="C528" s="10" t="inlineStr">
        <is>
          <t>Ost</t>
        </is>
      </c>
      <c r="D528" s="8" t="n">
        <v>27500</v>
      </c>
      <c r="E528" s="8" t="n">
        <v>-6000</v>
      </c>
      <c r="F528" s="8" t="n">
        <v>194470.4</v>
      </c>
      <c r="G528" s="8" t="n">
        <v>-17848.96</v>
      </c>
      <c r="H528" s="8" t="n">
        <v>9000</v>
      </c>
      <c r="I528" s="8" t="n">
        <v>-6000</v>
      </c>
      <c r="J528" s="8" t="n">
        <v>203470.4</v>
      </c>
      <c r="K528" s="8" t="n">
        <v>-23848.96</v>
      </c>
      <c r="L528" s="8" t="n">
        <v>0</v>
      </c>
      <c r="M528" s="8" t="n">
        <v>0</v>
      </c>
      <c r="N528" s="8" t="n">
        <v>0</v>
      </c>
      <c r="O528" s="8" t="n">
        <v>0</v>
      </c>
      <c r="P528" s="7" t="n">
        <v>2026</v>
      </c>
    </row>
    <row r="529" ht="21" customHeight="1">
      <c r="A529" s="10" t="inlineStr">
        <is>
          <t>P4102608275</t>
        </is>
      </c>
      <c r="B529" s="10" t="inlineStr">
        <is>
          <t>An der Spreewaldbahn lübben</t>
        </is>
      </c>
      <c r="C529" s="10" t="inlineStr">
        <is>
          <t>Ost</t>
        </is>
      </c>
      <c r="D529" s="8" t="n">
        <v>0</v>
      </c>
      <c r="E529" s="8" t="n">
        <v>0</v>
      </c>
      <c r="F529" s="8" t="n">
        <v>25652.08</v>
      </c>
      <c r="G529" s="8" t="n">
        <v>-9699</v>
      </c>
      <c r="H529" s="8" t="n">
        <v>0</v>
      </c>
      <c r="I529" s="8" t="n">
        <v>0</v>
      </c>
      <c r="J529" s="8" t="n">
        <v>25652.08</v>
      </c>
      <c r="K529" s="8" t="n">
        <v>-9699</v>
      </c>
      <c r="L529" s="8" t="n">
        <v>0</v>
      </c>
      <c r="M529" s="8" t="n">
        <v>0</v>
      </c>
      <c r="N529" s="8" t="n">
        <v>0</v>
      </c>
      <c r="O529" s="8" t="n">
        <v>0</v>
      </c>
      <c r="P529" s="7" t="n">
        <v>2026</v>
      </c>
    </row>
    <row r="530" ht="21" customHeight="1">
      <c r="A530" s="10" t="inlineStr">
        <is>
          <t>P4102652023</t>
        </is>
      </c>
      <c r="B530" s="10" t="inlineStr">
        <is>
          <t>Nachlaufende Kosten</t>
        </is>
      </c>
      <c r="C530" s="10" t="inlineStr">
        <is>
          <t>Berlin</t>
        </is>
      </c>
      <c r="D530" s="8" t="n">
        <v>0</v>
      </c>
      <c r="E530" s="8" t="n">
        <v>0</v>
      </c>
      <c r="F530" s="8" t="n">
        <v>0</v>
      </c>
      <c r="G530" s="8" t="n">
        <v>-100</v>
      </c>
      <c r="H530" s="8" t="n">
        <v>0</v>
      </c>
      <c r="I530" s="8" t="n">
        <v>0</v>
      </c>
      <c r="J530" s="8" t="n">
        <v>0</v>
      </c>
      <c r="K530" s="8" t="n">
        <v>-100</v>
      </c>
      <c r="L530" s="8" t="n">
        <v>0</v>
      </c>
      <c r="M530" s="8" t="n">
        <v>0</v>
      </c>
      <c r="N530" s="8" t="n">
        <v>0</v>
      </c>
      <c r="O530" s="8" t="n">
        <v>0</v>
      </c>
      <c r="P530" s="7" t="n">
        <v>2026</v>
      </c>
    </row>
    <row r="531" ht="21" customHeight="1">
      <c r="A531" s="10" t="inlineStr">
        <is>
          <t>P4102657982</t>
        </is>
      </c>
      <c r="B531" s="10" t="inlineStr">
        <is>
          <t>Kleinaufträge</t>
        </is>
      </c>
      <c r="C531" s="10" t="inlineStr">
        <is>
          <t>Berlin</t>
        </is>
      </c>
      <c r="D531" s="8" t="n">
        <v>8250</v>
      </c>
      <c r="E531" s="8" t="n">
        <v>0</v>
      </c>
      <c r="F531" s="8" t="n">
        <v>8250</v>
      </c>
      <c r="G531" s="8" t="n">
        <v>0</v>
      </c>
      <c r="H531" s="8" t="n">
        <v>8250</v>
      </c>
      <c r="I531" s="8" t="n">
        <v>0</v>
      </c>
      <c r="J531" s="8" t="n">
        <v>16500</v>
      </c>
      <c r="K531" s="8" t="n">
        <v>0</v>
      </c>
      <c r="L531" s="8" t="n">
        <v>0</v>
      </c>
      <c r="M531" s="8" t="n">
        <v>0</v>
      </c>
      <c r="N531" s="8" t="n">
        <v>0</v>
      </c>
      <c r="O531" s="8" t="n">
        <v>0</v>
      </c>
      <c r="P531" s="7" t="n">
        <v>2026</v>
      </c>
    </row>
    <row r="532" ht="21" customHeight="1">
      <c r="A532" s="10" t="inlineStr">
        <is>
          <t>P4102658225</t>
        </is>
      </c>
      <c r="B532" s="10" t="inlineStr">
        <is>
          <t>B1 Brandenburg Potsdamer Straße</t>
        </is>
      </c>
      <c r="C532" s="10" t="inlineStr">
        <is>
          <t>Berlin</t>
        </is>
      </c>
      <c r="D532" s="8" t="n">
        <v>0</v>
      </c>
      <c r="E532" s="8" t="n">
        <v>0</v>
      </c>
      <c r="F532" s="8" t="n">
        <v>-59785.46</v>
      </c>
      <c r="G532" s="8" t="n">
        <v>-3.3</v>
      </c>
      <c r="H532" s="8" t="n">
        <v>0</v>
      </c>
      <c r="I532" s="8" t="n">
        <v>0</v>
      </c>
      <c r="J532" s="8" t="n">
        <v>-59785.46</v>
      </c>
      <c r="K532" s="8" t="n">
        <v>-3.3</v>
      </c>
      <c r="L532" s="8" t="n">
        <v>0</v>
      </c>
      <c r="M532" s="8" t="n">
        <v>0</v>
      </c>
      <c r="N532" s="8" t="n">
        <v>0</v>
      </c>
      <c r="O532" s="8" t="n">
        <v>0</v>
      </c>
      <c r="P532" s="7" t="n">
        <v>2026</v>
      </c>
    </row>
    <row r="533" ht="21" customHeight="1">
      <c r="A533" s="10" t="inlineStr">
        <is>
          <t>P4102658228</t>
        </is>
      </c>
      <c r="B533" s="10" t="inlineStr">
        <is>
          <t>ENB EÜ Wollankstraße</t>
        </is>
      </c>
      <c r="C533" s="10" t="inlineStr">
        <is>
          <t>Berlin</t>
        </is>
      </c>
      <c r="D533" s="8" t="n">
        <v>0</v>
      </c>
      <c r="E533" s="8" t="n">
        <v>0</v>
      </c>
      <c r="F533" s="8" t="n">
        <v>0</v>
      </c>
      <c r="G533" s="8" t="n">
        <v>-424.37</v>
      </c>
      <c r="H533" s="8" t="n">
        <v>0</v>
      </c>
      <c r="I533" s="8" t="n">
        <v>0</v>
      </c>
      <c r="J533" s="8" t="n">
        <v>0</v>
      </c>
      <c r="K533" s="8" t="n">
        <v>-424.37</v>
      </c>
      <c r="L533" s="8" t="n">
        <v>0</v>
      </c>
      <c r="M533" s="8" t="n">
        <v>0</v>
      </c>
      <c r="N533" s="8" t="n">
        <v>475.29</v>
      </c>
      <c r="O533" s="8" t="n">
        <v>475.29</v>
      </c>
      <c r="P533" s="7" t="n">
        <v>2026</v>
      </c>
    </row>
    <row r="534" ht="21" customHeight="1">
      <c r="A534" s="10" t="inlineStr">
        <is>
          <t>P4102658229</t>
        </is>
      </c>
      <c r="B534" s="10" t="inlineStr">
        <is>
          <t>Markgrafenbrücke Berlin</t>
        </is>
      </c>
      <c r="C534" s="10" t="inlineStr">
        <is>
          <t>Berlin</t>
        </is>
      </c>
      <c r="D534" s="8" t="n">
        <v>0</v>
      </c>
      <c r="E534" s="8" t="n">
        <v>0</v>
      </c>
      <c r="F534" s="8" t="n">
        <v>9697.700000000001</v>
      </c>
      <c r="G534" s="8" t="n">
        <v>-392074.26</v>
      </c>
      <c r="H534" s="8" t="n">
        <v>0</v>
      </c>
      <c r="I534" s="8" t="n">
        <v>0</v>
      </c>
      <c r="J534" s="8" t="n">
        <v>9697.700000000001</v>
      </c>
      <c r="K534" s="8" t="n">
        <v>-392074.26</v>
      </c>
      <c r="L534" s="8" t="n">
        <v>0</v>
      </c>
      <c r="M534" s="8" t="n">
        <v>0</v>
      </c>
      <c r="N534" s="8" t="n">
        <v>406981.1</v>
      </c>
      <c r="O534" s="8" t="n">
        <v>406981.1</v>
      </c>
      <c r="P534" s="7" t="n">
        <v>2026</v>
      </c>
    </row>
    <row r="535" ht="21" customHeight="1">
      <c r="A535" s="10" t="inlineStr">
        <is>
          <t>P4102658235</t>
        </is>
      </c>
      <c r="B535" s="10" t="inlineStr">
        <is>
          <t>ENB Neue Fahlenbergbrücke</t>
        </is>
      </c>
      <c r="C535" s="10" t="inlineStr">
        <is>
          <t>Berlin</t>
        </is>
      </c>
      <c r="D535" s="8" t="n">
        <v>2103.77</v>
      </c>
      <c r="E535" s="8" t="n">
        <v>-9270.58</v>
      </c>
      <c r="F535" s="8" t="n">
        <v>0</v>
      </c>
      <c r="G535" s="8" t="n">
        <v>0</v>
      </c>
      <c r="H535" s="8" t="n">
        <v>0</v>
      </c>
      <c r="I535" s="8" t="n">
        <v>0</v>
      </c>
      <c r="J535" s="8" t="n">
        <v>0</v>
      </c>
      <c r="K535" s="8" t="n">
        <v>0</v>
      </c>
      <c r="L535" s="8" t="n">
        <v>0</v>
      </c>
      <c r="M535" s="8" t="n">
        <v>0</v>
      </c>
      <c r="N535" s="8" t="n">
        <v>0</v>
      </c>
      <c r="O535" s="8" t="n">
        <v>0</v>
      </c>
      <c r="P535" s="7" t="n">
        <v>2026</v>
      </c>
    </row>
    <row r="536" ht="21" customHeight="1">
      <c r="A536" s="10" t="inlineStr">
        <is>
          <t>P4102658250</t>
        </is>
      </c>
      <c r="B536" s="10" t="inlineStr">
        <is>
          <t>Parkallee Velten, Brücke Stichkanal</t>
        </is>
      </c>
      <c r="C536" s="10" t="inlineStr">
        <is>
          <t>Berlin</t>
        </is>
      </c>
      <c r="D536" s="8" t="n">
        <v>0</v>
      </c>
      <c r="E536" s="8" t="n">
        <v>0</v>
      </c>
      <c r="F536" s="8" t="n">
        <v>-39809.7</v>
      </c>
      <c r="G536" s="8" t="n">
        <v>8.970000000000001</v>
      </c>
      <c r="H536" s="8" t="n">
        <v>0</v>
      </c>
      <c r="I536" s="8" t="n">
        <v>0</v>
      </c>
      <c r="J536" s="8" t="n">
        <v>-39809.7</v>
      </c>
      <c r="K536" s="8" t="n">
        <v>8.970000000000001</v>
      </c>
      <c r="L536" s="8" t="n">
        <v>0</v>
      </c>
      <c r="M536" s="8" t="n">
        <v>0</v>
      </c>
      <c r="N536" s="8" t="n">
        <v>0</v>
      </c>
      <c r="O536" s="8" t="n">
        <v>0</v>
      </c>
      <c r="P536" s="7" t="n">
        <v>2026</v>
      </c>
    </row>
    <row r="537" ht="21" customHeight="1">
      <c r="A537" s="10" t="inlineStr">
        <is>
          <t>P4102658254</t>
        </is>
      </c>
      <c r="B537" s="10" t="inlineStr">
        <is>
          <t>EÜ Langendreerstraße Bochum</t>
        </is>
      </c>
      <c r="C537" s="10" t="inlineStr">
        <is>
          <t>Berlin</t>
        </is>
      </c>
      <c r="D537" s="8" t="n">
        <v>0</v>
      </c>
      <c r="E537" s="8" t="n">
        <v>0</v>
      </c>
      <c r="F537" s="8" t="n">
        <v>0</v>
      </c>
      <c r="G537" s="8" t="n">
        <v>0.15</v>
      </c>
      <c r="H537" s="8" t="n">
        <v>0</v>
      </c>
      <c r="I537" s="8" t="n">
        <v>0</v>
      </c>
      <c r="J537" s="8" t="n">
        <v>0</v>
      </c>
      <c r="K537" s="8" t="n">
        <v>0.15</v>
      </c>
      <c r="L537" s="8" t="n">
        <v>0</v>
      </c>
      <c r="M537" s="8" t="n">
        <v>0</v>
      </c>
      <c r="N537" s="8" t="n">
        <v>0</v>
      </c>
      <c r="O537" s="8" t="n">
        <v>0</v>
      </c>
      <c r="P537" s="7" t="n">
        <v>2026</v>
      </c>
    </row>
    <row r="538" ht="21" customHeight="1">
      <c r="A538" s="10" t="inlineStr">
        <is>
          <t>P4102658256</t>
        </is>
      </c>
      <c r="B538" s="10" t="inlineStr">
        <is>
          <t>Schleuse Wolfswinkel</t>
        </is>
      </c>
      <c r="C538" s="10" t="inlineStr">
        <is>
          <t>Berlin</t>
        </is>
      </c>
      <c r="D538" s="8" t="n">
        <v>0</v>
      </c>
      <c r="E538" s="8" t="n">
        <v>0</v>
      </c>
      <c r="F538" s="8" t="n">
        <v>302672.02</v>
      </c>
      <c r="G538" s="8" t="n">
        <v>-59955.88</v>
      </c>
      <c r="H538" s="8" t="n">
        <v>0</v>
      </c>
      <c r="I538" s="8" t="n">
        <v>0</v>
      </c>
      <c r="J538" s="8" t="n">
        <v>302672.02</v>
      </c>
      <c r="K538" s="8" t="n">
        <v>-59955.88</v>
      </c>
      <c r="L538" s="8" t="n">
        <v>0</v>
      </c>
      <c r="M538" s="8" t="n">
        <v>0</v>
      </c>
      <c r="N538" s="8" t="n">
        <v>-70767.05</v>
      </c>
      <c r="O538" s="8" t="n">
        <v>-70767.05</v>
      </c>
      <c r="P538" s="7" t="n">
        <v>2026</v>
      </c>
    </row>
    <row r="539" ht="21" customHeight="1">
      <c r="A539" s="10" t="inlineStr">
        <is>
          <t>P4102658257</t>
        </is>
      </c>
      <c r="B539" s="10" t="inlineStr">
        <is>
          <t>Brücke An der Wuhlheide - Notunterstützu</t>
        </is>
      </c>
      <c r="C539" s="10" t="inlineStr">
        <is>
          <t>Berlin</t>
        </is>
      </c>
      <c r="D539" s="8" t="n">
        <v>100000</v>
      </c>
      <c r="E539" s="8" t="n">
        <v>-92000</v>
      </c>
      <c r="F539" s="8" t="n">
        <v>0</v>
      </c>
      <c r="G539" s="8" t="n">
        <v>0</v>
      </c>
      <c r="H539" s="8" t="n">
        <v>0</v>
      </c>
      <c r="I539" s="8" t="n">
        <v>0</v>
      </c>
      <c r="J539" s="8" t="n">
        <v>0</v>
      </c>
      <c r="K539" s="8" t="n">
        <v>0</v>
      </c>
      <c r="L539" s="8" t="n">
        <v>0</v>
      </c>
      <c r="M539" s="8" t="n">
        <v>0</v>
      </c>
      <c r="N539" s="8" t="n">
        <v>0</v>
      </c>
      <c r="O539" s="8" t="n">
        <v>0</v>
      </c>
      <c r="P539" s="7" t="n">
        <v>2026</v>
      </c>
    </row>
    <row r="540" ht="21" customHeight="1">
      <c r="A540" s="10" t="inlineStr">
        <is>
          <t>P4102658259</t>
        </is>
      </c>
      <c r="B540" s="10" t="inlineStr">
        <is>
          <t>ENB Eisenbahnbrücke Güsen</t>
        </is>
      </c>
      <c r="C540" s="10" t="inlineStr">
        <is>
          <t>Berlin</t>
        </is>
      </c>
      <c r="D540" s="8" t="n">
        <v>117000</v>
      </c>
      <c r="E540" s="8" t="n">
        <v>-87800</v>
      </c>
      <c r="F540" s="8" t="n">
        <v>42491.68</v>
      </c>
      <c r="G540" s="8" t="n">
        <v>-67801.53999999999</v>
      </c>
      <c r="H540" s="8" t="n">
        <v>17000</v>
      </c>
      <c r="I540" s="8" t="n">
        <v>0</v>
      </c>
      <c r="J540" s="8" t="n">
        <v>59491.68</v>
      </c>
      <c r="K540" s="8" t="n">
        <v>-67801.53999999999</v>
      </c>
      <c r="L540" s="8" t="n">
        <v>0</v>
      </c>
      <c r="M540" s="8" t="n">
        <v>0</v>
      </c>
      <c r="N540" s="8" t="n">
        <v>117116.98</v>
      </c>
      <c r="O540" s="8" t="n">
        <v>117116.98</v>
      </c>
      <c r="P540" s="7" t="n">
        <v>2026</v>
      </c>
    </row>
    <row r="541" ht="21" customHeight="1">
      <c r="A541" s="10" t="inlineStr">
        <is>
          <t>P4102658269</t>
        </is>
      </c>
      <c r="B541" s="10" t="inlineStr">
        <is>
          <t>B102 OD Jüterbog Alte Nuthe</t>
        </is>
      </c>
      <c r="C541" s="10" t="inlineStr">
        <is>
          <t>Berlin</t>
        </is>
      </c>
      <c r="D541" s="8" t="n">
        <v>0</v>
      </c>
      <c r="E541" s="8" t="n">
        <v>0</v>
      </c>
      <c r="F541" s="8" t="n">
        <v>16030.23</v>
      </c>
      <c r="G541" s="8" t="n">
        <v>-2708.05</v>
      </c>
      <c r="H541" s="8" t="n">
        <v>0</v>
      </c>
      <c r="I541" s="8" t="n">
        <v>0</v>
      </c>
      <c r="J541" s="8" t="n">
        <v>16030.23</v>
      </c>
      <c r="K541" s="8" t="n">
        <v>-2708.05</v>
      </c>
      <c r="L541" s="8" t="n">
        <v>0</v>
      </c>
      <c r="M541" s="8" t="n">
        <v>0</v>
      </c>
      <c r="N541" s="8" t="n">
        <v>0</v>
      </c>
      <c r="O541" s="8" t="n">
        <v>0</v>
      </c>
      <c r="P541" s="7" t="n">
        <v>2026</v>
      </c>
    </row>
    <row r="542" ht="21" customHeight="1">
      <c r="A542" s="10" t="inlineStr">
        <is>
          <t>P4102658272</t>
        </is>
      </c>
      <c r="B542" s="10" t="inlineStr">
        <is>
          <t>Beräumung Herzberger Straße</t>
        </is>
      </c>
      <c r="C542" s="10" t="inlineStr">
        <is>
          <t>Berlin</t>
        </is>
      </c>
      <c r="D542" s="8" t="n">
        <v>0</v>
      </c>
      <c r="E542" s="8" t="n">
        <v>0</v>
      </c>
      <c r="F542" s="8" t="n">
        <v>36922.66</v>
      </c>
      <c r="G542" s="8" t="n">
        <v>-15708.54</v>
      </c>
      <c r="H542" s="8" t="n">
        <v>0</v>
      </c>
      <c r="I542" s="8" t="n">
        <v>0</v>
      </c>
      <c r="J542" s="8" t="n">
        <v>36922.66</v>
      </c>
      <c r="K542" s="8" t="n">
        <v>-15708.54</v>
      </c>
      <c r="L542" s="8" t="n">
        <v>0</v>
      </c>
      <c r="M542" s="8" t="n">
        <v>0</v>
      </c>
      <c r="N542" s="8" t="n">
        <v>0</v>
      </c>
      <c r="O542" s="8" t="n">
        <v>0</v>
      </c>
      <c r="P542" s="7" t="n">
        <v>2026</v>
      </c>
    </row>
    <row r="543" ht="21" customHeight="1">
      <c r="A543" s="10" t="inlineStr">
        <is>
          <t>P4102658276</t>
        </is>
      </c>
      <c r="B543" s="10" t="inlineStr">
        <is>
          <t>EÜ Braunsbedra</t>
        </is>
      </c>
      <c r="C543" s="10" t="inlineStr">
        <is>
          <t>Berlin</t>
        </is>
      </c>
      <c r="D543" s="8" t="n">
        <v>27300</v>
      </c>
      <c r="E543" s="8" t="n">
        <v>-10000</v>
      </c>
      <c r="F543" s="8" t="n">
        <v>27313.05</v>
      </c>
      <c r="G543" s="8" t="n">
        <v>-39057.45</v>
      </c>
      <c r="H543" s="8" t="n">
        <v>27300</v>
      </c>
      <c r="I543" s="8" t="n">
        <v>-10000</v>
      </c>
      <c r="J543" s="8" t="n">
        <v>54613.05</v>
      </c>
      <c r="K543" s="8" t="n">
        <v>-49057.45</v>
      </c>
      <c r="L543" s="8" t="n">
        <v>0</v>
      </c>
      <c r="M543" s="8" t="n">
        <v>0</v>
      </c>
      <c r="N543" s="8" t="n">
        <v>83713.49000000001</v>
      </c>
      <c r="O543" s="8" t="n">
        <v>83713.49000000001</v>
      </c>
      <c r="P543" s="7" t="n">
        <v>2026</v>
      </c>
    </row>
    <row r="544" ht="21" customHeight="1">
      <c r="A544" s="10" t="inlineStr">
        <is>
          <t>W4102154411</t>
        </is>
      </c>
      <c r="B544" s="10" t="inlineStr">
        <is>
          <t>Vetrieb Region West</t>
        </is>
      </c>
      <c r="C544" s="10" t="inlineStr">
        <is>
          <t>West</t>
        </is>
      </c>
      <c r="D544" s="8" t="n">
        <v>0</v>
      </c>
      <c r="E544" s="8" t="n">
        <v>0</v>
      </c>
      <c r="F544" s="8" t="n">
        <v>0</v>
      </c>
      <c r="G544" s="8" t="n">
        <v>-101754.9</v>
      </c>
      <c r="H544" s="8" t="n">
        <v>0</v>
      </c>
      <c r="I544" s="8" t="n">
        <v>0</v>
      </c>
      <c r="J544" s="8" t="n">
        <v>0</v>
      </c>
      <c r="K544" s="8" t="n">
        <v>-101754.9</v>
      </c>
      <c r="L544" s="8" t="n">
        <v>0</v>
      </c>
      <c r="M544" s="8" t="n">
        <v>0</v>
      </c>
      <c r="N544" s="8" t="n">
        <v>0</v>
      </c>
      <c r="O544" s="8" t="n">
        <v>0</v>
      </c>
      <c r="P544" s="7" t="n">
        <v>2026</v>
      </c>
    </row>
    <row r="545" ht="21" customHeight="1">
      <c r="A545" s="10" t="inlineStr">
        <is>
          <t>W4102154501</t>
        </is>
      </c>
      <c r="B545" s="10" t="inlineStr">
        <is>
          <t>Gehalt BL Region West</t>
        </is>
      </c>
      <c r="C545" s="10" t="inlineStr">
        <is>
          <t>West</t>
        </is>
      </c>
      <c r="D545" s="8" t="n">
        <v>0</v>
      </c>
      <c r="E545" s="8" t="n">
        <v>0</v>
      </c>
      <c r="F545" s="8" t="n">
        <v>0</v>
      </c>
      <c r="G545" s="8" t="n">
        <v>-8664</v>
      </c>
      <c r="H545" s="8" t="n">
        <v>0</v>
      </c>
      <c r="I545" s="8" t="n">
        <v>0</v>
      </c>
      <c r="J545" s="8" t="n">
        <v>0</v>
      </c>
      <c r="K545" s="8" t="n">
        <v>-8664</v>
      </c>
      <c r="L545" s="8" t="n">
        <v>0</v>
      </c>
      <c r="M545" s="8" t="n">
        <v>0</v>
      </c>
      <c r="N545" s="8" t="n">
        <v>0</v>
      </c>
      <c r="O545" s="8" t="n">
        <v>0</v>
      </c>
      <c r="P545" s="7" t="n">
        <v>2026</v>
      </c>
    </row>
    <row r="546" ht="21" customHeight="1">
      <c r="A546" s="10" t="inlineStr">
        <is>
          <t>W4102154611</t>
        </is>
      </c>
      <c r="B546" s="10" t="inlineStr">
        <is>
          <t>Werkstatt Region West</t>
        </is>
      </c>
      <c r="C546" s="10" t="inlineStr">
        <is>
          <t>West</t>
        </is>
      </c>
      <c r="D546" s="8" t="n">
        <v>0</v>
      </c>
      <c r="E546" s="8" t="n">
        <v>0</v>
      </c>
      <c r="F546" s="8" t="n">
        <v>0</v>
      </c>
      <c r="G546" s="8" t="n">
        <v>-16506.24</v>
      </c>
      <c r="H546" s="8" t="n">
        <v>0</v>
      </c>
      <c r="I546" s="8" t="n">
        <v>0</v>
      </c>
      <c r="J546" s="8" t="n">
        <v>0</v>
      </c>
      <c r="K546" s="8" t="n">
        <v>-16506.24</v>
      </c>
      <c r="L546" s="8" t="n">
        <v>0</v>
      </c>
      <c r="M546" s="8" t="n">
        <v>0</v>
      </c>
      <c r="N546" s="8" t="n">
        <v>0</v>
      </c>
      <c r="O546" s="8" t="n">
        <v>0</v>
      </c>
      <c r="P546" s="7" t="n">
        <v>2026</v>
      </c>
    </row>
    <row r="547" ht="21" customHeight="1">
      <c r="A547" s="10" t="inlineStr">
        <is>
          <t>W4102154953</t>
        </is>
      </c>
      <c r="B547" s="10" t="inlineStr">
        <is>
          <t>CB-AA 140 Hr. Kraft</t>
        </is>
      </c>
      <c r="C547" s="10" t="inlineStr">
        <is>
          <t>West</t>
        </is>
      </c>
      <c r="D547" s="8" t="n">
        <v>0</v>
      </c>
      <c r="E547" s="8" t="n">
        <v>0</v>
      </c>
      <c r="F547" s="8" t="n">
        <v>0</v>
      </c>
      <c r="G547" s="8" t="n">
        <v>-1342.17</v>
      </c>
      <c r="H547" s="8" t="n">
        <v>0</v>
      </c>
      <c r="I547" s="8" t="n">
        <v>0</v>
      </c>
      <c r="J547" s="8" t="n">
        <v>0</v>
      </c>
      <c r="K547" s="8" t="n">
        <v>-1342.17</v>
      </c>
      <c r="L547" s="8" t="n">
        <v>0</v>
      </c>
      <c r="M547" s="8" t="n">
        <v>0</v>
      </c>
      <c r="N547" s="8" t="n">
        <v>0</v>
      </c>
      <c r="O547" s="8" t="n">
        <v>0</v>
      </c>
      <c r="P547" s="7" t="n">
        <v>2026</v>
      </c>
    </row>
    <row r="548" ht="21" customHeight="1">
      <c r="A548" s="10" t="inlineStr">
        <is>
          <t>W4102154961</t>
        </is>
      </c>
      <c r="B548" s="10" t="inlineStr">
        <is>
          <t>DO-AW 251 Ludwigs</t>
        </is>
      </c>
      <c r="C548" s="10" t="inlineStr">
        <is>
          <t>West</t>
        </is>
      </c>
      <c r="D548" s="8" t="n">
        <v>0</v>
      </c>
      <c r="E548" s="8" t="n">
        <v>0</v>
      </c>
      <c r="F548" s="8" t="n">
        <v>0</v>
      </c>
      <c r="G548" s="8" t="n">
        <v>-7075.24</v>
      </c>
      <c r="H548" s="8" t="n">
        <v>0</v>
      </c>
      <c r="I548" s="8" t="n">
        <v>0</v>
      </c>
      <c r="J548" s="8" t="n">
        <v>0</v>
      </c>
      <c r="K548" s="8" t="n">
        <v>-7075.24</v>
      </c>
      <c r="L548" s="8" t="n">
        <v>0</v>
      </c>
      <c r="M548" s="8" t="n">
        <v>0</v>
      </c>
      <c r="N548" s="8" t="n">
        <v>0</v>
      </c>
      <c r="O548" s="8" t="n">
        <v>0</v>
      </c>
      <c r="P548" s="7" t="n">
        <v>2026</v>
      </c>
    </row>
    <row r="549" ht="21" customHeight="1">
      <c r="A549" s="10" t="inlineStr">
        <is>
          <t>W4102154964</t>
        </is>
      </c>
      <c r="B549" s="10" t="inlineStr">
        <is>
          <t>PKW Schalk CB - TV 93</t>
        </is>
      </c>
      <c r="C549" s="10" t="inlineStr">
        <is>
          <t>West</t>
        </is>
      </c>
      <c r="D549" s="8" t="n">
        <v>0</v>
      </c>
      <c r="E549" s="8" t="n">
        <v>0</v>
      </c>
      <c r="F549" s="8" t="n">
        <v>0</v>
      </c>
      <c r="G549" s="8" t="n">
        <v>-10291.6</v>
      </c>
      <c r="H549" s="8" t="n">
        <v>0</v>
      </c>
      <c r="I549" s="8" t="n">
        <v>0</v>
      </c>
      <c r="J549" s="8" t="n">
        <v>0</v>
      </c>
      <c r="K549" s="8" t="n">
        <v>-10291.6</v>
      </c>
      <c r="L549" s="8" t="n">
        <v>0</v>
      </c>
      <c r="M549" s="8" t="n">
        <v>0</v>
      </c>
      <c r="N549" s="8" t="n">
        <v>0</v>
      </c>
      <c r="O549" s="8" t="n">
        <v>0</v>
      </c>
      <c r="P549" s="7" t="n">
        <v>2026</v>
      </c>
    </row>
    <row r="550" ht="21" customHeight="1">
      <c r="A550" s="10" t="inlineStr">
        <is>
          <t>W4102154966</t>
        </is>
      </c>
      <c r="B550" s="10" t="inlineStr">
        <is>
          <t>PKW Kilinc</t>
        </is>
      </c>
      <c r="C550" s="10" t="inlineStr">
        <is>
          <t>West</t>
        </is>
      </c>
      <c r="D550" s="8" t="n">
        <v>0</v>
      </c>
      <c r="E550" s="8" t="n">
        <v>0</v>
      </c>
      <c r="F550" s="8" t="n">
        <v>0</v>
      </c>
      <c r="G550" s="8" t="n">
        <v>-10045.97</v>
      </c>
      <c r="H550" s="8" t="n">
        <v>0</v>
      </c>
      <c r="I550" s="8" t="n">
        <v>0</v>
      </c>
      <c r="J550" s="8" t="n">
        <v>0</v>
      </c>
      <c r="K550" s="8" t="n">
        <v>-10045.97</v>
      </c>
      <c r="L550" s="8" t="n">
        <v>0</v>
      </c>
      <c r="M550" s="8" t="n">
        <v>0</v>
      </c>
      <c r="N550" s="8" t="n">
        <v>0</v>
      </c>
      <c r="O550" s="8" t="n">
        <v>0</v>
      </c>
      <c r="P550" s="7" t="n">
        <v>2026</v>
      </c>
    </row>
    <row r="551" ht="21" customHeight="1">
      <c r="A551" s="10" t="inlineStr">
        <is>
          <t>W4102154967</t>
        </is>
      </c>
      <c r="B551" s="10" t="inlineStr">
        <is>
          <t>CB - VT 585  Hr. Büskens</t>
        </is>
      </c>
      <c r="C551" s="10" t="inlineStr">
        <is>
          <t>West</t>
        </is>
      </c>
      <c r="D551" s="8" t="n">
        <v>0</v>
      </c>
      <c r="E551" s="8" t="n">
        <v>0</v>
      </c>
      <c r="F551" s="8" t="n">
        <v>0</v>
      </c>
      <c r="G551" s="8" t="n">
        <v>-13211</v>
      </c>
      <c r="H551" s="8" t="n">
        <v>0</v>
      </c>
      <c r="I551" s="8" t="n">
        <v>0</v>
      </c>
      <c r="J551" s="8" t="n">
        <v>0</v>
      </c>
      <c r="K551" s="8" t="n">
        <v>-13211</v>
      </c>
      <c r="L551" s="8" t="n">
        <v>0</v>
      </c>
      <c r="M551" s="8" t="n">
        <v>0</v>
      </c>
      <c r="N551" s="8" t="n">
        <v>0</v>
      </c>
      <c r="O551" s="8" t="n">
        <v>0</v>
      </c>
      <c r="P551" s="7" t="n">
        <v>2026</v>
      </c>
    </row>
    <row r="552" ht="21" customHeight="1">
      <c r="A552" s="10" t="inlineStr">
        <is>
          <t>W4102154968</t>
        </is>
      </c>
      <c r="B552" s="10" t="inlineStr">
        <is>
          <t>06-07/26 Mietwagen Hr. Lanzar</t>
        </is>
      </c>
      <c r="C552" s="10" t="inlineStr">
        <is>
          <t>West</t>
        </is>
      </c>
      <c r="D552" s="8" t="n">
        <v>0</v>
      </c>
      <c r="E552" s="8" t="n">
        <v>0</v>
      </c>
      <c r="F552" s="8" t="n">
        <v>0</v>
      </c>
      <c r="G552" s="8" t="n">
        <v>-1698.87</v>
      </c>
      <c r="H552" s="8" t="n">
        <v>0</v>
      </c>
      <c r="I552" s="8" t="n">
        <v>0</v>
      </c>
      <c r="J552" s="8" t="n">
        <v>0</v>
      </c>
      <c r="K552" s="8" t="n">
        <v>-1698.87</v>
      </c>
      <c r="L552" s="8" t="n">
        <v>0</v>
      </c>
      <c r="M552" s="8" t="n">
        <v>0</v>
      </c>
      <c r="N552" s="8" t="n">
        <v>0</v>
      </c>
      <c r="O552" s="8" t="n">
        <v>0</v>
      </c>
      <c r="P552" s="7" t="n">
        <v>2026</v>
      </c>
    </row>
    <row r="553" ht="21" customHeight="1">
      <c r="A553" s="10" t="inlineStr">
        <is>
          <t>W4102157414</t>
        </is>
      </c>
      <c r="B553" s="10" t="inlineStr">
        <is>
          <t>Krandemontage</t>
        </is>
      </c>
      <c r="C553" s="10" t="inlineStr">
        <is>
          <t>West</t>
        </is>
      </c>
      <c r="D553" s="8" t="n">
        <v>0</v>
      </c>
      <c r="E553" s="8" t="n">
        <v>0</v>
      </c>
      <c r="F553" s="8" t="n">
        <v>0</v>
      </c>
      <c r="G553" s="8" t="n">
        <v>0</v>
      </c>
      <c r="H553" s="8" t="n">
        <v>0</v>
      </c>
      <c r="I553" s="8" t="n">
        <v>0</v>
      </c>
      <c r="J553" s="8" t="n">
        <v>0</v>
      </c>
      <c r="K553" s="8" t="n">
        <v>0</v>
      </c>
      <c r="L553" s="8" t="n">
        <v>0</v>
      </c>
      <c r="M553" s="8" t="n">
        <v>0</v>
      </c>
      <c r="N553" s="8" t="n">
        <v>0</v>
      </c>
      <c r="O553" s="8" t="n">
        <v>0</v>
      </c>
      <c r="P553" s="7" t="n">
        <v>2026</v>
      </c>
    </row>
    <row r="554" ht="21" customHeight="1">
      <c r="A554" s="10" t="inlineStr">
        <is>
          <t>W4102304411</t>
        </is>
      </c>
      <c r="B554" s="10" t="inlineStr">
        <is>
          <t>Vetrieb Region Sued-West</t>
        </is>
      </c>
      <c r="C554" s="10" t="inlineStr">
        <is>
          <t>Süd-West</t>
        </is>
      </c>
      <c r="D554" s="8" t="n">
        <v>0</v>
      </c>
      <c r="E554" s="8" t="n">
        <v>0</v>
      </c>
      <c r="F554" s="8" t="n">
        <v>0</v>
      </c>
      <c r="G554" s="8" t="n">
        <v>-94648.47</v>
      </c>
      <c r="H554" s="8" t="n">
        <v>0</v>
      </c>
      <c r="I554" s="8" t="n">
        <v>0</v>
      </c>
      <c r="J554" s="8" t="n">
        <v>0</v>
      </c>
      <c r="K554" s="8" t="n">
        <v>-94648.47</v>
      </c>
      <c r="L554" s="8" t="n">
        <v>0</v>
      </c>
      <c r="M554" s="8" t="n">
        <v>0</v>
      </c>
      <c r="N554" s="8" t="n">
        <v>0</v>
      </c>
      <c r="O554" s="8" t="n">
        <v>0</v>
      </c>
      <c r="P554" s="7" t="n">
        <v>2026</v>
      </c>
    </row>
    <row r="555" ht="21" customHeight="1">
      <c r="A555" s="10" t="inlineStr">
        <is>
          <t>W4102304412</t>
        </is>
      </c>
      <c r="B555" s="10" t="inlineStr">
        <is>
          <t>Fremdfirmenstuetzupunkt</t>
        </is>
      </c>
      <c r="C555" s="10" t="inlineStr">
        <is>
          <t>Süd-West</t>
        </is>
      </c>
      <c r="D555" s="8" t="n">
        <v>0</v>
      </c>
      <c r="E555" s="8" t="n">
        <v>0</v>
      </c>
      <c r="F555" s="8" t="n">
        <v>0</v>
      </c>
      <c r="G555" s="8" t="n">
        <v>-2488</v>
      </c>
      <c r="H555" s="8" t="n">
        <v>0</v>
      </c>
      <c r="I555" s="8" t="n">
        <v>0</v>
      </c>
      <c r="J555" s="8" t="n">
        <v>0</v>
      </c>
      <c r="K555" s="8" t="n">
        <v>-2488</v>
      </c>
      <c r="L555" s="8" t="n">
        <v>0</v>
      </c>
      <c r="M555" s="8" t="n">
        <v>0</v>
      </c>
      <c r="N555" s="8" t="n">
        <v>0</v>
      </c>
      <c r="O555" s="8" t="n">
        <v>0</v>
      </c>
      <c r="P555" s="7" t="n">
        <v>2026</v>
      </c>
    </row>
    <row r="556" ht="21" customHeight="1">
      <c r="A556" s="10" t="inlineStr">
        <is>
          <t>W4102304611</t>
        </is>
      </c>
      <c r="B556" s="10" t="inlineStr">
        <is>
          <t>Lager Region Sued-West</t>
        </is>
      </c>
      <c r="C556" s="10" t="inlineStr">
        <is>
          <t>Süd-West</t>
        </is>
      </c>
      <c r="D556" s="8" t="n">
        <v>0</v>
      </c>
      <c r="E556" s="8" t="n">
        <v>0</v>
      </c>
      <c r="F556" s="8" t="n">
        <v>0</v>
      </c>
      <c r="G556" s="8" t="n">
        <v>-88828.60000000001</v>
      </c>
      <c r="H556" s="8" t="n">
        <v>0</v>
      </c>
      <c r="I556" s="8" t="n">
        <v>0</v>
      </c>
      <c r="J556" s="8" t="n">
        <v>0</v>
      </c>
      <c r="K556" s="8" t="n">
        <v>-88828.60000000001</v>
      </c>
      <c r="L556" s="8" t="n">
        <v>0</v>
      </c>
      <c r="M556" s="8" t="n">
        <v>0</v>
      </c>
      <c r="N556" s="8" t="n">
        <v>0</v>
      </c>
      <c r="O556" s="8" t="n">
        <v>0</v>
      </c>
      <c r="P556" s="7" t="n">
        <v>2026</v>
      </c>
    </row>
    <row r="557" ht="21" customHeight="1">
      <c r="A557" s="10" t="inlineStr">
        <is>
          <t>W4102304943</t>
        </is>
      </c>
      <c r="B557" s="10" t="inlineStr">
        <is>
          <t>CB - TV 90 Hr. Flamme</t>
        </is>
      </c>
      <c r="C557" s="10" t="inlineStr">
        <is>
          <t>Süd-West</t>
        </is>
      </c>
      <c r="D557" s="8" t="n">
        <v>0</v>
      </c>
      <c r="E557" s="8" t="n">
        <v>0</v>
      </c>
      <c r="F557" s="8" t="n">
        <v>0</v>
      </c>
      <c r="G557" s="8" t="n">
        <v>-11735.18</v>
      </c>
      <c r="H557" s="8" t="n">
        <v>0</v>
      </c>
      <c r="I557" s="8" t="n">
        <v>0</v>
      </c>
      <c r="J557" s="8" t="n">
        <v>0</v>
      </c>
      <c r="K557" s="8" t="n">
        <v>-11735.18</v>
      </c>
      <c r="L557" s="8" t="n">
        <v>0</v>
      </c>
      <c r="M557" s="8" t="n">
        <v>0</v>
      </c>
      <c r="N557" s="8" t="n">
        <v>0</v>
      </c>
      <c r="O557" s="8" t="n">
        <v>0</v>
      </c>
      <c r="P557" s="7" t="n">
        <v>2026</v>
      </c>
    </row>
    <row r="558" ht="21" customHeight="1">
      <c r="A558" s="10" t="inlineStr">
        <is>
          <t>W4102304946</t>
        </is>
      </c>
      <c r="B558" s="10" t="inlineStr">
        <is>
          <t>CB-AA 552 Sesjunin</t>
        </is>
      </c>
      <c r="C558" s="10" t="inlineStr">
        <is>
          <t>Süd-West</t>
        </is>
      </c>
      <c r="D558" s="8" t="n">
        <v>0</v>
      </c>
      <c r="E558" s="8" t="n">
        <v>0</v>
      </c>
      <c r="F558" s="8" t="n">
        <v>0</v>
      </c>
      <c r="G558" s="8" t="n">
        <v>-5317.15</v>
      </c>
      <c r="H558" s="8" t="n">
        <v>0</v>
      </c>
      <c r="I558" s="8" t="n">
        <v>0</v>
      </c>
      <c r="J558" s="8" t="n">
        <v>0</v>
      </c>
      <c r="K558" s="8" t="n">
        <v>-5317.15</v>
      </c>
      <c r="L558" s="8" t="n">
        <v>0</v>
      </c>
      <c r="M558" s="8" t="n">
        <v>0</v>
      </c>
      <c r="N558" s="8" t="n">
        <v>0</v>
      </c>
      <c r="O558" s="8" t="n">
        <v>0</v>
      </c>
      <c r="P558" s="7" t="n">
        <v>2026</v>
      </c>
    </row>
    <row r="559" ht="21" customHeight="1">
      <c r="A559" s="10" t="inlineStr">
        <is>
          <t>W4102304947</t>
        </is>
      </c>
      <c r="B559" s="10" t="inlineStr">
        <is>
          <t>CB-AB 644 Passat Herr Yavuz</t>
        </is>
      </c>
      <c r="C559" s="10" t="inlineStr">
        <is>
          <t>Süd-West</t>
        </is>
      </c>
      <c r="D559" s="8" t="n">
        <v>0</v>
      </c>
      <c r="E559" s="8" t="n">
        <v>0</v>
      </c>
      <c r="F559" s="8" t="n">
        <v>0</v>
      </c>
      <c r="G559" s="8" t="n">
        <v>-30</v>
      </c>
      <c r="H559" s="8" t="n">
        <v>0</v>
      </c>
      <c r="I559" s="8" t="n">
        <v>0</v>
      </c>
      <c r="J559" s="8" t="n">
        <v>0</v>
      </c>
      <c r="K559" s="8" t="n">
        <v>-30</v>
      </c>
      <c r="L559" s="8" t="n">
        <v>0</v>
      </c>
      <c r="M559" s="8" t="n">
        <v>0</v>
      </c>
      <c r="N559" s="8" t="n">
        <v>0</v>
      </c>
      <c r="O559" s="8" t="n">
        <v>0</v>
      </c>
      <c r="P559" s="7" t="n">
        <v>2026</v>
      </c>
    </row>
    <row r="560" ht="21" customHeight="1">
      <c r="A560" s="10" t="inlineStr">
        <is>
          <t>W4102307411</t>
        </is>
      </c>
      <c r="B560" s="10" t="inlineStr">
        <is>
          <t>BASF - G 521</t>
        </is>
      </c>
      <c r="C560" s="10" t="inlineStr">
        <is>
          <t>Süd-West</t>
        </is>
      </c>
      <c r="D560" s="8" t="n">
        <v>0</v>
      </c>
      <c r="E560" s="8" t="n">
        <v>0</v>
      </c>
      <c r="F560" s="8" t="n">
        <v>0</v>
      </c>
      <c r="G560" s="8" t="n">
        <v>-580</v>
      </c>
      <c r="H560" s="8" t="n">
        <v>0</v>
      </c>
      <c r="I560" s="8" t="n">
        <v>0</v>
      </c>
      <c r="J560" s="8" t="n">
        <v>0</v>
      </c>
      <c r="K560" s="8" t="n">
        <v>-580</v>
      </c>
      <c r="L560" s="8" t="n">
        <v>0</v>
      </c>
      <c r="M560" s="8" t="n">
        <v>0</v>
      </c>
      <c r="N560" s="8" t="n">
        <v>0</v>
      </c>
      <c r="O560" s="8" t="n">
        <v>0</v>
      </c>
      <c r="P560" s="7" t="n">
        <v>2026</v>
      </c>
    </row>
    <row r="561" ht="21" customHeight="1">
      <c r="A561" s="10" t="inlineStr">
        <is>
          <t>W4102504101</t>
        </is>
      </c>
      <c r="B561" s="10" t="inlineStr">
        <is>
          <t>Kaufm. Geschäftsfüh.</t>
        </is>
      </c>
      <c r="C561" s="10" t="inlineStr">
        <is>
          <t>Verwaltung</t>
        </is>
      </c>
      <c r="D561" s="8" t="n">
        <v>0</v>
      </c>
      <c r="E561" s="8" t="n">
        <v>0</v>
      </c>
      <c r="F561" s="8" t="n">
        <v>0</v>
      </c>
      <c r="G561" s="8" t="n">
        <v>-7</v>
      </c>
      <c r="H561" s="8" t="n">
        <v>0</v>
      </c>
      <c r="I561" s="8" t="n">
        <v>0</v>
      </c>
      <c r="J561" s="8" t="n">
        <v>0</v>
      </c>
      <c r="K561" s="8" t="n">
        <v>-7</v>
      </c>
      <c r="L561" s="8" t="n">
        <v>0</v>
      </c>
      <c r="M561" s="8" t="n">
        <v>0</v>
      </c>
      <c r="N561" s="8" t="n">
        <v>0</v>
      </c>
      <c r="O561" s="8" t="n">
        <v>0</v>
      </c>
      <c r="P561" s="7" t="n">
        <v>2026</v>
      </c>
    </row>
    <row r="562" ht="21" customHeight="1">
      <c r="A562" s="10" t="inlineStr">
        <is>
          <t>W4102504102</t>
        </is>
      </c>
      <c r="B562" s="10" t="inlineStr">
        <is>
          <t>Techn. Geschäftsfüh.</t>
        </is>
      </c>
      <c r="C562" s="10" t="inlineStr">
        <is>
          <t>Verwaltung</t>
        </is>
      </c>
      <c r="D562" s="8" t="n">
        <v>0</v>
      </c>
      <c r="E562" s="8" t="n">
        <v>0</v>
      </c>
      <c r="F562" s="8" t="n">
        <v>0</v>
      </c>
      <c r="G562" s="8" t="n">
        <v>0</v>
      </c>
      <c r="H562" s="8" t="n">
        <v>0</v>
      </c>
      <c r="I562" s="8" t="n">
        <v>0</v>
      </c>
      <c r="J562" s="8" t="n">
        <v>0</v>
      </c>
      <c r="K562" s="8" t="n">
        <v>0</v>
      </c>
      <c r="L562" s="8" t="n">
        <v>0</v>
      </c>
      <c r="M562" s="8" t="n">
        <v>0</v>
      </c>
      <c r="N562" s="8" t="n">
        <v>0</v>
      </c>
      <c r="O562" s="8" t="n">
        <v>0</v>
      </c>
      <c r="P562" s="7" t="n">
        <v>2026</v>
      </c>
    </row>
    <row r="563" ht="21" customHeight="1">
      <c r="A563" s="10" t="inlineStr">
        <is>
          <t>W4102504104</t>
        </is>
      </c>
      <c r="B563" s="10" t="inlineStr">
        <is>
          <t>Dienstleistungsverrechn.</t>
        </is>
      </c>
      <c r="C563" s="10" t="inlineStr">
        <is>
          <t>Verwaltung</t>
        </is>
      </c>
      <c r="D563" s="8" t="n">
        <v>0</v>
      </c>
      <c r="E563" s="8" t="n">
        <v>-16100</v>
      </c>
      <c r="F563" s="8" t="n">
        <v>0</v>
      </c>
      <c r="G563" s="8" t="n">
        <v>-48751</v>
      </c>
      <c r="H563" s="8" t="n">
        <v>0</v>
      </c>
      <c r="I563" s="8" t="n">
        <v>-16100</v>
      </c>
      <c r="J563" s="8" t="n">
        <v>0</v>
      </c>
      <c r="K563" s="8" t="n">
        <v>-64851</v>
      </c>
      <c r="L563" s="8" t="n">
        <v>0</v>
      </c>
      <c r="M563" s="8" t="n">
        <v>0</v>
      </c>
      <c r="N563" s="8" t="n">
        <v>0</v>
      </c>
      <c r="O563" s="8" t="n">
        <v>0</v>
      </c>
      <c r="P563" s="7" t="n">
        <v>2026</v>
      </c>
    </row>
    <row r="564" ht="21" customHeight="1">
      <c r="A564" s="10" t="inlineStr">
        <is>
          <t>W4102504106</t>
        </is>
      </c>
      <c r="B564" s="10" t="inlineStr">
        <is>
          <t>Geschäftsfüh.</t>
        </is>
      </c>
      <c r="C564" s="10" t="inlineStr">
        <is>
          <t>Verwaltung</t>
        </is>
      </c>
      <c r="D564" s="8" t="n">
        <v>0</v>
      </c>
      <c r="E564" s="8" t="n">
        <v>-2000</v>
      </c>
      <c r="F564" s="8" t="n">
        <v>0</v>
      </c>
      <c r="G564" s="8" t="n">
        <v>-6447.58</v>
      </c>
      <c r="H564" s="8" t="n">
        <v>0</v>
      </c>
      <c r="I564" s="8" t="n">
        <v>-2000</v>
      </c>
      <c r="J564" s="8" t="n">
        <v>0</v>
      </c>
      <c r="K564" s="8" t="n">
        <v>-8447.58</v>
      </c>
      <c r="L564" s="8" t="n">
        <v>0</v>
      </c>
      <c r="M564" s="8" t="n">
        <v>0</v>
      </c>
      <c r="N564" s="8" t="n">
        <v>0</v>
      </c>
      <c r="O564" s="8" t="n">
        <v>0</v>
      </c>
      <c r="P564" s="7" t="n">
        <v>2026</v>
      </c>
    </row>
    <row r="565" ht="21" customHeight="1">
      <c r="A565" s="10" t="inlineStr">
        <is>
          <t>W4102504107</t>
        </is>
      </c>
      <c r="B565" s="10" t="inlineStr">
        <is>
          <t>Geschäftsfüh. Hr Kay</t>
        </is>
      </c>
      <c r="C565" s="10" t="inlineStr">
        <is>
          <t>Verwaltung</t>
        </is>
      </c>
      <c r="D565" s="8" t="n">
        <v>0</v>
      </c>
      <c r="E565" s="8" t="n">
        <v>0</v>
      </c>
      <c r="F565" s="8" t="n">
        <v>0</v>
      </c>
      <c r="G565" s="8" t="n">
        <v>-685.6799999999999</v>
      </c>
      <c r="H565" s="8" t="n">
        <v>0</v>
      </c>
      <c r="I565" s="8" t="n">
        <v>0</v>
      </c>
      <c r="J565" s="8" t="n">
        <v>0</v>
      </c>
      <c r="K565" s="8" t="n">
        <v>-685.6799999999999</v>
      </c>
      <c r="L565" s="8" t="n">
        <v>0</v>
      </c>
      <c r="M565" s="8" t="n">
        <v>0</v>
      </c>
      <c r="N565" s="8" t="n">
        <v>0</v>
      </c>
      <c r="O565" s="8" t="n">
        <v>0</v>
      </c>
      <c r="P565" s="7" t="n">
        <v>2026</v>
      </c>
    </row>
    <row r="566" ht="21" customHeight="1">
      <c r="A566" s="10" t="inlineStr">
        <is>
          <t>W4102504108</t>
        </is>
      </c>
      <c r="B566" s="10" t="inlineStr">
        <is>
          <t>Geschäftsführer Hr. Kenski</t>
        </is>
      </c>
      <c r="C566" s="10" t="inlineStr">
        <is>
          <t>Verwaltung</t>
        </is>
      </c>
      <c r="D566" s="8" t="n">
        <v>0</v>
      </c>
      <c r="E566" s="8" t="n">
        <v>-2000</v>
      </c>
      <c r="F566" s="8" t="n">
        <v>0</v>
      </c>
      <c r="G566" s="8" t="n">
        <v>-4155.7</v>
      </c>
      <c r="H566" s="8" t="n">
        <v>0</v>
      </c>
      <c r="I566" s="8" t="n">
        <v>-2000</v>
      </c>
      <c r="J566" s="8" t="n">
        <v>0</v>
      </c>
      <c r="K566" s="8" t="n">
        <v>-6155.7</v>
      </c>
      <c r="L566" s="8" t="n">
        <v>0</v>
      </c>
      <c r="M566" s="8" t="n">
        <v>0</v>
      </c>
      <c r="N566" s="8" t="n">
        <v>0</v>
      </c>
      <c r="O566" s="8" t="n">
        <v>0</v>
      </c>
      <c r="P566" s="7" t="n">
        <v>2026</v>
      </c>
    </row>
    <row r="567" ht="21" customHeight="1">
      <c r="A567" s="10" t="inlineStr">
        <is>
          <t>W4102504109</t>
        </is>
      </c>
      <c r="B567" s="10" t="inlineStr">
        <is>
          <t>Geschäftsführerin Frau Langosch</t>
        </is>
      </c>
      <c r="C567" s="10" t="inlineStr">
        <is>
          <t>Verwaltung</t>
        </is>
      </c>
      <c r="D567" s="8" t="n">
        <v>0</v>
      </c>
      <c r="E567" s="8" t="n">
        <v>0</v>
      </c>
      <c r="F567" s="8" t="n">
        <v>0</v>
      </c>
      <c r="G567" s="8" t="n">
        <v>-4555.48</v>
      </c>
      <c r="H567" s="8" t="n">
        <v>0</v>
      </c>
      <c r="I567" s="8" t="n">
        <v>0</v>
      </c>
      <c r="J567" s="8" t="n">
        <v>0</v>
      </c>
      <c r="K567" s="8" t="n">
        <v>-4555.48</v>
      </c>
      <c r="L567" s="8" t="n">
        <v>0</v>
      </c>
      <c r="M567" s="8" t="n">
        <v>0</v>
      </c>
      <c r="N567" s="8" t="n">
        <v>0</v>
      </c>
      <c r="O567" s="8" t="n">
        <v>0</v>
      </c>
      <c r="P567" s="7" t="n">
        <v>2026</v>
      </c>
    </row>
    <row r="568" ht="21" customHeight="1">
      <c r="A568" s="10" t="inlineStr">
        <is>
          <t>W4102504211</t>
        </is>
      </c>
      <c r="B568" s="10" t="inlineStr">
        <is>
          <t>Rechnungsw./Finanzen</t>
        </is>
      </c>
      <c r="C568" s="10" t="inlineStr">
        <is>
          <t>Verwaltung</t>
        </is>
      </c>
      <c r="D568" s="8" t="n">
        <v>0</v>
      </c>
      <c r="E568" s="8" t="n">
        <v>-400</v>
      </c>
      <c r="F568" s="8" t="n">
        <v>0</v>
      </c>
      <c r="G568" s="8" t="n">
        <v>-252.87</v>
      </c>
      <c r="H568" s="8" t="n">
        <v>0</v>
      </c>
      <c r="I568" s="8" t="n">
        <v>-400</v>
      </c>
      <c r="J568" s="8" t="n">
        <v>0</v>
      </c>
      <c r="K568" s="8" t="n">
        <v>-652.87</v>
      </c>
      <c r="L568" s="8" t="n">
        <v>0</v>
      </c>
      <c r="M568" s="8" t="n">
        <v>0</v>
      </c>
      <c r="N568" s="8" t="n">
        <v>0</v>
      </c>
      <c r="O568" s="8" t="n">
        <v>0</v>
      </c>
      <c r="P568" s="7" t="n">
        <v>2026</v>
      </c>
    </row>
    <row r="569" ht="21" customHeight="1">
      <c r="A569" s="10" t="inlineStr">
        <is>
          <t>W4102504221</t>
        </is>
      </c>
      <c r="B569" s="10" t="inlineStr">
        <is>
          <t>Übriges Personal</t>
        </is>
      </c>
      <c r="C569" s="10" t="inlineStr">
        <is>
          <t>Verwaltung</t>
        </is>
      </c>
      <c r="D569" s="8" t="n">
        <v>0</v>
      </c>
      <c r="E569" s="8" t="n">
        <v>-500</v>
      </c>
      <c r="F569" s="8" t="n">
        <v>0</v>
      </c>
      <c r="G569" s="8" t="n">
        <v>-2695.76</v>
      </c>
      <c r="H569" s="8" t="n">
        <v>0</v>
      </c>
      <c r="I569" s="8" t="n">
        <v>-500</v>
      </c>
      <c r="J569" s="8" t="n">
        <v>0</v>
      </c>
      <c r="K569" s="8" t="n">
        <v>-3195.76</v>
      </c>
      <c r="L569" s="8" t="n">
        <v>0</v>
      </c>
      <c r="M569" s="8" t="n">
        <v>0</v>
      </c>
      <c r="N569" s="8" t="n">
        <v>0</v>
      </c>
      <c r="O569" s="8" t="n">
        <v>0</v>
      </c>
      <c r="P569" s="7" t="n">
        <v>2026</v>
      </c>
    </row>
    <row r="570" ht="21" customHeight="1">
      <c r="A570" s="10" t="inlineStr">
        <is>
          <t>W4102504222</t>
        </is>
      </c>
      <c r="B570" s="10" t="inlineStr">
        <is>
          <t>Sonstige Sachkosten</t>
        </is>
      </c>
      <c r="C570" s="10" t="inlineStr">
        <is>
          <t>Verwaltung</t>
        </is>
      </c>
      <c r="D570" s="8" t="n">
        <v>0</v>
      </c>
      <c r="E570" s="8" t="n">
        <v>-170000</v>
      </c>
      <c r="F570" s="8" t="n">
        <v>0</v>
      </c>
      <c r="G570" s="8" t="n">
        <v>-385636.12</v>
      </c>
      <c r="H570" s="8" t="n">
        <v>0</v>
      </c>
      <c r="I570" s="8" t="n">
        <v>-170000</v>
      </c>
      <c r="J570" s="8" t="n">
        <v>0</v>
      </c>
      <c r="K570" s="8" t="n">
        <v>-555636.12</v>
      </c>
      <c r="L570" s="8" t="n">
        <v>0</v>
      </c>
      <c r="M570" s="8" t="n">
        <v>0</v>
      </c>
      <c r="N570" s="8" t="n">
        <v>0</v>
      </c>
      <c r="O570" s="8" t="n">
        <v>0</v>
      </c>
      <c r="P570" s="7" t="n">
        <v>2026</v>
      </c>
    </row>
    <row r="571" ht="21" customHeight="1">
      <c r="A571" s="10" t="inlineStr">
        <is>
          <t>W4102504262</t>
        </is>
      </c>
      <c r="B571" s="10" t="inlineStr">
        <is>
          <t>Zentrale EDV</t>
        </is>
      </c>
      <c r="C571" s="10" t="inlineStr">
        <is>
          <t>Verwaltung</t>
        </is>
      </c>
      <c r="D571" s="8" t="n">
        <v>0</v>
      </c>
      <c r="E571" s="8" t="n">
        <v>-22000</v>
      </c>
      <c r="F571" s="8" t="n">
        <v>0</v>
      </c>
      <c r="G571" s="8" t="n">
        <v>-65966.71000000001</v>
      </c>
      <c r="H571" s="8" t="n">
        <v>0</v>
      </c>
      <c r="I571" s="8" t="n">
        <v>-22000</v>
      </c>
      <c r="J571" s="8" t="n">
        <v>0</v>
      </c>
      <c r="K571" s="8" t="n">
        <v>-87966.71000000001</v>
      </c>
      <c r="L571" s="8" t="n">
        <v>0</v>
      </c>
      <c r="M571" s="8" t="n">
        <v>0</v>
      </c>
      <c r="N571" s="8" t="n">
        <v>0</v>
      </c>
      <c r="O571" s="8" t="n">
        <v>0</v>
      </c>
      <c r="P571" s="7" t="n">
        <v>2026</v>
      </c>
    </row>
    <row r="572" ht="21" customHeight="1">
      <c r="A572" s="10" t="inlineStr">
        <is>
          <t>W4102504941</t>
        </is>
      </c>
      <c r="B572" s="10" t="inlineStr">
        <is>
          <t>Betriebsrat</t>
        </is>
      </c>
      <c r="C572" s="10" t="inlineStr">
        <is>
          <t>Verwaltung</t>
        </is>
      </c>
      <c r="D572" s="8" t="n">
        <v>0</v>
      </c>
      <c r="E572" s="8" t="n">
        <v>-400</v>
      </c>
      <c r="F572" s="8" t="n">
        <v>0</v>
      </c>
      <c r="G572" s="8" t="n">
        <v>-590.37</v>
      </c>
      <c r="H572" s="8" t="n">
        <v>0</v>
      </c>
      <c r="I572" s="8" t="n">
        <v>-400</v>
      </c>
      <c r="J572" s="8" t="n">
        <v>0</v>
      </c>
      <c r="K572" s="8" t="n">
        <v>-990.37</v>
      </c>
      <c r="L572" s="8" t="n">
        <v>0</v>
      </c>
      <c r="M572" s="8" t="n">
        <v>0</v>
      </c>
      <c r="N572" s="8" t="n">
        <v>0</v>
      </c>
      <c r="O572" s="8" t="n">
        <v>0</v>
      </c>
      <c r="P572" s="7" t="n">
        <v>2026</v>
      </c>
    </row>
    <row r="573" ht="21" customHeight="1">
      <c r="A573" s="10" t="inlineStr">
        <is>
          <t>W4102504951</t>
        </is>
      </c>
      <c r="B573" s="10" t="inlineStr">
        <is>
          <t>Steuern</t>
        </is>
      </c>
      <c r="C573" s="10" t="inlineStr">
        <is>
          <t>Verwaltung</t>
        </is>
      </c>
      <c r="D573" s="8" t="n">
        <v>0</v>
      </c>
      <c r="E573" s="8" t="n">
        <v>0</v>
      </c>
      <c r="F573" s="8" t="n">
        <v>0</v>
      </c>
      <c r="G573" s="8" t="n">
        <v>-10.5</v>
      </c>
      <c r="H573" s="8" t="n">
        <v>0</v>
      </c>
      <c r="I573" s="8" t="n">
        <v>0</v>
      </c>
      <c r="J573" s="8" t="n">
        <v>0</v>
      </c>
      <c r="K573" s="8" t="n">
        <v>-10.5</v>
      </c>
      <c r="L573" s="8" t="n">
        <v>0</v>
      </c>
      <c r="M573" s="8" t="n">
        <v>0</v>
      </c>
      <c r="N573" s="8" t="n">
        <v>0</v>
      </c>
      <c r="O573" s="8" t="n">
        <v>0</v>
      </c>
      <c r="P573" s="7" t="n">
        <v>2026</v>
      </c>
    </row>
    <row r="574" ht="21" customHeight="1">
      <c r="A574" s="10" t="inlineStr">
        <is>
          <t>W4102504967</t>
        </is>
      </c>
      <c r="B574" s="10" t="inlineStr">
        <is>
          <t>CB-VT 476 Krull</t>
        </is>
      </c>
      <c r="C574" s="10" t="inlineStr">
        <is>
          <t>Verwaltung</t>
        </is>
      </c>
      <c r="D574" s="8" t="n">
        <v>0</v>
      </c>
      <c r="E574" s="8" t="n">
        <v>0</v>
      </c>
      <c r="F574" s="8" t="n">
        <v>0</v>
      </c>
      <c r="G574" s="8" t="n">
        <v>112.3</v>
      </c>
      <c r="H574" s="8" t="n">
        <v>0</v>
      </c>
      <c r="I574" s="8" t="n">
        <v>0</v>
      </c>
      <c r="J574" s="8" t="n">
        <v>0</v>
      </c>
      <c r="K574" s="8" t="n">
        <v>112.3</v>
      </c>
      <c r="L574" s="8" t="n">
        <v>0</v>
      </c>
      <c r="M574" s="8" t="n">
        <v>0</v>
      </c>
      <c r="N574" s="8" t="n">
        <v>0</v>
      </c>
      <c r="O574" s="8" t="n">
        <v>0</v>
      </c>
      <c r="P574" s="7" t="n">
        <v>2026</v>
      </c>
    </row>
    <row r="575" ht="21" customHeight="1">
      <c r="A575" s="10" t="inlineStr">
        <is>
          <t>W4102504971</t>
        </is>
      </c>
      <c r="B575" s="10" t="inlineStr">
        <is>
          <t>CB-CR 107 Werban</t>
        </is>
      </c>
      <c r="C575" s="10" t="inlineStr">
        <is>
          <t>Verwaltung</t>
        </is>
      </c>
      <c r="D575" s="8" t="n">
        <v>0</v>
      </c>
      <c r="E575" s="8" t="n">
        <v>-1600</v>
      </c>
      <c r="F575" s="8" t="n">
        <v>0</v>
      </c>
      <c r="G575" s="8" t="n">
        <v>-3939.21</v>
      </c>
      <c r="H575" s="8" t="n">
        <v>0</v>
      </c>
      <c r="I575" s="8" t="n">
        <v>-1600</v>
      </c>
      <c r="J575" s="8" t="n">
        <v>0</v>
      </c>
      <c r="K575" s="8" t="n">
        <v>-5539.21</v>
      </c>
      <c r="L575" s="8" t="n">
        <v>0</v>
      </c>
      <c r="M575" s="8" t="n">
        <v>0</v>
      </c>
      <c r="N575" s="8" t="n">
        <v>0</v>
      </c>
      <c r="O575" s="8" t="n">
        <v>0</v>
      </c>
      <c r="P575" s="7" t="n">
        <v>2026</v>
      </c>
    </row>
    <row r="576" ht="21" customHeight="1">
      <c r="A576" s="10" t="inlineStr">
        <is>
          <t>W4102504973</t>
        </is>
      </c>
      <c r="B576" s="10" t="inlineStr">
        <is>
          <t>CB- TV 300E Hr. Kemper Mercedes</t>
        </is>
      </c>
      <c r="C576" s="10" t="inlineStr">
        <is>
          <t>Verwaltung</t>
        </is>
      </c>
      <c r="D576" s="8" t="n">
        <v>0</v>
      </c>
      <c r="E576" s="8" t="n">
        <v>-5400</v>
      </c>
      <c r="F576" s="8" t="n">
        <v>0</v>
      </c>
      <c r="G576" s="8" t="n">
        <v>-14513.68</v>
      </c>
      <c r="H576" s="8" t="n">
        <v>0</v>
      </c>
      <c r="I576" s="8" t="n">
        <v>-5400</v>
      </c>
      <c r="J576" s="8" t="n">
        <v>0</v>
      </c>
      <c r="K576" s="8" t="n">
        <v>-19913.68</v>
      </c>
      <c r="L576" s="8" t="n">
        <v>0</v>
      </c>
      <c r="M576" s="8" t="n">
        <v>0</v>
      </c>
      <c r="N576" s="8" t="n">
        <v>0</v>
      </c>
      <c r="O576" s="8" t="n">
        <v>0</v>
      </c>
      <c r="P576" s="7" t="n">
        <v>2026</v>
      </c>
    </row>
    <row r="577" ht="21" customHeight="1">
      <c r="A577" s="10" t="inlineStr">
        <is>
          <t>W4102504974</t>
        </is>
      </c>
      <c r="B577" s="10" t="inlineStr">
        <is>
          <t>CB-TV 55E Volvo Herr Kay</t>
        </is>
      </c>
      <c r="C577" s="10" t="inlineStr">
        <is>
          <t>Verwaltung</t>
        </is>
      </c>
      <c r="D577" s="8" t="n">
        <v>0</v>
      </c>
      <c r="E577" s="8" t="n">
        <v>0</v>
      </c>
      <c r="F577" s="8" t="n">
        <v>0</v>
      </c>
      <c r="G577" s="8" t="n">
        <v>-11348.78</v>
      </c>
      <c r="H577" s="8" t="n">
        <v>0</v>
      </c>
      <c r="I577" s="8" t="n">
        <v>0</v>
      </c>
      <c r="J577" s="8" t="n">
        <v>0</v>
      </c>
      <c r="K577" s="8" t="n">
        <v>-11348.78</v>
      </c>
      <c r="L577" s="8" t="n">
        <v>0</v>
      </c>
      <c r="M577" s="8" t="n">
        <v>0</v>
      </c>
      <c r="N577" s="8" t="n">
        <v>0</v>
      </c>
      <c r="O577" s="8" t="n">
        <v>0</v>
      </c>
      <c r="P577" s="7" t="n">
        <v>2026</v>
      </c>
    </row>
    <row r="578" ht="21" customHeight="1">
      <c r="A578" s="10" t="inlineStr">
        <is>
          <t>W4102504975</t>
        </is>
      </c>
      <c r="B578" s="10" t="inlineStr">
        <is>
          <t>PKW Frau Noack</t>
        </is>
      </c>
      <c r="C578" s="10" t="inlineStr">
        <is>
          <t>Verwaltung</t>
        </is>
      </c>
      <c r="D578" s="8" t="n">
        <v>0</v>
      </c>
      <c r="E578" s="8" t="n">
        <v>-5400</v>
      </c>
      <c r="F578" s="8" t="n">
        <v>0</v>
      </c>
      <c r="G578" s="8" t="n">
        <v>-7633.76</v>
      </c>
      <c r="H578" s="8" t="n">
        <v>0</v>
      </c>
      <c r="I578" s="8" t="n">
        <v>-5400</v>
      </c>
      <c r="J578" s="8" t="n">
        <v>0</v>
      </c>
      <c r="K578" s="8" t="n">
        <v>-13033.76</v>
      </c>
      <c r="L578" s="8" t="n">
        <v>0</v>
      </c>
      <c r="M578" s="8" t="n">
        <v>0</v>
      </c>
      <c r="N578" s="8" t="n">
        <v>0</v>
      </c>
      <c r="O578" s="8" t="n">
        <v>0</v>
      </c>
      <c r="P578" s="7" t="n">
        <v>2026</v>
      </c>
    </row>
    <row r="579" ht="21" customHeight="1">
      <c r="A579" s="10" t="inlineStr">
        <is>
          <t>W4102504976</t>
        </is>
      </c>
      <c r="B579" s="10" t="inlineStr">
        <is>
          <t>CB-TV 104 Skoda Superb - Herr Kenski</t>
        </is>
      </c>
      <c r="C579" s="10" t="inlineStr">
        <is>
          <t>Verwaltung</t>
        </is>
      </c>
      <c r="D579" s="8" t="n">
        <v>0</v>
      </c>
      <c r="E579" s="8" t="n">
        <v>-5400</v>
      </c>
      <c r="F579" s="8" t="n">
        <v>0</v>
      </c>
      <c r="G579" s="8" t="n">
        <v>-5379.28</v>
      </c>
      <c r="H579" s="8" t="n">
        <v>0</v>
      </c>
      <c r="I579" s="8" t="n">
        <v>-5400</v>
      </c>
      <c r="J579" s="8" t="n">
        <v>0</v>
      </c>
      <c r="K579" s="8" t="n">
        <v>-10779.28</v>
      </c>
      <c r="L579" s="8" t="n">
        <v>0</v>
      </c>
      <c r="M579" s="8" t="n">
        <v>0</v>
      </c>
      <c r="N579" s="8" t="n">
        <v>0</v>
      </c>
      <c r="O579" s="8" t="n">
        <v>0</v>
      </c>
      <c r="P579" s="7" t="n">
        <v>2026</v>
      </c>
    </row>
    <row r="580" ht="21" customHeight="1">
      <c r="A580" s="10" t="inlineStr">
        <is>
          <t>W4102602023</t>
        </is>
      </c>
      <c r="B580" s="10" t="inlineStr">
        <is>
          <t>nachlaufende Kosten</t>
        </is>
      </c>
      <c r="C580" s="10" t="inlineStr">
        <is>
          <t>Ost</t>
        </is>
      </c>
      <c r="D580" s="8" t="n">
        <v>0</v>
      </c>
      <c r="E580" s="8" t="n">
        <v>0</v>
      </c>
      <c r="F580" s="8" t="n">
        <v>0</v>
      </c>
      <c r="G580" s="8" t="n">
        <v>-761.1</v>
      </c>
      <c r="H580" s="8" t="n">
        <v>0</v>
      </c>
      <c r="I580" s="8" t="n">
        <v>0</v>
      </c>
      <c r="J580" s="8" t="n">
        <v>0</v>
      </c>
      <c r="K580" s="8" t="n">
        <v>-761.1</v>
      </c>
      <c r="L580" s="8" t="n">
        <v>0</v>
      </c>
      <c r="M580" s="8" t="n">
        <v>0</v>
      </c>
      <c r="N580" s="8" t="n">
        <v>0</v>
      </c>
      <c r="O580" s="8" t="n">
        <v>0</v>
      </c>
      <c r="P580" s="7" t="n">
        <v>2026</v>
      </c>
    </row>
    <row r="581" ht="21" customHeight="1">
      <c r="A581" s="10" t="inlineStr">
        <is>
          <t>W4102604411</t>
        </is>
      </c>
      <c r="B581" s="10" t="inlineStr">
        <is>
          <t>Vertrieb Region Ost</t>
        </is>
      </c>
      <c r="C581" s="10" t="inlineStr">
        <is>
          <t>Ost</t>
        </is>
      </c>
      <c r="D581" s="8" t="n">
        <v>0</v>
      </c>
      <c r="E581" s="8" t="n">
        <v>0</v>
      </c>
      <c r="F581" s="8" t="n">
        <v>0</v>
      </c>
      <c r="G581" s="8" t="n">
        <v>-92999.39999999999</v>
      </c>
      <c r="H581" s="8" t="n">
        <v>0</v>
      </c>
      <c r="I581" s="8" t="n">
        <v>0</v>
      </c>
      <c r="J581" s="8" t="n">
        <v>0</v>
      </c>
      <c r="K581" s="8" t="n">
        <v>-92999.39999999999</v>
      </c>
      <c r="L581" s="8" t="n">
        <v>0</v>
      </c>
      <c r="M581" s="8" t="n">
        <v>0</v>
      </c>
      <c r="N581" s="8" t="n">
        <v>0</v>
      </c>
      <c r="O581" s="8" t="n">
        <v>0</v>
      </c>
      <c r="P581" s="7" t="n">
        <v>2026</v>
      </c>
    </row>
    <row r="582" ht="21" customHeight="1">
      <c r="A582" s="10" t="inlineStr">
        <is>
          <t>W4102604414</t>
        </is>
      </c>
      <c r="B582" s="10" t="inlineStr">
        <is>
          <t>Halle Boxberg</t>
        </is>
      </c>
      <c r="C582" s="10" t="inlineStr">
        <is>
          <t>Ost</t>
        </is>
      </c>
      <c r="D582" s="8" t="n">
        <v>0</v>
      </c>
      <c r="E582" s="8" t="n">
        <v>0</v>
      </c>
      <c r="F582" s="8" t="n">
        <v>11272.5</v>
      </c>
      <c r="G582" s="8" t="n">
        <v>-9792.09</v>
      </c>
      <c r="H582" s="8" t="n">
        <v>0</v>
      </c>
      <c r="I582" s="8" t="n">
        <v>0</v>
      </c>
      <c r="J582" s="8" t="n">
        <v>11272.5</v>
      </c>
      <c r="K582" s="8" t="n">
        <v>-9792.09</v>
      </c>
      <c r="L582" s="8" t="n">
        <v>0</v>
      </c>
      <c r="M582" s="8" t="n">
        <v>0</v>
      </c>
      <c r="N582" s="8" t="n">
        <v>0</v>
      </c>
      <c r="O582" s="8" t="n">
        <v>0</v>
      </c>
      <c r="P582" s="7" t="n">
        <v>2026</v>
      </c>
    </row>
    <row r="583" ht="21" customHeight="1">
      <c r="A583" s="10" t="inlineStr">
        <is>
          <t>W4102604611</t>
        </is>
      </c>
      <c r="B583" s="10" t="inlineStr">
        <is>
          <t>Lager Regon Sued</t>
        </is>
      </c>
      <c r="C583" s="10" t="inlineStr">
        <is>
          <t>Ost</t>
        </is>
      </c>
      <c r="D583" s="8" t="n">
        <v>0</v>
      </c>
      <c r="E583" s="8" t="n">
        <v>0</v>
      </c>
      <c r="F583" s="8" t="n">
        <v>0</v>
      </c>
      <c r="G583" s="8" t="n">
        <v>-15481.18</v>
      </c>
      <c r="H583" s="8" t="n">
        <v>0</v>
      </c>
      <c r="I583" s="8" t="n">
        <v>0</v>
      </c>
      <c r="J583" s="8" t="n">
        <v>0</v>
      </c>
      <c r="K583" s="8" t="n">
        <v>-15481.18</v>
      </c>
      <c r="L583" s="8" t="n">
        <v>0</v>
      </c>
      <c r="M583" s="8" t="n">
        <v>0</v>
      </c>
      <c r="N583" s="8" t="n">
        <v>0</v>
      </c>
      <c r="O583" s="8" t="n">
        <v>0</v>
      </c>
      <c r="P583" s="7" t="n">
        <v>2026</v>
      </c>
    </row>
    <row r="584" ht="21" customHeight="1">
      <c r="A584" s="10" t="inlineStr">
        <is>
          <t>W4102604612</t>
        </is>
      </c>
      <c r="B584" s="10" t="inlineStr">
        <is>
          <t>Recyclingplatz Boxberg</t>
        </is>
      </c>
      <c r="C584" s="10" t="inlineStr">
        <is>
          <t>Ost</t>
        </is>
      </c>
      <c r="D584" s="8" t="n">
        <v>0</v>
      </c>
      <c r="E584" s="8" t="n">
        <v>0</v>
      </c>
      <c r="F584" s="8" t="n">
        <v>11153.42</v>
      </c>
      <c r="G584" s="8" t="n">
        <v>-365.72</v>
      </c>
      <c r="H584" s="8" t="n">
        <v>0</v>
      </c>
      <c r="I584" s="8" t="n">
        <v>0</v>
      </c>
      <c r="J584" s="8" t="n">
        <v>11153.42</v>
      </c>
      <c r="K584" s="8" t="n">
        <v>-365.72</v>
      </c>
      <c r="L584" s="8" t="n">
        <v>0</v>
      </c>
      <c r="M584" s="8" t="n">
        <v>0</v>
      </c>
      <c r="N584" s="8" t="n">
        <v>0</v>
      </c>
      <c r="O584" s="8" t="n">
        <v>0</v>
      </c>
      <c r="P584" s="7" t="n">
        <v>2026</v>
      </c>
    </row>
    <row r="585" ht="21" customHeight="1">
      <c r="A585" s="10" t="inlineStr">
        <is>
          <t>W4102604938</t>
        </is>
      </c>
      <c r="B585" s="10" t="inlineStr">
        <is>
          <t>CB-AA 501 Spindler</t>
        </is>
      </c>
      <c r="C585" s="10" t="inlineStr">
        <is>
          <t>Ost</t>
        </is>
      </c>
      <c r="D585" s="8" t="n">
        <v>0</v>
      </c>
      <c r="E585" s="8" t="n">
        <v>0</v>
      </c>
      <c r="F585" s="8" t="n">
        <v>0</v>
      </c>
      <c r="G585" s="8" t="n">
        <v>-9673.93</v>
      </c>
      <c r="H585" s="8" t="n">
        <v>0</v>
      </c>
      <c r="I585" s="8" t="n">
        <v>0</v>
      </c>
      <c r="J585" s="8" t="n">
        <v>0</v>
      </c>
      <c r="K585" s="8" t="n">
        <v>-9673.93</v>
      </c>
      <c r="L585" s="8" t="n">
        <v>0</v>
      </c>
      <c r="M585" s="8" t="n">
        <v>0</v>
      </c>
      <c r="N585" s="8" t="n">
        <v>0</v>
      </c>
      <c r="O585" s="8" t="n">
        <v>0</v>
      </c>
      <c r="P585" s="7" t="n">
        <v>2026</v>
      </c>
    </row>
    <row r="586" ht="21" customHeight="1">
      <c r="A586" s="10" t="inlineStr">
        <is>
          <t>W4102604940</t>
        </is>
      </c>
      <c r="B586" s="10" t="inlineStr">
        <is>
          <t>CB-VT 475 Heilmann</t>
        </is>
      </c>
      <c r="C586" s="10" t="inlineStr">
        <is>
          <t>Ost</t>
        </is>
      </c>
      <c r="D586" s="8" t="n">
        <v>0</v>
      </c>
      <c r="E586" s="8" t="n">
        <v>0</v>
      </c>
      <c r="F586" s="8" t="n">
        <v>0</v>
      </c>
      <c r="G586" s="8" t="n">
        <v>-4628.19</v>
      </c>
      <c r="H586" s="8" t="n">
        <v>0</v>
      </c>
      <c r="I586" s="8" t="n">
        <v>0</v>
      </c>
      <c r="J586" s="8" t="n">
        <v>0</v>
      </c>
      <c r="K586" s="8" t="n">
        <v>-4628.19</v>
      </c>
      <c r="L586" s="8" t="n">
        <v>0</v>
      </c>
      <c r="M586" s="8" t="n">
        <v>0</v>
      </c>
      <c r="N586" s="8" t="n">
        <v>0</v>
      </c>
      <c r="O586" s="8" t="n">
        <v>0</v>
      </c>
      <c r="P586" s="7" t="n">
        <v>2026</v>
      </c>
    </row>
    <row r="587" ht="21" customHeight="1">
      <c r="A587" s="10" t="inlineStr">
        <is>
          <t>W4102604941</t>
        </is>
      </c>
      <c r="B587" s="10" t="inlineStr">
        <is>
          <t>CB-TV 22E Tayron Hr Lorenz</t>
        </is>
      </c>
      <c r="C587" s="10" t="inlineStr">
        <is>
          <t>Ost</t>
        </is>
      </c>
      <c r="D587" s="8" t="n">
        <v>0</v>
      </c>
      <c r="E587" s="8" t="n">
        <v>0</v>
      </c>
      <c r="F587" s="8" t="n">
        <v>0</v>
      </c>
      <c r="G587" s="8" t="n">
        <v>-15276.38</v>
      </c>
      <c r="H587" s="8" t="n">
        <v>0</v>
      </c>
      <c r="I587" s="8" t="n">
        <v>0</v>
      </c>
      <c r="J587" s="8" t="n">
        <v>0</v>
      </c>
      <c r="K587" s="8" t="n">
        <v>-15276.38</v>
      </c>
      <c r="L587" s="8" t="n">
        <v>0</v>
      </c>
      <c r="M587" s="8" t="n">
        <v>0</v>
      </c>
      <c r="N587" s="8" t="n">
        <v>0</v>
      </c>
      <c r="O587" s="8" t="n">
        <v>0</v>
      </c>
      <c r="P587" s="7" t="n">
        <v>2026</v>
      </c>
    </row>
    <row r="588" ht="21" customHeight="1">
      <c r="A588" s="10" t="inlineStr">
        <is>
          <t>W4102604949</t>
        </is>
      </c>
      <c r="B588" s="10" t="inlineStr">
        <is>
          <t>CB - VT 686 Passat Fr. Kolber</t>
        </is>
      </c>
      <c r="C588" s="10" t="inlineStr">
        <is>
          <t>Ost</t>
        </is>
      </c>
      <c r="D588" s="8" t="n">
        <v>0</v>
      </c>
      <c r="E588" s="8" t="n">
        <v>0</v>
      </c>
      <c r="F588" s="8" t="n">
        <v>0</v>
      </c>
      <c r="G588" s="8" t="n">
        <v>-6913.67</v>
      </c>
      <c r="H588" s="8" t="n">
        <v>0</v>
      </c>
      <c r="I588" s="8" t="n">
        <v>0</v>
      </c>
      <c r="J588" s="8" t="n">
        <v>0</v>
      </c>
      <c r="K588" s="8" t="n">
        <v>-6913.67</v>
      </c>
      <c r="L588" s="8" t="n">
        <v>0</v>
      </c>
      <c r="M588" s="8" t="n">
        <v>0</v>
      </c>
      <c r="N588" s="8" t="n">
        <v>0</v>
      </c>
      <c r="O588" s="8" t="n">
        <v>0</v>
      </c>
      <c r="P588" s="7" t="n">
        <v>2026</v>
      </c>
    </row>
    <row r="589" ht="21" customHeight="1">
      <c r="A589" s="10" t="inlineStr">
        <is>
          <t>W4102604950</t>
        </is>
      </c>
      <c r="B589" s="10" t="inlineStr">
        <is>
          <t>CB-TV 97 Hr. Mühlberg</t>
        </is>
      </c>
      <c r="C589" s="10" t="inlineStr">
        <is>
          <t>Ost</t>
        </is>
      </c>
      <c r="D589" s="8" t="n">
        <v>0</v>
      </c>
      <c r="E589" s="8" t="n">
        <v>0</v>
      </c>
      <c r="F589" s="8" t="n">
        <v>0</v>
      </c>
      <c r="G589" s="8" t="n">
        <v>-8323.5</v>
      </c>
      <c r="H589" s="8" t="n">
        <v>0</v>
      </c>
      <c r="I589" s="8" t="n">
        <v>0</v>
      </c>
      <c r="J589" s="8" t="n">
        <v>0</v>
      </c>
      <c r="K589" s="8" t="n">
        <v>-8323.5</v>
      </c>
      <c r="L589" s="8" t="n">
        <v>0</v>
      </c>
      <c r="M589" s="8" t="n">
        <v>0</v>
      </c>
      <c r="N589" s="8" t="n">
        <v>0</v>
      </c>
      <c r="O589" s="8" t="n">
        <v>0</v>
      </c>
      <c r="P589" s="7" t="n">
        <v>2026</v>
      </c>
    </row>
    <row r="590" ht="21" customHeight="1">
      <c r="A590" s="10" t="inlineStr">
        <is>
          <t>W4102604951</t>
        </is>
      </c>
      <c r="B590" s="10" t="inlineStr">
        <is>
          <t>PKW Herr Tymczy</t>
        </is>
      </c>
      <c r="C590" s="10" t="inlineStr">
        <is>
          <t>Ost</t>
        </is>
      </c>
      <c r="D590" s="8" t="n">
        <v>0</v>
      </c>
      <c r="E590" s="8" t="n">
        <v>0</v>
      </c>
      <c r="F590" s="8" t="n">
        <v>0</v>
      </c>
      <c r="G590" s="8" t="n">
        <v>-2396.61</v>
      </c>
      <c r="H590" s="8" t="n">
        <v>0</v>
      </c>
      <c r="I590" s="8" t="n">
        <v>0</v>
      </c>
      <c r="J590" s="8" t="n">
        <v>0</v>
      </c>
      <c r="K590" s="8" t="n">
        <v>-2396.61</v>
      </c>
      <c r="L590" s="8" t="n">
        <v>0</v>
      </c>
      <c r="M590" s="8" t="n">
        <v>0</v>
      </c>
      <c r="N590" s="8" t="n">
        <v>0</v>
      </c>
      <c r="O590" s="8" t="n">
        <v>0</v>
      </c>
      <c r="P590" s="7" t="n">
        <v>2026</v>
      </c>
    </row>
    <row r="591" ht="21" customHeight="1">
      <c r="A591" s="10" t="inlineStr">
        <is>
          <t>W4102608246</t>
        </is>
      </c>
      <c r="B591" s="10" t="inlineStr">
        <is>
          <t>RB Kohlebunker/Brücke Lübbenau</t>
        </is>
      </c>
      <c r="C591" s="10" t="inlineStr">
        <is>
          <t>Ost</t>
        </is>
      </c>
      <c r="D591" s="8" t="n">
        <v>0</v>
      </c>
      <c r="E591" s="8" t="n">
        <v>0</v>
      </c>
      <c r="F591" s="8" t="n">
        <v>0</v>
      </c>
      <c r="G591" s="8" t="n">
        <v>-7875</v>
      </c>
      <c r="H591" s="8" t="n">
        <v>0</v>
      </c>
      <c r="I591" s="8" t="n">
        <v>0</v>
      </c>
      <c r="J591" s="8" t="n">
        <v>0</v>
      </c>
      <c r="K591" s="8" t="n">
        <v>-7875</v>
      </c>
      <c r="L591" s="8" t="n">
        <v>0</v>
      </c>
      <c r="M591" s="8" t="n">
        <v>0</v>
      </c>
      <c r="N591" s="8" t="n">
        <v>0</v>
      </c>
      <c r="O591" s="8" t="n">
        <v>0</v>
      </c>
      <c r="P591" s="7" t="n">
        <v>2026</v>
      </c>
    </row>
    <row r="592" ht="21" customHeight="1">
      <c r="A592" s="10" t="inlineStr">
        <is>
          <t>W4102651216</t>
        </is>
      </c>
      <c r="B592" s="10" t="inlineStr">
        <is>
          <t>Bagger CAT 326 07 FLN</t>
        </is>
      </c>
      <c r="C592" s="10" t="inlineStr">
        <is>
          <t>Berlin</t>
        </is>
      </c>
      <c r="D592" s="8" t="n">
        <v>0</v>
      </c>
      <c r="E592" s="8" t="n">
        <v>0</v>
      </c>
      <c r="F592" s="8" t="n">
        <v>0</v>
      </c>
      <c r="G592" s="8" t="n">
        <v>-2570</v>
      </c>
      <c r="H592" s="8" t="n">
        <v>0</v>
      </c>
      <c r="I592" s="8" t="n">
        <v>0</v>
      </c>
      <c r="J592" s="8" t="n">
        <v>0</v>
      </c>
      <c r="K592" s="8" t="n">
        <v>-2570</v>
      </c>
      <c r="L592" s="8" t="n">
        <v>0</v>
      </c>
      <c r="M592" s="8" t="n">
        <v>0</v>
      </c>
      <c r="N592" s="8" t="n">
        <v>0</v>
      </c>
      <c r="O592" s="8" t="n">
        <v>0</v>
      </c>
      <c r="P592" s="7" t="n">
        <v>2026</v>
      </c>
    </row>
    <row r="593" ht="21" customHeight="1">
      <c r="A593" s="10" t="inlineStr">
        <is>
          <t>W4102652709</t>
        </is>
      </c>
      <c r="B593" s="10" t="inlineStr">
        <is>
          <t>CB-TV 96 Remault Kangoo</t>
        </is>
      </c>
      <c r="C593" s="10" t="inlineStr">
        <is>
          <t>Berlin</t>
        </is>
      </c>
      <c r="D593" s="8" t="n">
        <v>0</v>
      </c>
      <c r="E593" s="8" t="n">
        <v>0</v>
      </c>
      <c r="F593" s="8" t="n">
        <v>0</v>
      </c>
      <c r="G593" s="8" t="n">
        <v>-778.71</v>
      </c>
      <c r="H593" s="8" t="n">
        <v>0</v>
      </c>
      <c r="I593" s="8" t="n">
        <v>0</v>
      </c>
      <c r="J593" s="8" t="n">
        <v>0</v>
      </c>
      <c r="K593" s="8" t="n">
        <v>-778.71</v>
      </c>
      <c r="L593" s="8" t="n">
        <v>0</v>
      </c>
      <c r="M593" s="8" t="n">
        <v>0</v>
      </c>
      <c r="N593" s="8" t="n">
        <v>0</v>
      </c>
      <c r="O593" s="8" t="n">
        <v>0</v>
      </c>
      <c r="P593" s="7" t="n">
        <v>2026</v>
      </c>
    </row>
    <row r="594" ht="21" customHeight="1">
      <c r="A594" s="10" t="inlineStr">
        <is>
          <t>W4102654411</t>
        </is>
      </c>
      <c r="B594" s="10" t="inlineStr">
        <is>
          <t>VVK Berlin</t>
        </is>
      </c>
      <c r="C594" s="10" t="inlineStr">
        <is>
          <t>Berlin</t>
        </is>
      </c>
      <c r="D594" s="8" t="n">
        <v>0</v>
      </c>
      <c r="E594" s="8" t="n">
        <v>0</v>
      </c>
      <c r="F594" s="8" t="n">
        <v>0</v>
      </c>
      <c r="G594" s="8" t="n">
        <v>-34906.06</v>
      </c>
      <c r="H594" s="8" t="n">
        <v>0</v>
      </c>
      <c r="I594" s="8" t="n">
        <v>0</v>
      </c>
      <c r="J594" s="8" t="n">
        <v>0</v>
      </c>
      <c r="K594" s="8" t="n">
        <v>-34906.06</v>
      </c>
      <c r="L594" s="8" t="n">
        <v>0</v>
      </c>
      <c r="M594" s="8" t="n">
        <v>0</v>
      </c>
      <c r="N594" s="8" t="n">
        <v>0</v>
      </c>
      <c r="O594" s="8" t="n">
        <v>0</v>
      </c>
      <c r="P594" s="7" t="n">
        <v>2026</v>
      </c>
    </row>
    <row r="595" ht="21" customHeight="1">
      <c r="A595" s="10" t="inlineStr">
        <is>
          <t>W4102654611</t>
        </is>
      </c>
      <c r="B595" s="10" t="inlineStr">
        <is>
          <t>Lager Region Berlin</t>
        </is>
      </c>
      <c r="C595" s="10" t="inlineStr">
        <is>
          <t>Berlin</t>
        </is>
      </c>
      <c r="D595" s="8" t="n">
        <v>0</v>
      </c>
      <c r="E595" s="8" t="n">
        <v>0</v>
      </c>
      <c r="F595" s="8" t="n">
        <v>0</v>
      </c>
      <c r="G595" s="8" t="n">
        <v>-54513.8</v>
      </c>
      <c r="H595" s="8" t="n">
        <v>0</v>
      </c>
      <c r="I595" s="8" t="n">
        <v>0</v>
      </c>
      <c r="J595" s="8" t="n">
        <v>0</v>
      </c>
      <c r="K595" s="8" t="n">
        <v>-54513.8</v>
      </c>
      <c r="L595" s="8" t="n">
        <v>0</v>
      </c>
      <c r="M595" s="8" t="n">
        <v>0</v>
      </c>
      <c r="N595" s="8" t="n">
        <v>0</v>
      </c>
      <c r="O595" s="8" t="n">
        <v>0</v>
      </c>
      <c r="P595" s="7" t="n">
        <v>2026</v>
      </c>
    </row>
    <row r="596" ht="21" customHeight="1">
      <c r="A596" s="10" t="inlineStr">
        <is>
          <t>W4102654945</t>
        </is>
      </c>
      <c r="B596" s="10" t="inlineStr">
        <is>
          <t>CB- TV 300E Hr. Kemper Mercedes</t>
        </is>
      </c>
      <c r="C596" s="10" t="inlineStr">
        <is>
          <t>Berlin</t>
        </is>
      </c>
      <c r="D596" s="8" t="n">
        <v>0</v>
      </c>
      <c r="E596" s="8" t="n">
        <v>0</v>
      </c>
      <c r="F596" s="8" t="n">
        <v>0</v>
      </c>
      <c r="G596" s="8" t="n">
        <v>-15640.24</v>
      </c>
      <c r="H596" s="8" t="n">
        <v>0</v>
      </c>
      <c r="I596" s="8" t="n">
        <v>0</v>
      </c>
      <c r="J596" s="8" t="n">
        <v>0</v>
      </c>
      <c r="K596" s="8" t="n">
        <v>-15640.24</v>
      </c>
      <c r="L596" s="8" t="n">
        <v>0</v>
      </c>
      <c r="M596" s="8" t="n">
        <v>0</v>
      </c>
      <c r="N596" s="8" t="n">
        <v>0</v>
      </c>
      <c r="O596" s="8" t="n">
        <v>0</v>
      </c>
      <c r="P596" s="7" t="n">
        <v>2026</v>
      </c>
    </row>
    <row r="597" ht="21" customHeight="1">
      <c r="A597" s="10" t="inlineStr">
        <is>
          <t>W4102654946</t>
        </is>
      </c>
      <c r="B597" s="10" t="inlineStr">
        <is>
          <t>CB-TV 65 Hr Braun</t>
        </is>
      </c>
      <c r="C597" s="10" t="inlineStr">
        <is>
          <t>Berlin</t>
        </is>
      </c>
      <c r="D597" s="8" t="n">
        <v>0</v>
      </c>
      <c r="E597" s="8" t="n">
        <v>0</v>
      </c>
      <c r="F597" s="8" t="n">
        <v>0</v>
      </c>
      <c r="G597" s="8" t="n">
        <v>-6616.91</v>
      </c>
      <c r="H597" s="8" t="n">
        <v>0</v>
      </c>
      <c r="I597" s="8" t="n">
        <v>0</v>
      </c>
      <c r="J597" s="8" t="n">
        <v>0</v>
      </c>
      <c r="K597" s="8" t="n">
        <v>-6616.91</v>
      </c>
      <c r="L597" s="8" t="n">
        <v>0</v>
      </c>
      <c r="M597" s="8" t="n">
        <v>0</v>
      </c>
      <c r="N597" s="8" t="n">
        <v>0</v>
      </c>
      <c r="O597" s="8" t="n">
        <v>0</v>
      </c>
      <c r="P597" s="7" t="n">
        <v>2026</v>
      </c>
    </row>
    <row r="598" ht="21" customHeight="1">
      <c r="A598" s="10" t="inlineStr">
        <is>
          <t>W4102654947</t>
        </is>
      </c>
      <c r="B598" s="10" t="inlineStr">
        <is>
          <t>CB-TV 200 Hr. Adil</t>
        </is>
      </c>
      <c r="C598" s="10" t="inlineStr">
        <is>
          <t>Berlin</t>
        </is>
      </c>
      <c r="D598" s="8" t="n">
        <v>0</v>
      </c>
      <c r="E598" s="8" t="n">
        <v>0</v>
      </c>
      <c r="F598" s="8" t="n">
        <v>0</v>
      </c>
      <c r="G598" s="8" t="n">
        <v>-3949</v>
      </c>
      <c r="H598" s="8" t="n">
        <v>0</v>
      </c>
      <c r="I598" s="8" t="n">
        <v>0</v>
      </c>
      <c r="J598" s="8" t="n">
        <v>0</v>
      </c>
      <c r="K598" s="8" t="n">
        <v>-3949</v>
      </c>
      <c r="L598" s="8" t="n">
        <v>0</v>
      </c>
      <c r="M598" s="8" t="n">
        <v>0</v>
      </c>
      <c r="N598" s="8" t="n">
        <v>0</v>
      </c>
      <c r="O598" s="8" t="n">
        <v>0</v>
      </c>
      <c r="P598" s="7" t="n">
        <v>2026</v>
      </c>
    </row>
    <row r="599" ht="21" customHeight="1">
      <c r="A599" s="10" t="n"/>
      <c r="B599" s="10" t="n"/>
      <c r="C599" s="10" t="n"/>
      <c r="D599" s="8" t="n">
        <v>0</v>
      </c>
      <c r="E599" s="8" t="n">
        <v>0</v>
      </c>
      <c r="F599" s="8" t="n">
        <v>-128.47</v>
      </c>
      <c r="G599" s="8" t="n">
        <v>-3256845.05</v>
      </c>
      <c r="H599" s="8" t="n">
        <v>0</v>
      </c>
      <c r="I599" s="8" t="n">
        <v>0</v>
      </c>
      <c r="J599" s="8" t="n">
        <v>-128.47</v>
      </c>
      <c r="K599" s="8" t="n">
        <v>-3256845.05</v>
      </c>
      <c r="L599" s="8" t="n">
        <v>0</v>
      </c>
      <c r="M599" s="8" t="n">
        <v>0</v>
      </c>
      <c r="N599" s="8" t="n">
        <v>0</v>
      </c>
      <c r="O599" s="8" t="n">
        <v>0</v>
      </c>
      <c r="P599" s="7" t="n">
        <v>2026</v>
      </c>
    </row>
    <row r="600" ht="21" customHeight="1">
      <c r="A600" s="10" t="inlineStr">
        <is>
          <t>W4102304949</t>
        </is>
      </c>
      <c r="B600" s="10" t="n"/>
      <c r="C600" s="10" t="n"/>
      <c r="D600" s="8" t="n">
        <v>0</v>
      </c>
      <c r="E600" s="8" t="n">
        <v>0</v>
      </c>
      <c r="F600" s="8" t="n">
        <v>0</v>
      </c>
      <c r="G600" s="8" t="n">
        <v>-1187.54</v>
      </c>
      <c r="H600" s="8" t="n">
        <v>0</v>
      </c>
      <c r="I600" s="8" t="n">
        <v>0</v>
      </c>
      <c r="J600" s="8" t="n">
        <v>0</v>
      </c>
      <c r="K600" s="8" t="n">
        <v>-1187.54</v>
      </c>
      <c r="L600" s="8" t="n">
        <v>0</v>
      </c>
      <c r="M600" s="8" t="n">
        <v>0</v>
      </c>
      <c r="N600" s="8" t="n">
        <v>0</v>
      </c>
      <c r="O600" s="8" t="n">
        <v>0</v>
      </c>
      <c r="P600" s="7" t="n">
        <v>2026</v>
      </c>
    </row>
    <row r="601" ht="21" customHeight="1">
      <c r="A601" s="10" t="inlineStr">
        <is>
          <t>W4102604613</t>
        </is>
      </c>
      <c r="B601" s="10" t="n"/>
      <c r="C601" s="10" t="n"/>
      <c r="D601" s="8" t="n">
        <v>0</v>
      </c>
      <c r="E601" s="8" t="n">
        <v>0</v>
      </c>
      <c r="F601" s="8" t="n">
        <v>0</v>
      </c>
      <c r="G601" s="8" t="n">
        <v>-2192.04</v>
      </c>
      <c r="H601" s="8" t="n">
        <v>0</v>
      </c>
      <c r="I601" s="8" t="n">
        <v>0</v>
      </c>
      <c r="J601" s="8" t="n">
        <v>0</v>
      </c>
      <c r="K601" s="8" t="n">
        <v>-2192.04</v>
      </c>
      <c r="L601" s="8" t="n">
        <v>0</v>
      </c>
      <c r="M601" s="8" t="n">
        <v>0</v>
      </c>
      <c r="N601" s="8" t="n">
        <v>0</v>
      </c>
      <c r="O601" s="8" t="n">
        <v>0</v>
      </c>
      <c r="P601" s="7" t="n">
        <v>2026</v>
      </c>
    </row>
    <row r="602" ht="21" customHeight="1">
      <c r="A602" s="10" t="inlineStr">
        <is>
          <t>W4102607081</t>
        </is>
      </c>
      <c r="B602" s="10" t="n"/>
      <c r="C602" s="10" t="n"/>
      <c r="D602" s="8" t="n">
        <v>0</v>
      </c>
      <c r="E602" s="8" t="n">
        <v>0</v>
      </c>
      <c r="F602" s="8" t="n">
        <v>0</v>
      </c>
      <c r="G602" s="8" t="n">
        <v>0</v>
      </c>
      <c r="H602" s="8" t="n">
        <v>0</v>
      </c>
      <c r="I602" s="8" t="n">
        <v>0</v>
      </c>
      <c r="J602" s="8" t="n">
        <v>0</v>
      </c>
      <c r="K602" s="8" t="n">
        <v>0</v>
      </c>
      <c r="L602" s="8" t="n">
        <v>0</v>
      </c>
      <c r="M602" s="8" t="n">
        <v>0</v>
      </c>
      <c r="N602" s="8" t="n">
        <v>0</v>
      </c>
      <c r="O602" s="8" t="n">
        <v>0</v>
      </c>
      <c r="P602" s="7" t="n">
        <v>2026</v>
      </c>
    </row>
    <row r="603" ht="21" customHeight="1">
      <c r="A603" s="10" t="inlineStr">
        <is>
          <t>W4102504978</t>
        </is>
      </c>
      <c r="B603" s="10" t="n"/>
      <c r="C603" s="10" t="n"/>
      <c r="D603" s="8" t="n">
        <v>0</v>
      </c>
      <c r="E603" s="8" t="n">
        <v>0</v>
      </c>
      <c r="F603" s="8" t="n">
        <v>0</v>
      </c>
      <c r="G603" s="8" t="n">
        <v>-1002.99</v>
      </c>
      <c r="H603" s="8" t="n">
        <v>0</v>
      </c>
      <c r="I603" s="8" t="n">
        <v>0</v>
      </c>
      <c r="J603" s="8" t="n">
        <v>0</v>
      </c>
      <c r="K603" s="8" t="n">
        <v>-1002.99</v>
      </c>
      <c r="L603" s="8" t="n">
        <v>0</v>
      </c>
      <c r="M603" s="8" t="n">
        <v>0</v>
      </c>
      <c r="N603" s="8" t="n">
        <v>0</v>
      </c>
      <c r="O603" s="8" t="n">
        <v>0</v>
      </c>
      <c r="P603" s="7" t="n">
        <v>2026</v>
      </c>
    </row>
    <row r="604" ht="21" customHeight="1">
      <c r="A604" s="10" t="inlineStr">
        <is>
          <t>P4102307452</t>
        </is>
      </c>
      <c r="B604" s="10" t="n"/>
      <c r="C604" s="10" t="n"/>
      <c r="D604" s="8" t="n">
        <v>0</v>
      </c>
      <c r="E604" s="8" t="n">
        <v>0</v>
      </c>
      <c r="F604" s="8" t="n">
        <v>0</v>
      </c>
      <c r="G604" s="8" t="n">
        <v>-349.4</v>
      </c>
      <c r="H604" s="8" t="n">
        <v>0</v>
      </c>
      <c r="I604" s="8" t="n">
        <v>0</v>
      </c>
      <c r="J604" s="8" t="n">
        <v>0</v>
      </c>
      <c r="K604" s="8" t="n">
        <v>-349.4</v>
      </c>
      <c r="L604" s="8" t="n">
        <v>0</v>
      </c>
      <c r="M604" s="8" t="n">
        <v>0</v>
      </c>
      <c r="N604" s="8" t="n">
        <v>0</v>
      </c>
      <c r="O604" s="8" t="n">
        <v>0</v>
      </c>
      <c r="P604" s="7" t="n">
        <v>2026</v>
      </c>
    </row>
    <row r="605" ht="21" customHeight="1">
      <c r="A605" s="10" t="inlineStr">
        <is>
          <t>W4102309045</t>
        </is>
      </c>
      <c r="B605" s="10" t="n"/>
      <c r="C605" s="10" t="n"/>
      <c r="D605" s="8" t="n">
        <v>0</v>
      </c>
      <c r="E605" s="8" t="n">
        <v>0</v>
      </c>
      <c r="F605" s="8" t="n">
        <v>0</v>
      </c>
      <c r="G605" s="8" t="n">
        <v>-77.84999999999999</v>
      </c>
      <c r="H605" s="8" t="n">
        <v>0</v>
      </c>
      <c r="I605" s="8" t="n">
        <v>0</v>
      </c>
      <c r="J605" s="8" t="n">
        <v>0</v>
      </c>
      <c r="K605" s="8" t="n">
        <v>-77.84999999999999</v>
      </c>
      <c r="L605" s="8" t="n">
        <v>0</v>
      </c>
      <c r="M605" s="8" t="n">
        <v>0</v>
      </c>
      <c r="N605" s="8" t="n">
        <v>0</v>
      </c>
      <c r="O605" s="8" t="n">
        <v>0</v>
      </c>
      <c r="P605" s="7" t="n">
        <v>2026</v>
      </c>
    </row>
    <row r="606" ht="21" customHeight="1">
      <c r="A606" s="10" t="inlineStr">
        <is>
          <t>W4102604501</t>
        </is>
      </c>
      <c r="B606" s="10" t="n"/>
      <c r="C606" s="10" t="n"/>
      <c r="D606" s="8" t="n">
        <v>0</v>
      </c>
      <c r="E606" s="8" t="n">
        <v>0</v>
      </c>
      <c r="F606" s="8" t="n">
        <v>0</v>
      </c>
      <c r="G606" s="8" t="n">
        <v>-33.46</v>
      </c>
      <c r="H606" s="8" t="n">
        <v>0</v>
      </c>
      <c r="I606" s="8" t="n">
        <v>0</v>
      </c>
      <c r="J606" s="8" t="n">
        <v>0</v>
      </c>
      <c r="K606" s="8" t="n">
        <v>-33.46</v>
      </c>
      <c r="L606" s="8" t="n">
        <v>0</v>
      </c>
      <c r="M606" s="8" t="n">
        <v>0</v>
      </c>
      <c r="N606" s="8" t="n">
        <v>0</v>
      </c>
      <c r="O606" s="8" t="n">
        <v>0</v>
      </c>
      <c r="P606" s="7" t="n">
        <v>2026</v>
      </c>
    </row>
    <row r="607" ht="21" customHeight="1">
      <c r="A607" s="10" t="inlineStr">
        <is>
          <t>W4102304948</t>
        </is>
      </c>
      <c r="B607" s="10" t="n"/>
      <c r="C607" s="10" t="n"/>
      <c r="D607" s="8" t="n">
        <v>0</v>
      </c>
      <c r="E607" s="8" t="n">
        <v>0</v>
      </c>
      <c r="F607" s="8" t="n">
        <v>0</v>
      </c>
      <c r="G607" s="8" t="n">
        <v>-180.18</v>
      </c>
      <c r="H607" s="8" t="n">
        <v>0</v>
      </c>
      <c r="I607" s="8" t="n">
        <v>0</v>
      </c>
      <c r="J607" s="8" t="n">
        <v>0</v>
      </c>
      <c r="K607" s="8" t="n">
        <v>-180.18</v>
      </c>
      <c r="L607" s="8" t="n">
        <v>0</v>
      </c>
      <c r="M607" s="8" t="n">
        <v>0</v>
      </c>
      <c r="N607" s="8" t="n">
        <v>0</v>
      </c>
      <c r="O607" s="8" t="n">
        <v>0</v>
      </c>
      <c r="P607" s="7" t="n">
        <v>2026</v>
      </c>
    </row>
    <row r="608" ht="21" customHeight="1">
      <c r="A608" s="10" t="inlineStr">
        <is>
          <t>P4102608277</t>
        </is>
      </c>
      <c r="B608" s="10" t="n"/>
      <c r="C608" s="10" t="n"/>
      <c r="D608" s="8" t="n">
        <v>0</v>
      </c>
      <c r="E608" s="8" t="n">
        <v>0</v>
      </c>
      <c r="F608" s="8" t="n">
        <v>9367.07</v>
      </c>
      <c r="G608" s="8" t="n">
        <v>-5289.44</v>
      </c>
      <c r="H608" s="8" t="n">
        <v>0</v>
      </c>
      <c r="I608" s="8" t="n">
        <v>0</v>
      </c>
      <c r="J608" s="8" t="n">
        <v>9367.07</v>
      </c>
      <c r="K608" s="8" t="n">
        <v>-5289.44</v>
      </c>
      <c r="L608" s="8" t="n">
        <v>0</v>
      </c>
      <c r="M608" s="8" t="n">
        <v>0</v>
      </c>
      <c r="N608" s="8" t="n">
        <v>0</v>
      </c>
      <c r="O608" s="8" t="n">
        <v>0</v>
      </c>
      <c r="P608" s="7" t="n">
        <v>2026</v>
      </c>
    </row>
    <row r="609" ht="21" customHeight="1">
      <c r="A609" s="10" t="inlineStr">
        <is>
          <t>W4102307366</t>
        </is>
      </c>
      <c r="B609" s="10" t="n"/>
      <c r="C609" s="10" t="n"/>
      <c r="D609" s="8" t="n">
        <v>0</v>
      </c>
      <c r="E609" s="8" t="n">
        <v>0</v>
      </c>
      <c r="F609" s="8" t="n">
        <v>0</v>
      </c>
      <c r="G609" s="8" t="n">
        <v>0</v>
      </c>
      <c r="H609" s="8" t="n">
        <v>0</v>
      </c>
      <c r="I609" s="8" t="n">
        <v>0</v>
      </c>
      <c r="J609" s="8" t="n">
        <v>0</v>
      </c>
      <c r="K609" s="8" t="n">
        <v>0</v>
      </c>
      <c r="L609" s="8" t="n">
        <v>0</v>
      </c>
      <c r="M609" s="8" t="n">
        <v>0</v>
      </c>
      <c r="N609" s="8" t="n">
        <v>0</v>
      </c>
      <c r="O609" s="8" t="n">
        <v>0</v>
      </c>
      <c r="P609" s="7" t="n">
        <v>2026</v>
      </c>
    </row>
    <row r="610" ht="21" customHeight="1">
      <c r="A610" s="10" t="inlineStr">
        <is>
          <t>P4102607081</t>
        </is>
      </c>
      <c r="B610" s="10" t="n"/>
      <c r="C610" s="10" t="n"/>
      <c r="D610" s="8" t="n">
        <v>0</v>
      </c>
      <c r="E610" s="8" t="n">
        <v>0</v>
      </c>
      <c r="F610" s="8" t="n">
        <v>0</v>
      </c>
      <c r="G610" s="8" t="n">
        <v>-177.57</v>
      </c>
      <c r="H610" s="8" t="n">
        <v>0</v>
      </c>
      <c r="I610" s="8" t="n">
        <v>0</v>
      </c>
      <c r="J610" s="8" t="n">
        <v>0</v>
      </c>
      <c r="K610" s="8" t="n">
        <v>-177.57</v>
      </c>
      <c r="L610" s="8" t="n">
        <v>0</v>
      </c>
      <c r="M610" s="8" t="n">
        <v>0</v>
      </c>
      <c r="N610" s="8" t="n">
        <v>0</v>
      </c>
      <c r="O610" s="8" t="n">
        <v>0</v>
      </c>
      <c r="P610" s="7" t="n">
        <v>2026</v>
      </c>
    </row>
    <row r="611" ht="21" customHeight="1">
      <c r="A611" s="10" t="inlineStr">
        <is>
          <t>P4102307451</t>
        </is>
      </c>
      <c r="B611" s="10" t="n"/>
      <c r="C611" s="10" t="n"/>
      <c r="D611" s="8" t="n">
        <v>0</v>
      </c>
      <c r="E611" s="8" t="n">
        <v>0</v>
      </c>
      <c r="F611" s="8" t="n">
        <v>0</v>
      </c>
      <c r="G611" s="8" t="n">
        <v>-2162</v>
      </c>
      <c r="H611" s="8" t="n">
        <v>0</v>
      </c>
      <c r="I611" s="8" t="n">
        <v>0</v>
      </c>
      <c r="J611" s="8" t="n">
        <v>0</v>
      </c>
      <c r="K611" s="8" t="n">
        <v>-2162</v>
      </c>
      <c r="L611" s="8" t="n">
        <v>0</v>
      </c>
      <c r="M611" s="8" t="n">
        <v>0</v>
      </c>
      <c r="N611" s="8" t="n">
        <v>0</v>
      </c>
      <c r="O611" s="8" t="n">
        <v>0</v>
      </c>
      <c r="P611" s="7" t="n">
        <v>2026</v>
      </c>
    </row>
    <row r="612" ht="21" customHeight="1">
      <c r="A612" s="10" t="inlineStr">
        <is>
          <t>P4102157472</t>
        </is>
      </c>
      <c r="B612" s="10" t="n"/>
      <c r="C612" s="10" t="n"/>
      <c r="D612" s="8" t="n">
        <v>0</v>
      </c>
      <c r="E612" s="8" t="n">
        <v>0</v>
      </c>
      <c r="F612" s="8" t="n">
        <v>13000</v>
      </c>
      <c r="G612" s="8" t="n">
        <v>-6383.76</v>
      </c>
      <c r="H612" s="8" t="n">
        <v>0</v>
      </c>
      <c r="I612" s="8" t="n">
        <v>0</v>
      </c>
      <c r="J612" s="8" t="n">
        <v>13000</v>
      </c>
      <c r="K612" s="8" t="n">
        <v>-6383.76</v>
      </c>
      <c r="L612" s="8" t="n">
        <v>0</v>
      </c>
      <c r="M612" s="8" t="n">
        <v>0</v>
      </c>
      <c r="N612" s="8" t="n">
        <v>0</v>
      </c>
      <c r="O612" s="8" t="n">
        <v>0</v>
      </c>
      <c r="P612" s="7" t="n">
        <v>2026</v>
      </c>
    </row>
    <row r="613" ht="21" customHeight="1">
      <c r="A613" s="10" t="inlineStr">
        <is>
          <t>P4102608278</t>
        </is>
      </c>
      <c r="B613" s="10" t="n"/>
      <c r="C613" s="10" t="n"/>
      <c r="D613" s="8" t="n">
        <v>0</v>
      </c>
      <c r="E613" s="8" t="n">
        <v>0</v>
      </c>
      <c r="F613" s="8" t="n">
        <v>0</v>
      </c>
      <c r="G613" s="8" t="n">
        <v>-1010</v>
      </c>
      <c r="H613" s="8" t="n">
        <v>0</v>
      </c>
      <c r="I613" s="8" t="n">
        <v>0</v>
      </c>
      <c r="J613" s="8" t="n">
        <v>0</v>
      </c>
      <c r="K613" s="8" t="n">
        <v>-1010</v>
      </c>
      <c r="L613" s="8" t="n">
        <v>0</v>
      </c>
      <c r="M613" s="8" t="n">
        <v>0</v>
      </c>
      <c r="N613" s="8" t="n">
        <v>0</v>
      </c>
      <c r="O613" s="8" t="n">
        <v>0</v>
      </c>
      <c r="P613" s="7" t="n">
        <v>2026</v>
      </c>
    </row>
    <row r="614" ht="21" customHeight="1">
      <c r="A614" s="10" t="inlineStr">
        <is>
          <t>W4102307414</t>
        </is>
      </c>
      <c r="B614" s="10" t="n"/>
      <c r="C614" s="10" t="n"/>
      <c r="D614" s="8" t="n">
        <v>0</v>
      </c>
      <c r="E614" s="8" t="n">
        <v>0</v>
      </c>
      <c r="F614" s="8" t="n">
        <v>0</v>
      </c>
      <c r="G614" s="8" t="n">
        <v>-65.02</v>
      </c>
      <c r="H614" s="8" t="n">
        <v>0</v>
      </c>
      <c r="I614" s="8" t="n">
        <v>0</v>
      </c>
      <c r="J614" s="8" t="n">
        <v>0</v>
      </c>
      <c r="K614" s="8" t="n">
        <v>-65.02</v>
      </c>
      <c r="L614" s="8" t="n">
        <v>0</v>
      </c>
      <c r="M614" s="8" t="n">
        <v>0</v>
      </c>
      <c r="N614" s="8" t="n">
        <v>0</v>
      </c>
      <c r="O614" s="8" t="n">
        <v>0</v>
      </c>
      <c r="P614" s="7" t="n">
        <v>2026</v>
      </c>
    </row>
    <row r="615" ht="21" customHeight="1">
      <c r="A615" s="10" t="inlineStr">
        <is>
          <t>P4102157470</t>
        </is>
      </c>
      <c r="B615" s="10" t="n"/>
      <c r="C615" s="10" t="n"/>
      <c r="D615" s="8" t="n">
        <v>0</v>
      </c>
      <c r="E615" s="8" t="n">
        <v>0</v>
      </c>
      <c r="F615" s="8" t="n">
        <v>40500</v>
      </c>
      <c r="G615" s="8" t="n">
        <v>-21238.51</v>
      </c>
      <c r="H615" s="8" t="n">
        <v>0</v>
      </c>
      <c r="I615" s="8" t="n">
        <v>0</v>
      </c>
      <c r="J615" s="8" t="n">
        <v>40500</v>
      </c>
      <c r="K615" s="8" t="n">
        <v>-21238.51</v>
      </c>
      <c r="L615" s="8" t="n">
        <v>0</v>
      </c>
      <c r="M615" s="8" t="n">
        <v>0</v>
      </c>
      <c r="N615" s="8" t="n">
        <v>0</v>
      </c>
      <c r="O615" s="8" t="n">
        <v>0</v>
      </c>
      <c r="P615" s="7" t="n">
        <v>2026</v>
      </c>
    </row>
    <row r="616" ht="21" customHeight="1">
      <c r="A616" s="10" t="inlineStr">
        <is>
          <t>W4102504110</t>
        </is>
      </c>
      <c r="B616" s="10" t="n"/>
      <c r="C616" s="10" t="n"/>
      <c r="D616" s="8" t="n">
        <v>0</v>
      </c>
      <c r="E616" s="8" t="n">
        <v>0</v>
      </c>
      <c r="F616" s="8" t="n">
        <v>0</v>
      </c>
      <c r="G616" s="8" t="n">
        <v>-79.34</v>
      </c>
      <c r="H616" s="8" t="n">
        <v>0</v>
      </c>
      <c r="I616" s="8" t="n">
        <v>0</v>
      </c>
      <c r="J616" s="8" t="n">
        <v>0</v>
      </c>
      <c r="K616" s="8" t="n">
        <v>-79.34</v>
      </c>
      <c r="L616" s="8" t="n">
        <v>0</v>
      </c>
      <c r="M616" s="8" t="n">
        <v>0</v>
      </c>
      <c r="N616" s="8" t="n">
        <v>0</v>
      </c>
      <c r="O616" s="8" t="n">
        <v>0</v>
      </c>
      <c r="P616" s="7" t="n">
        <v>2026</v>
      </c>
    </row>
    <row r="617" ht="21" customHeight="1">
      <c r="A617" s="10" t="inlineStr">
        <is>
          <t>W4102504977</t>
        </is>
      </c>
      <c r="B617" s="10" t="n"/>
      <c r="C617" s="10" t="n"/>
      <c r="D617" s="8" t="n">
        <v>0</v>
      </c>
      <c r="E617" s="8" t="n">
        <v>0</v>
      </c>
      <c r="F617" s="8" t="n">
        <v>0</v>
      </c>
      <c r="G617" s="8" t="n">
        <v>-3282.09</v>
      </c>
      <c r="H617" s="8" t="n">
        <v>0</v>
      </c>
      <c r="I617" s="8" t="n">
        <v>0</v>
      </c>
      <c r="J617" s="8" t="n">
        <v>0</v>
      </c>
      <c r="K617" s="8" t="n">
        <v>-3282.09</v>
      </c>
      <c r="L617" s="8" t="n">
        <v>0</v>
      </c>
      <c r="M617" s="8" t="n">
        <v>0</v>
      </c>
      <c r="N617" s="8" t="n">
        <v>0</v>
      </c>
      <c r="O617" s="8" t="n">
        <v>0</v>
      </c>
      <c r="P617" s="7" t="n">
        <v>2026</v>
      </c>
    </row>
    <row r="621" ht="24" customHeight="1">
      <c r="A621" s="58" t="inlineStr">
        <is>
          <t>v_kontenplan_abweichung</t>
        </is>
      </c>
    </row>
    <row r="622" ht="36" customHeight="1">
      <c r="A622" s="3" t="inlineStr">
        <is>
          <t>Keine Datensätze</t>
        </is>
      </c>
    </row>
    <row r="623" ht="21" customHeight="1">
      <c r="A623" s="10" t="n"/>
    </row>
    <row r="627" ht="24" customHeight="1">
      <c r="A627" s="58" t="inlineStr">
        <is>
          <t>sap_bilanz_072026</t>
        </is>
      </c>
    </row>
    <row r="628" ht="36" customHeight="1">
      <c r="A628" s="3" t="inlineStr">
        <is>
          <t>typ</t>
        </is>
      </c>
      <c r="B628" s="3" t="inlineStr">
        <is>
          <t>pos</t>
        </is>
      </c>
      <c r="C628" s="3" t="inlineStr">
        <is>
          <t>text</t>
        </is>
      </c>
      <c r="D628" s="3" t="inlineStr">
        <is>
          <t>saldo</t>
        </is>
      </c>
      <c r="E628" s="3" t="inlineStr">
        <is>
          <t>stufe</t>
        </is>
      </c>
      <c r="F628" s="3" t="inlineStr">
        <is>
          <t>order</t>
        </is>
      </c>
      <c r="G628" s="3" t="inlineStr">
        <is>
          <t>summe</t>
        </is>
      </c>
      <c r="H628" s="3" t="inlineStr">
        <is>
          <t>konto</t>
        </is>
      </c>
    </row>
    <row r="629" ht="21" customHeight="1">
      <c r="A629" s="10" t="inlineStr">
        <is>
          <t>P</t>
        </is>
      </c>
      <c r="B629" s="10" t="inlineStr">
        <is>
          <t>0010000000</t>
        </is>
      </c>
      <c r="C629" s="10" t="inlineStr">
        <is>
          <t>A K T I V A</t>
        </is>
      </c>
      <c r="D629" s="8" t="n">
        <v>0</v>
      </c>
      <c r="E629" s="8" t="n">
        <v>2</v>
      </c>
      <c r="F629" s="8" t="n">
        <v>1</v>
      </c>
      <c r="G629" s="10" t="b">
        <v>0</v>
      </c>
      <c r="H629" s="10" t="n"/>
    </row>
    <row r="630" ht="21" customHeight="1">
      <c r="A630" s="10" t="inlineStr">
        <is>
          <t>P</t>
        </is>
      </c>
      <c r="B630" s="10" t="inlineStr">
        <is>
          <t>0010300000</t>
        </is>
      </c>
      <c r="C630" s="10" t="inlineStr">
        <is>
          <t>Anlagevermoegen</t>
        </is>
      </c>
      <c r="D630" s="8" t="n">
        <v>0</v>
      </c>
      <c r="E630" s="8" t="n">
        <v>3</v>
      </c>
      <c r="F630" s="8" t="n">
        <v>2</v>
      </c>
      <c r="G630" s="10" t="b">
        <v>0</v>
      </c>
      <c r="H630" s="10" t="n"/>
    </row>
    <row r="631" ht="21" customHeight="1">
      <c r="A631" s="10" t="inlineStr">
        <is>
          <t>P</t>
        </is>
      </c>
      <c r="B631" s="10" t="inlineStr">
        <is>
          <t>0010320000</t>
        </is>
      </c>
      <c r="C631" s="10" t="inlineStr">
        <is>
          <t>Sachanlagen</t>
        </is>
      </c>
      <c r="D631" s="8" t="n">
        <v>0</v>
      </c>
      <c r="E631" s="8" t="n">
        <v>4</v>
      </c>
      <c r="F631" s="8" t="n">
        <v>3</v>
      </c>
      <c r="G631" s="10" t="b">
        <v>0</v>
      </c>
      <c r="H631" s="10" t="n"/>
    </row>
    <row r="632" ht="21" customHeight="1">
      <c r="A632" s="10" t="inlineStr">
        <is>
          <t>P</t>
        </is>
      </c>
      <c r="B632" s="10" t="inlineStr">
        <is>
          <t>0010320200</t>
        </is>
      </c>
      <c r="C632" s="10" t="inlineStr">
        <is>
          <t>Technische Anlagen und Maschinen</t>
        </is>
      </c>
      <c r="D632" s="8" t="n">
        <v>0</v>
      </c>
      <c r="E632" s="8" t="n">
        <v>6</v>
      </c>
      <c r="F632" s="8" t="n">
        <v>4</v>
      </c>
      <c r="G632" s="10" t="b">
        <v>0</v>
      </c>
      <c r="H632" s="10" t="n"/>
    </row>
    <row r="633" ht="21" customHeight="1">
      <c r="A633" s="10" t="inlineStr">
        <is>
          <t>K</t>
        </is>
      </c>
      <c r="B633" s="10" t="inlineStr">
        <is>
          <t>0010320200</t>
        </is>
      </c>
      <c r="C633" s="10" t="inlineStr">
        <is>
          <t>021000 Maschinen</t>
        </is>
      </c>
      <c r="D633" s="8" t="n">
        <v>9130</v>
      </c>
      <c r="E633" s="8" t="n">
        <v>7</v>
      </c>
      <c r="F633" s="8" t="n">
        <v>5</v>
      </c>
      <c r="G633" s="10" t="n"/>
      <c r="H633" s="10" t="inlineStr">
        <is>
          <t>21000</t>
        </is>
      </c>
    </row>
    <row r="634" ht="21" customHeight="1">
      <c r="A634" s="10" t="inlineStr">
        <is>
          <t>K</t>
        </is>
      </c>
      <c r="B634" s="10" t="inlineStr">
        <is>
          <t>0010320200</t>
        </is>
      </c>
      <c r="C634" s="10" t="inlineStr">
        <is>
          <t>026000 Transportanlagen u.ä.</t>
        </is>
      </c>
      <c r="D634" s="8" t="n">
        <v>14286</v>
      </c>
      <c r="E634" s="8" t="n">
        <v>7</v>
      </c>
      <c r="F634" s="8" t="n">
        <v>6</v>
      </c>
      <c r="G634" s="10" t="n"/>
      <c r="H634" s="10" t="inlineStr">
        <is>
          <t>26000</t>
        </is>
      </c>
    </row>
    <row r="635" ht="21" customHeight="1">
      <c r="A635" s="10" t="inlineStr">
        <is>
          <t>K</t>
        </is>
      </c>
      <c r="B635" s="10" t="inlineStr">
        <is>
          <t>0010320200</t>
        </is>
      </c>
      <c r="C635" s="10" t="inlineStr">
        <is>
          <t>028000 Betriebsvorrichtungen</t>
        </is>
      </c>
      <c r="D635" s="8" t="n">
        <v>3852</v>
      </c>
      <c r="E635" s="8" t="n">
        <v>7</v>
      </c>
      <c r="F635" s="8" t="n">
        <v>7</v>
      </c>
      <c r="G635" s="10" t="n"/>
      <c r="H635" s="10" t="inlineStr">
        <is>
          <t>28000</t>
        </is>
      </c>
    </row>
    <row r="636" ht="21" customHeight="1">
      <c r="A636" s="10" t="inlineStr">
        <is>
          <t>P</t>
        </is>
      </c>
      <c r="B636" s="10" t="inlineStr">
        <is>
          <t>0010320200</t>
        </is>
      </c>
      <c r="C636" s="10" t="inlineStr">
        <is>
          <t>Summe Technische Anlagen und Maschinen</t>
        </is>
      </c>
      <c r="D636" s="8" t="n">
        <v>27268</v>
      </c>
      <c r="E636" s="8" t="n">
        <v>6</v>
      </c>
      <c r="F636" s="8" t="n">
        <v>8</v>
      </c>
      <c r="G636" s="10" t="b">
        <v>1</v>
      </c>
      <c r="H636" s="10" t="n"/>
    </row>
    <row r="637" ht="21" customHeight="1">
      <c r="A637" s="10" t="inlineStr">
        <is>
          <t>P</t>
        </is>
      </c>
      <c r="B637" s="10" t="inlineStr">
        <is>
          <t>0010320300</t>
        </is>
      </c>
      <c r="C637" s="10" t="inlineStr">
        <is>
          <t>Andere Anlagen, Betriebs- und Geschaefts-</t>
        </is>
      </c>
      <c r="D637" s="8" t="n">
        <v>0</v>
      </c>
      <c r="E637" s="8" t="n">
        <v>5</v>
      </c>
      <c r="F637" s="8" t="n">
        <v>9</v>
      </c>
      <c r="G637" s="10" t="b">
        <v>0</v>
      </c>
      <c r="H637" s="10" t="n"/>
    </row>
    <row r="638" ht="21" customHeight="1">
      <c r="A638" s="10" t="inlineStr">
        <is>
          <t>P</t>
        </is>
      </c>
      <c r="B638" s="10" t="inlineStr">
        <is>
          <t>0010320300</t>
        </is>
      </c>
      <c r="C638" s="10" t="inlineStr">
        <is>
          <t>ausstattung</t>
        </is>
      </c>
      <c r="D638" s="8" t="n">
        <v>0</v>
      </c>
      <c r="E638" s="8" t="n">
        <v>5</v>
      </c>
      <c r="F638" s="8" t="n">
        <v>10</v>
      </c>
      <c r="G638" s="10" t="b">
        <v>0</v>
      </c>
      <c r="H638" s="10" t="n"/>
    </row>
    <row r="639" ht="21" customHeight="1">
      <c r="A639" s="10" t="inlineStr">
        <is>
          <t>P</t>
        </is>
      </c>
      <c r="B639" s="10" t="inlineStr">
        <is>
          <t>0010320310</t>
        </is>
      </c>
      <c r="C639" s="10" t="inlineStr">
        <is>
          <t>Fahrzeuge</t>
        </is>
      </c>
      <c r="D639" s="8" t="n">
        <v>0</v>
      </c>
      <c r="E639" s="8" t="n">
        <v>6</v>
      </c>
      <c r="F639" s="8" t="n">
        <v>11</v>
      </c>
      <c r="G639" s="10" t="b">
        <v>0</v>
      </c>
      <c r="H639" s="10" t="n"/>
    </row>
    <row r="640" ht="21" customHeight="1">
      <c r="A640" s="10" t="inlineStr">
        <is>
          <t>K</t>
        </is>
      </c>
      <c r="B640" s="10" t="inlineStr">
        <is>
          <t>0010320310</t>
        </is>
      </c>
      <c r="C640" s="10" t="inlineStr">
        <is>
          <t>032000 PKW</t>
        </is>
      </c>
      <c r="D640" s="8" t="n">
        <v>6686</v>
      </c>
      <c r="E640" s="8" t="n">
        <v>7</v>
      </c>
      <c r="F640" s="8" t="n">
        <v>12</v>
      </c>
      <c r="G640" s="10" t="n"/>
      <c r="H640" s="10" t="inlineStr">
        <is>
          <t>32000</t>
        </is>
      </c>
    </row>
    <row r="641" ht="21" customHeight="1">
      <c r="A641" s="10" t="inlineStr">
        <is>
          <t>K</t>
        </is>
      </c>
      <c r="B641" s="10" t="inlineStr">
        <is>
          <t>0010320310</t>
        </is>
      </c>
      <c r="C641" s="10" t="inlineStr">
        <is>
          <t>035000 LKW</t>
        </is>
      </c>
      <c r="D641" s="8" t="n">
        <v>7044</v>
      </c>
      <c r="E641" s="8" t="n">
        <v>7</v>
      </c>
      <c r="F641" s="8" t="n">
        <v>13</v>
      </c>
      <c r="G641" s="10" t="n"/>
      <c r="H641" s="10" t="inlineStr">
        <is>
          <t>35000</t>
        </is>
      </c>
    </row>
    <row r="642" ht="21" customHeight="1">
      <c r="A642" s="10" t="inlineStr">
        <is>
          <t>K</t>
        </is>
      </c>
      <c r="B642" s="10" t="inlineStr">
        <is>
          <t>0010320310</t>
        </is>
      </c>
      <c r="C642" s="10" t="inlineStr">
        <is>
          <t>036000 Schneefahrzeuge</t>
        </is>
      </c>
      <c r="D642" s="8" t="n">
        <v>32878</v>
      </c>
      <c r="E642" s="8" t="n">
        <v>7</v>
      </c>
      <c r="F642" s="8" t="n">
        <v>14</v>
      </c>
      <c r="G642" s="10" t="n"/>
      <c r="H642" s="10" t="inlineStr">
        <is>
          <t>36000</t>
        </is>
      </c>
    </row>
    <row r="643" ht="21" customHeight="1">
      <c r="A643" s="10" t="inlineStr">
        <is>
          <t>K</t>
        </is>
      </c>
      <c r="B643" s="10" t="inlineStr">
        <is>
          <t>0010320310</t>
        </is>
      </c>
      <c r="C643" s="10" t="inlineStr">
        <is>
          <t>038000 Sonstige Transportmittel</t>
        </is>
      </c>
      <c r="D643" s="8" t="n">
        <v>197992</v>
      </c>
      <c r="E643" s="8" t="n">
        <v>7</v>
      </c>
      <c r="F643" s="8" t="n">
        <v>15</v>
      </c>
      <c r="G643" s="10" t="n"/>
      <c r="H643" s="10" t="inlineStr">
        <is>
          <t>38000</t>
        </is>
      </c>
    </row>
    <row r="644" ht="21" customHeight="1">
      <c r="A644" s="10" t="inlineStr">
        <is>
          <t>P</t>
        </is>
      </c>
      <c r="B644" s="10" t="inlineStr">
        <is>
          <t>0010320320</t>
        </is>
      </c>
      <c r="C644" s="10" t="inlineStr">
        <is>
          <t>Behaelter</t>
        </is>
      </c>
      <c r="D644" s="8" t="n">
        <v>0</v>
      </c>
      <c r="E644" s="8" t="n">
        <v>6</v>
      </c>
      <c r="F644" s="8" t="n">
        <v>16</v>
      </c>
      <c r="G644" s="10" t="b">
        <v>0</v>
      </c>
      <c r="H644" s="10" t="n"/>
    </row>
    <row r="645" ht="21" customHeight="1">
      <c r="A645" s="10" t="inlineStr">
        <is>
          <t>K</t>
        </is>
      </c>
      <c r="B645" s="10" t="inlineStr">
        <is>
          <t>0010320320</t>
        </is>
      </c>
      <c r="C645" s="10" t="inlineStr">
        <is>
          <t>045000 Container,Pressen und Behälter</t>
        </is>
      </c>
      <c r="D645" s="8" t="n">
        <v>7480</v>
      </c>
      <c r="E645" s="8" t="n">
        <v>7</v>
      </c>
      <c r="F645" s="8" t="n">
        <v>17</v>
      </c>
      <c r="G645" s="10" t="n"/>
      <c r="H645" s="10" t="inlineStr">
        <is>
          <t>45000</t>
        </is>
      </c>
    </row>
    <row r="646" ht="21" customHeight="1">
      <c r="A646" s="10" t="inlineStr">
        <is>
          <t>P</t>
        </is>
      </c>
      <c r="B646" s="10" t="inlineStr">
        <is>
          <t>0010320330</t>
        </is>
      </c>
      <c r="C646" s="10" t="inlineStr">
        <is>
          <t>And. Anlagen / sonst. BGA</t>
        </is>
      </c>
      <c r="D646" s="8" t="n">
        <v>0</v>
      </c>
      <c r="E646" s="8" t="n">
        <v>6</v>
      </c>
      <c r="F646" s="8" t="n">
        <v>18</v>
      </c>
      <c r="G646" s="10" t="b">
        <v>0</v>
      </c>
      <c r="H646" s="10" t="n"/>
    </row>
    <row r="647" ht="21" customHeight="1">
      <c r="A647" s="10" t="inlineStr">
        <is>
          <t>K</t>
        </is>
      </c>
      <c r="B647" s="10" t="inlineStr">
        <is>
          <t>0010320330</t>
        </is>
      </c>
      <c r="C647" s="10" t="inlineStr">
        <is>
          <t>040000 Betriebsausstattung</t>
        </is>
      </c>
      <c r="D647" s="8" t="n">
        <v>119354</v>
      </c>
      <c r="E647" s="8" t="n">
        <v>7</v>
      </c>
      <c r="F647" s="8" t="n">
        <v>19</v>
      </c>
      <c r="G647" s="10" t="n"/>
      <c r="H647" s="10" t="inlineStr">
        <is>
          <t>40000</t>
        </is>
      </c>
    </row>
    <row r="648" ht="21" customHeight="1">
      <c r="A648" s="10" t="inlineStr">
        <is>
          <t>K</t>
        </is>
      </c>
      <c r="B648" s="10" t="inlineStr">
        <is>
          <t>0010320330</t>
        </is>
      </c>
      <c r="C648" s="10" t="inlineStr">
        <is>
          <t>041000 Geschäftsausstattung/ EDV</t>
        </is>
      </c>
      <c r="D648" s="8" t="n">
        <v>6590</v>
      </c>
      <c r="E648" s="8" t="n">
        <v>7</v>
      </c>
      <c r="F648" s="8" t="n">
        <v>20</v>
      </c>
      <c r="G648" s="10" t="n"/>
      <c r="H648" s="10" t="inlineStr">
        <is>
          <t>41000</t>
        </is>
      </c>
    </row>
    <row r="649" ht="21" customHeight="1">
      <c r="A649" s="10" t="inlineStr">
        <is>
          <t>K</t>
        </is>
      </c>
      <c r="B649" s="10" t="inlineStr">
        <is>
          <t>0010320330</t>
        </is>
      </c>
      <c r="C649" s="10" t="inlineStr">
        <is>
          <t>042000 Büroeinrichtung</t>
        </is>
      </c>
      <c r="D649" s="8" t="n">
        <v>1061</v>
      </c>
      <c r="E649" s="8" t="n">
        <v>7</v>
      </c>
      <c r="F649" s="8" t="n">
        <v>21</v>
      </c>
      <c r="G649" s="10" t="n"/>
      <c r="H649" s="10" t="inlineStr">
        <is>
          <t>42000</t>
        </is>
      </c>
    </row>
    <row r="650" ht="21" customHeight="1">
      <c r="A650" s="10" t="inlineStr">
        <is>
          <t>K</t>
        </is>
      </c>
      <c r="B650" s="10" t="inlineStr">
        <is>
          <t>0010320330</t>
        </is>
      </c>
      <c r="C650" s="10" t="inlineStr">
        <is>
          <t>043000 Werkstatteinrichtung</t>
        </is>
      </c>
      <c r="D650" s="8" t="n">
        <v>10297</v>
      </c>
      <c r="E650" s="8" t="n">
        <v>7</v>
      </c>
      <c r="F650" s="8" t="n">
        <v>22</v>
      </c>
      <c r="G650" s="10" t="n"/>
      <c r="H650" s="10" t="inlineStr">
        <is>
          <t>43000</t>
        </is>
      </c>
    </row>
    <row r="651" ht="21" customHeight="1">
      <c r="A651" s="10" t="inlineStr">
        <is>
          <t>K</t>
        </is>
      </c>
      <c r="B651" s="10" t="inlineStr">
        <is>
          <t>0010320330</t>
        </is>
      </c>
      <c r="C651" s="10" t="inlineStr">
        <is>
          <t>044000 Werkzeuge</t>
        </is>
      </c>
      <c r="D651" s="8" t="n">
        <v>11853</v>
      </c>
      <c r="E651" s="8" t="n">
        <v>7</v>
      </c>
      <c r="F651" s="8" t="n">
        <v>23</v>
      </c>
      <c r="G651" s="10" t="n"/>
      <c r="H651" s="10" t="inlineStr">
        <is>
          <t>44000</t>
        </is>
      </c>
    </row>
    <row r="652" ht="21" customHeight="1">
      <c r="A652" s="10" t="inlineStr">
        <is>
          <t>K</t>
        </is>
      </c>
      <c r="B652" s="10" t="inlineStr">
        <is>
          <t>0010320330</t>
        </is>
      </c>
      <c r="C652" s="10" t="inlineStr">
        <is>
          <t>048000 Betriebsausstattung GWG</t>
        </is>
      </c>
      <c r="D652" s="8" t="n">
        <v>10279</v>
      </c>
      <c r="E652" s="8" t="n">
        <v>7</v>
      </c>
      <c r="F652" s="8" t="n">
        <v>24</v>
      </c>
      <c r="G652" s="10" t="n"/>
      <c r="H652" s="10" t="inlineStr">
        <is>
          <t>48000</t>
        </is>
      </c>
    </row>
    <row r="653" ht="21" customHeight="1">
      <c r="A653" s="10" t="inlineStr">
        <is>
          <t>K</t>
        </is>
      </c>
      <c r="B653" s="10" t="inlineStr">
        <is>
          <t>0010320330</t>
        </is>
      </c>
      <c r="C653" s="10" t="inlineStr">
        <is>
          <t>048100 Geschäftsausstattung GWG</t>
        </is>
      </c>
      <c r="D653" s="8" t="n">
        <v>9856</v>
      </c>
      <c r="E653" s="8" t="n">
        <v>7</v>
      </c>
      <c r="F653" s="8" t="n">
        <v>25</v>
      </c>
      <c r="G653" s="10" t="n"/>
      <c r="H653" s="10" t="inlineStr">
        <is>
          <t>48100</t>
        </is>
      </c>
    </row>
    <row r="654" ht="21" customHeight="1">
      <c r="A654" s="10" t="inlineStr">
        <is>
          <t>P</t>
        </is>
      </c>
      <c r="B654" s="10" t="inlineStr">
        <is>
          <t>0010320300</t>
        </is>
      </c>
      <c r="C654" s="10" t="inlineStr">
        <is>
          <t>Summe Andere Anlagen, Betriebs- und</t>
        </is>
      </c>
      <c r="D654" s="8" t="n">
        <v>421370</v>
      </c>
      <c r="E654" s="8" t="n">
        <v>5</v>
      </c>
      <c r="F654" s="8" t="n">
        <v>26</v>
      </c>
      <c r="G654" s="10" t="b">
        <v>1</v>
      </c>
      <c r="H654" s="10" t="n"/>
    </row>
    <row r="655" ht="21" customHeight="1">
      <c r="A655" s="10" t="inlineStr">
        <is>
          <t>P</t>
        </is>
      </c>
      <c r="B655" s="10" t="inlineStr">
        <is>
          <t>0010320300</t>
        </is>
      </c>
      <c r="C655" s="10" t="inlineStr">
        <is>
          <t>Geschaeftsstattung</t>
        </is>
      </c>
      <c r="D655" s="8" t="n">
        <v>0</v>
      </c>
      <c r="E655" s="8" t="n">
        <v>5</v>
      </c>
      <c r="F655" s="8" t="n">
        <v>27</v>
      </c>
      <c r="G655" s="10" t="b">
        <v>0</v>
      </c>
      <c r="H655" s="10" t="n"/>
    </row>
    <row r="656" ht="21" customHeight="1">
      <c r="A656" s="10" t="inlineStr">
        <is>
          <t>P</t>
        </is>
      </c>
      <c r="B656" s="10" t="inlineStr">
        <is>
          <t>0010320000</t>
        </is>
      </c>
      <c r="C656" s="10" t="inlineStr">
        <is>
          <t>Summe Sachanlagen</t>
        </is>
      </c>
      <c r="D656" s="8" t="n">
        <v>448638</v>
      </c>
      <c r="E656" s="8" t="n">
        <v>4</v>
      </c>
      <c r="F656" s="8" t="n">
        <v>28</v>
      </c>
      <c r="G656" s="10" t="b">
        <v>1</v>
      </c>
      <c r="H656" s="10" t="n"/>
    </row>
    <row r="657" ht="21" customHeight="1">
      <c r="A657" s="10" t="inlineStr">
        <is>
          <t>P</t>
        </is>
      </c>
      <c r="B657" s="10" t="inlineStr">
        <is>
          <t>0010300000</t>
        </is>
      </c>
      <c r="C657" s="10" t="inlineStr">
        <is>
          <t>Summe Anlagevermoegen</t>
        </is>
      </c>
      <c r="D657" s="8" t="n">
        <v>448638</v>
      </c>
      <c r="E657" s="8" t="n">
        <v>3</v>
      </c>
      <c r="F657" s="8" t="n">
        <v>29</v>
      </c>
      <c r="G657" s="10" t="b">
        <v>1</v>
      </c>
      <c r="H657" s="10" t="n"/>
    </row>
    <row r="658" ht="21" customHeight="1">
      <c r="A658" s="10" t="inlineStr">
        <is>
          <t>P</t>
        </is>
      </c>
      <c r="B658" s="10" t="inlineStr">
        <is>
          <t>0010400000</t>
        </is>
      </c>
      <c r="C658" s="10" t="inlineStr">
        <is>
          <t>Umlaufvermoegen</t>
        </is>
      </c>
      <c r="D658" s="8" t="n">
        <v>0</v>
      </c>
      <c r="E658" s="8" t="n">
        <v>3</v>
      </c>
      <c r="F658" s="8" t="n">
        <v>30</v>
      </c>
      <c r="G658" s="10" t="b">
        <v>0</v>
      </c>
      <c r="H658" s="10" t="n"/>
    </row>
    <row r="659" ht="21" customHeight="1">
      <c r="A659" s="10" t="inlineStr">
        <is>
          <t>P</t>
        </is>
      </c>
      <c r="B659" s="10" t="inlineStr">
        <is>
          <t>0010410000</t>
        </is>
      </c>
      <c r="C659" s="10" t="inlineStr">
        <is>
          <t>Vorraete</t>
        </is>
      </c>
      <c r="D659" s="8" t="n">
        <v>0</v>
      </c>
      <c r="E659" s="8" t="n">
        <v>4</v>
      </c>
      <c r="F659" s="8" t="n">
        <v>31</v>
      </c>
      <c r="G659" s="10" t="b">
        <v>0</v>
      </c>
      <c r="H659" s="10" t="n"/>
    </row>
    <row r="660" ht="21" customHeight="1">
      <c r="A660" s="10" t="inlineStr">
        <is>
          <t>P</t>
        </is>
      </c>
      <c r="B660" s="10" t="inlineStr">
        <is>
          <t>0010410100</t>
        </is>
      </c>
      <c r="C660" s="10" t="inlineStr">
        <is>
          <t>Roh-,Hilfs- und Betriebsstoffe</t>
        </is>
      </c>
      <c r="D660" s="8" t="n">
        <v>0</v>
      </c>
      <c r="E660" s="8" t="n">
        <v>5</v>
      </c>
      <c r="F660" s="8" t="n">
        <v>32</v>
      </c>
      <c r="G660" s="10" t="b">
        <v>0</v>
      </c>
      <c r="H660" s="10" t="n"/>
    </row>
    <row r="661" ht="21" customHeight="1">
      <c r="A661" s="10" t="inlineStr">
        <is>
          <t>K</t>
        </is>
      </c>
      <c r="B661" s="10" t="inlineStr">
        <is>
          <t>0010410100</t>
        </is>
      </c>
      <c r="C661" s="10" t="inlineStr">
        <is>
          <t>380950 Bestände Ersatzteile</t>
        </is>
      </c>
      <c r="D661" s="8" t="n">
        <v>49055.01</v>
      </c>
      <c r="E661" s="8" t="n">
        <v>6</v>
      </c>
      <c r="F661" s="8" t="n">
        <v>33</v>
      </c>
      <c r="G661" s="10" t="n"/>
      <c r="H661" s="10" t="inlineStr">
        <is>
          <t>380950</t>
        </is>
      </c>
    </row>
    <row r="662" ht="21" customHeight="1">
      <c r="A662" s="10" t="inlineStr">
        <is>
          <t>P</t>
        </is>
      </c>
      <c r="B662" s="10" t="inlineStr">
        <is>
          <t>0010410200</t>
        </is>
      </c>
      <c r="C662" s="10" t="inlineStr">
        <is>
          <t>Unfertige Erzeugnisse, unfertige Leistungen</t>
        </is>
      </c>
      <c r="D662" s="8" t="n">
        <v>0</v>
      </c>
      <c r="E662" s="8" t="n">
        <v>5</v>
      </c>
      <c r="F662" s="8" t="n">
        <v>34</v>
      </c>
      <c r="G662" s="10" t="b">
        <v>0</v>
      </c>
      <c r="H662" s="10" t="n"/>
    </row>
    <row r="663" ht="21" customHeight="1">
      <c r="A663" s="10" t="inlineStr">
        <is>
          <t>K</t>
        </is>
      </c>
      <c r="B663" s="10" t="inlineStr">
        <is>
          <t>0010410200</t>
        </is>
      </c>
      <c r="C663" s="10" t="inlineStr">
        <is>
          <t>049951 Bestände unfertige Erzeugnisse</t>
        </is>
      </c>
      <c r="D663" s="8" t="n">
        <v>11278895.04</v>
      </c>
      <c r="E663" s="8" t="n">
        <v>6</v>
      </c>
      <c r="F663" s="8" t="n">
        <v>35</v>
      </c>
      <c r="G663" s="10" t="n"/>
      <c r="H663" s="10" t="inlineStr">
        <is>
          <t>49951</t>
        </is>
      </c>
    </row>
    <row r="664" ht="21" customHeight="1">
      <c r="A664" s="10" t="inlineStr">
        <is>
          <t>P</t>
        </is>
      </c>
      <c r="B664" s="10" t="inlineStr">
        <is>
          <t>0010410500</t>
        </is>
      </c>
      <c r="C664" s="10" t="inlineStr">
        <is>
          <t>Erhaltene Anzahlungen auf Bestellungen</t>
        </is>
      </c>
      <c r="D664" s="8" t="n">
        <v>0</v>
      </c>
      <c r="E664" s="8" t="n">
        <v>5</v>
      </c>
      <c r="F664" s="8" t="n">
        <v>36</v>
      </c>
      <c r="G664" s="10" t="b">
        <v>0</v>
      </c>
      <c r="H664" s="10" t="n"/>
    </row>
    <row r="665" ht="21" customHeight="1">
      <c r="A665" s="10" t="inlineStr">
        <is>
          <t>K</t>
        </is>
      </c>
      <c r="B665" s="10" t="inlineStr">
        <is>
          <t>0010410500</t>
        </is>
      </c>
      <c r="C665" s="10" t="inlineStr">
        <is>
          <t>049972 Erhaltene Anzahlungen auf Vorräte</t>
        </is>
      </c>
      <c r="D665" s="8" t="n">
        <v>-8995448.880000001</v>
      </c>
      <c r="E665" s="8" t="n">
        <v>6</v>
      </c>
      <c r="F665" s="8" t="n">
        <v>37</v>
      </c>
      <c r="G665" s="10" t="n"/>
      <c r="H665" s="10" t="inlineStr">
        <is>
          <t>49972</t>
        </is>
      </c>
    </row>
    <row r="666" ht="21" customHeight="1">
      <c r="A666" s="10" t="inlineStr">
        <is>
          <t>P</t>
        </is>
      </c>
      <c r="B666" s="10" t="inlineStr">
        <is>
          <t>0010410000</t>
        </is>
      </c>
      <c r="C666" s="10" t="inlineStr">
        <is>
          <t>Summe Vorraete</t>
        </is>
      </c>
      <c r="D666" s="8" t="n">
        <v>2332501.17</v>
      </c>
      <c r="E666" s="8" t="n">
        <v>4</v>
      </c>
      <c r="F666" s="8" t="n">
        <v>38</v>
      </c>
      <c r="G666" s="10" t="b">
        <v>1</v>
      </c>
      <c r="H666" s="10" t="n"/>
    </row>
    <row r="667" ht="21" customHeight="1">
      <c r="A667" s="10" t="inlineStr">
        <is>
          <t>P</t>
        </is>
      </c>
      <c r="B667" s="10" t="inlineStr">
        <is>
          <t>0010420000</t>
        </is>
      </c>
      <c r="C667" s="10" t="inlineStr">
        <is>
          <t>Ford. / Sonst. VgG</t>
        </is>
      </c>
      <c r="D667" s="8" t="n">
        <v>0</v>
      </c>
      <c r="E667" s="8" t="n">
        <v>4</v>
      </c>
      <c r="F667" s="8" t="n">
        <v>39</v>
      </c>
      <c r="G667" s="10" t="b">
        <v>0</v>
      </c>
      <c r="H667" s="10" t="n"/>
    </row>
    <row r="668" ht="21" customHeight="1">
      <c r="A668" s="10" t="inlineStr">
        <is>
          <t>P</t>
        </is>
      </c>
      <c r="B668" s="10" t="inlineStr">
        <is>
          <t>0010420100</t>
        </is>
      </c>
      <c r="C668" s="10" t="inlineStr">
        <is>
          <t>Ford. L+L</t>
        </is>
      </c>
      <c r="D668" s="8" t="n">
        <v>0</v>
      </c>
      <c r="E668" s="8" t="n">
        <v>5</v>
      </c>
      <c r="F668" s="8" t="n">
        <v>40</v>
      </c>
      <c r="G668" s="10" t="b">
        <v>0</v>
      </c>
      <c r="H668" s="10" t="n"/>
    </row>
    <row r="669" ht="21" customHeight="1">
      <c r="A669" s="10" t="inlineStr">
        <is>
          <t>P</t>
        </is>
      </c>
      <c r="B669" s="10" t="inlineStr">
        <is>
          <t>0010420110</t>
        </is>
      </c>
      <c r="C669" s="10" t="inlineStr">
        <is>
          <t>Ford. L+L Nominalwert (RLZ&lt;1J)  ab 102015</t>
        </is>
      </c>
      <c r="D669" s="8" t="n">
        <v>0</v>
      </c>
      <c r="E669" s="8" t="n">
        <v>6</v>
      </c>
      <c r="F669" s="8" t="n">
        <v>41</v>
      </c>
      <c r="G669" s="10" t="b">
        <v>0</v>
      </c>
      <c r="H669" s="10" t="n"/>
    </row>
    <row r="670" ht="21" customHeight="1">
      <c r="A670" s="10" t="inlineStr">
        <is>
          <t>K</t>
        </is>
      </c>
      <c r="B670" s="10" t="inlineStr">
        <is>
          <t>0010420110</t>
        </is>
      </c>
      <c r="C670" s="10" t="inlineStr">
        <is>
          <t>140000 Forderungen aus L+L</t>
        </is>
      </c>
      <c r="D670" s="8" t="n">
        <v>3803177.95</v>
      </c>
      <c r="E670" s="8" t="n">
        <v>7</v>
      </c>
      <c r="F670" s="8" t="n">
        <v>42</v>
      </c>
      <c r="G670" s="10" t="n"/>
      <c r="H670" s="10" t="inlineStr">
        <is>
          <t>140000</t>
        </is>
      </c>
    </row>
    <row r="671" ht="21" customHeight="1">
      <c r="A671" s="10" t="inlineStr">
        <is>
          <t>K</t>
        </is>
      </c>
      <c r="B671" s="10" t="inlineStr">
        <is>
          <t>0010420110</t>
        </is>
      </c>
      <c r="C671" s="10" t="inlineStr">
        <is>
          <t>140600 Nachbuchung Ford.L/L</t>
        </is>
      </c>
      <c r="D671" s="8" t="n">
        <v>-1476386.65</v>
      </c>
      <c r="E671" s="8" t="n">
        <v>7</v>
      </c>
      <c r="F671" s="8" t="n">
        <v>43</v>
      </c>
      <c r="G671" s="10" t="n"/>
      <c r="H671" s="10" t="inlineStr">
        <is>
          <t>140600</t>
        </is>
      </c>
    </row>
    <row r="672" ht="21" customHeight="1">
      <c r="A672" s="10" t="inlineStr">
        <is>
          <t>P</t>
        </is>
      </c>
      <c r="B672" s="10" t="inlineStr">
        <is>
          <t>0010420111</t>
        </is>
      </c>
      <c r="C672" s="10" t="inlineStr">
        <is>
          <t>EWB auf Forderungen L+L (RLZ &lt; 1J) ab 102015</t>
        </is>
      </c>
      <c r="D672" s="8" t="n">
        <v>0</v>
      </c>
      <c r="E672" s="8" t="n">
        <v>6</v>
      </c>
      <c r="F672" s="8" t="n">
        <v>44</v>
      </c>
      <c r="G672" s="10" t="b">
        <v>0</v>
      </c>
      <c r="H672" s="10" t="n"/>
    </row>
    <row r="673" ht="21" customHeight="1">
      <c r="A673" s="10" t="inlineStr">
        <is>
          <t>K</t>
        </is>
      </c>
      <c r="B673" s="10" t="inlineStr">
        <is>
          <t>0010420111</t>
        </is>
      </c>
      <c r="C673" s="10" t="inlineStr">
        <is>
          <t>099800 EWB auf Forderungen</t>
        </is>
      </c>
      <c r="D673" s="8" t="n">
        <v>-324796.86</v>
      </c>
      <c r="E673" s="8" t="n">
        <v>7</v>
      </c>
      <c r="F673" s="8" t="n">
        <v>45</v>
      </c>
      <c r="G673" s="10" t="n"/>
      <c r="H673" s="10" t="inlineStr">
        <is>
          <t>99800</t>
        </is>
      </c>
    </row>
    <row r="674" ht="21" customHeight="1">
      <c r="A674" s="10" t="inlineStr">
        <is>
          <t>P</t>
        </is>
      </c>
      <c r="B674" s="10" t="inlineStr">
        <is>
          <t>0010420113</t>
        </is>
      </c>
      <c r="C674" s="10" t="inlineStr">
        <is>
          <t>Veräußerte Ford.Factoring(RLZ &lt; 1J)ab 102015</t>
        </is>
      </c>
      <c r="D674" s="8" t="n">
        <v>0</v>
      </c>
      <c r="E674" s="8" t="n">
        <v>6</v>
      </c>
      <c r="F674" s="8" t="n">
        <v>46</v>
      </c>
      <c r="G674" s="10" t="b">
        <v>0</v>
      </c>
      <c r="H674" s="10" t="n"/>
    </row>
    <row r="675" ht="21" customHeight="1">
      <c r="A675" s="10" t="inlineStr">
        <is>
          <t>K</t>
        </is>
      </c>
      <c r="B675" s="10" t="inlineStr">
        <is>
          <t>0010420113</t>
        </is>
      </c>
      <c r="C675" s="10" t="inlineStr">
        <is>
          <t>140712 Korrekturkto. Ford. L+L (Factoring)</t>
        </is>
      </c>
      <c r="D675" s="8" t="n">
        <v>-914157.73</v>
      </c>
      <c r="E675" s="8" t="n">
        <v>7</v>
      </c>
      <c r="F675" s="8" t="n">
        <v>47</v>
      </c>
      <c r="G675" s="10" t="n"/>
      <c r="H675" s="10" t="inlineStr">
        <is>
          <t>140712</t>
        </is>
      </c>
    </row>
    <row r="676" ht="21" customHeight="1">
      <c r="A676" s="10" t="inlineStr">
        <is>
          <t>K</t>
        </is>
      </c>
      <c r="B676" s="10" t="inlineStr">
        <is>
          <t>0010420130</t>
        </is>
      </c>
      <c r="C676" s="10" t="inlineStr">
        <is>
          <t>799995 Gegenkonto aus Erlösabgrenzung Ford L&amp;L</t>
        </is>
      </c>
      <c r="D676" s="8" t="n">
        <v>571904.61</v>
      </c>
      <c r="E676" s="8" t="n">
        <v>7</v>
      </c>
      <c r="F676" s="8" t="n">
        <v>48</v>
      </c>
      <c r="G676" s="10" t="n"/>
      <c r="H676" s="10" t="inlineStr">
        <is>
          <t>799995</t>
        </is>
      </c>
    </row>
    <row r="677" ht="21" customHeight="1">
      <c r="A677" s="10" t="inlineStr">
        <is>
          <t>P</t>
        </is>
      </c>
      <c r="B677" s="10" t="inlineStr">
        <is>
          <t>0010420100</t>
        </is>
      </c>
      <c r="C677" s="10" t="inlineStr">
        <is>
          <t>Summe Ford. L+L</t>
        </is>
      </c>
      <c r="D677" s="8" t="n">
        <v>1659741.32</v>
      </c>
      <c r="E677" s="8" t="n">
        <v>5</v>
      </c>
      <c r="F677" s="8" t="n">
        <v>49</v>
      </c>
      <c r="G677" s="10" t="b">
        <v>1</v>
      </c>
      <c r="H677" s="10" t="n"/>
    </row>
    <row r="678" ht="21" customHeight="1">
      <c r="A678" s="10" t="inlineStr">
        <is>
          <t>P</t>
        </is>
      </c>
      <c r="B678" s="10" t="inlineStr">
        <is>
          <t>0010420200</t>
        </is>
      </c>
      <c r="C678" s="10" t="inlineStr">
        <is>
          <t>Ford. verbund.</t>
        </is>
      </c>
      <c r="D678" s="8" t="n">
        <v>0</v>
      </c>
      <c r="E678" s="8" t="n">
        <v>5</v>
      </c>
      <c r="F678" s="8" t="n">
        <v>50</v>
      </c>
      <c r="G678" s="10" t="b">
        <v>0</v>
      </c>
      <c r="H678" s="10" t="n"/>
    </row>
    <row r="679" ht="21" customHeight="1">
      <c r="A679" s="10" t="inlineStr">
        <is>
          <t>P</t>
        </is>
      </c>
      <c r="B679" s="10" t="inlineStr">
        <is>
          <t>0010420210</t>
        </is>
      </c>
      <c r="C679" s="10" t="inlineStr">
        <is>
          <t>Ford.verb. L+L</t>
        </is>
      </c>
      <c r="D679" s="8" t="n">
        <v>0</v>
      </c>
      <c r="E679" s="8" t="n">
        <v>6</v>
      </c>
      <c r="F679" s="8" t="n">
        <v>51</v>
      </c>
      <c r="G679" s="10" t="b">
        <v>0</v>
      </c>
      <c r="H679" s="10" t="n"/>
    </row>
    <row r="680" ht="21" customHeight="1">
      <c r="A680" s="10" t="inlineStr">
        <is>
          <t>K</t>
        </is>
      </c>
      <c r="B680" s="10" t="inlineStr">
        <is>
          <t>0010420211</t>
        </is>
      </c>
      <c r="C680" s="10" t="inlineStr">
        <is>
          <t>140010 Ford. gegen verbundene Unternehmen</t>
        </is>
      </c>
      <c r="D680" s="8" t="n">
        <v>19786.24</v>
      </c>
      <c r="E680" s="8" t="n">
        <v>8</v>
      </c>
      <c r="F680" s="8" t="n">
        <v>52</v>
      </c>
      <c r="G680" s="10" t="n"/>
      <c r="H680" s="10" t="inlineStr">
        <is>
          <t>140010</t>
        </is>
      </c>
    </row>
    <row r="681" ht="21" customHeight="1">
      <c r="A681" s="10" t="inlineStr">
        <is>
          <t>K</t>
        </is>
      </c>
      <c r="B681" s="10" t="inlineStr">
        <is>
          <t>0010420211</t>
        </is>
      </c>
      <c r="C681" s="10" t="inlineStr">
        <is>
          <t>900410 Debitorische Kreditoren (Verb.a.verb.Untern.)</t>
        </is>
      </c>
      <c r="D681" s="8" t="n">
        <v>5484.01</v>
      </c>
      <c r="E681" s="8" t="n">
        <v>8</v>
      </c>
      <c r="F681" s="8" t="n">
        <v>53</v>
      </c>
      <c r="G681" s="10" t="n"/>
      <c r="H681" s="10" t="inlineStr">
        <is>
          <t>900410</t>
        </is>
      </c>
    </row>
    <row r="682" ht="21" customHeight="1">
      <c r="A682" s="10" t="inlineStr">
        <is>
          <t>K</t>
        </is>
      </c>
      <c r="B682" s="10" t="inlineStr">
        <is>
          <t>0010420236</t>
        </is>
      </c>
      <c r="C682" s="10" t="inlineStr">
        <is>
          <t>140016 Forderungen gegen verbundene Unternehmen Zinsen</t>
        </is>
      </c>
      <c r="D682" s="8" t="n">
        <v>199.78</v>
      </c>
      <c r="E682" s="8" t="n">
        <v>8</v>
      </c>
      <c r="F682" s="8" t="n">
        <v>54</v>
      </c>
      <c r="G682" s="10" t="n"/>
      <c r="H682" s="10" t="inlineStr">
        <is>
          <t>140016</t>
        </is>
      </c>
    </row>
    <row r="683" ht="21" customHeight="1">
      <c r="A683" s="10" t="inlineStr">
        <is>
          <t>P</t>
        </is>
      </c>
      <c r="B683" s="10" t="inlineStr">
        <is>
          <t>0010420200</t>
        </is>
      </c>
      <c r="C683" s="10" t="inlineStr">
        <is>
          <t>Summe Ford. verbund.</t>
        </is>
      </c>
      <c r="D683" s="8" t="n">
        <v>25470.03</v>
      </c>
      <c r="E683" s="8" t="n">
        <v>5</v>
      </c>
      <c r="F683" s="8" t="n">
        <v>55</v>
      </c>
      <c r="G683" s="10" t="b">
        <v>1</v>
      </c>
      <c r="H683" s="10" t="n"/>
    </row>
    <row r="684" ht="21" customHeight="1">
      <c r="A684" s="10" t="inlineStr">
        <is>
          <t>P</t>
        </is>
      </c>
      <c r="B684" s="10" t="inlineStr">
        <is>
          <t>0010421000</t>
        </is>
      </c>
      <c r="C684" s="10" t="inlineStr">
        <is>
          <t>Sonst. VermögensG.</t>
        </is>
      </c>
      <c r="D684" s="8" t="n">
        <v>0</v>
      </c>
      <c r="E684" s="8" t="n">
        <v>5</v>
      </c>
      <c r="F684" s="8" t="n">
        <v>56</v>
      </c>
      <c r="G684" s="10" t="b">
        <v>0</v>
      </c>
      <c r="H684" s="10" t="n"/>
    </row>
    <row r="685" ht="21" customHeight="1">
      <c r="A685" s="10" t="inlineStr">
        <is>
          <t>P</t>
        </is>
      </c>
      <c r="B685" s="10" t="inlineStr">
        <is>
          <t>0010421100</t>
        </is>
      </c>
      <c r="C685" s="10" t="inlineStr">
        <is>
          <t>sonst. Steuerford.</t>
        </is>
      </c>
      <c r="D685" s="8" t="n">
        <v>0</v>
      </c>
      <c r="E685" s="8" t="n">
        <v>7</v>
      </c>
      <c r="F685" s="8" t="n">
        <v>57</v>
      </c>
      <c r="G685" s="10" t="b">
        <v>0</v>
      </c>
      <c r="H685" s="10" t="n"/>
    </row>
    <row r="686" ht="21" customHeight="1">
      <c r="A686" s="10" t="inlineStr">
        <is>
          <t>P</t>
        </is>
      </c>
      <c r="B686" s="10" t="inlineStr">
        <is>
          <t>0010421110</t>
        </is>
      </c>
      <c r="C686" s="10" t="inlineStr">
        <is>
          <t>sonst. Steuerford. (RLZ &lt;1J)</t>
        </is>
      </c>
      <c r="D686" s="8" t="n">
        <v>0</v>
      </c>
      <c r="E686" s="8" t="n">
        <v>8</v>
      </c>
      <c r="F686" s="8" t="n">
        <v>58</v>
      </c>
      <c r="G686" s="10" t="b">
        <v>0</v>
      </c>
      <c r="H686" s="10" t="n"/>
    </row>
    <row r="687" ht="21" customHeight="1">
      <c r="A687" s="10" t="inlineStr">
        <is>
          <t>K</t>
        </is>
      </c>
      <c r="B687" s="10" t="inlineStr">
        <is>
          <t>0010421110</t>
        </is>
      </c>
      <c r="C687" s="10" t="inlineStr">
        <is>
          <t>154900 Vorsteuer im Folgejahr/in Folgeperiode abziehbar</t>
        </is>
      </c>
      <c r="D687" s="8" t="n">
        <v>17235.59</v>
      </c>
      <c r="E687" s="8" t="n">
        <v>9</v>
      </c>
      <c r="F687" s="8" t="n">
        <v>59</v>
      </c>
      <c r="G687" s="10" t="n"/>
      <c r="H687" s="10" t="inlineStr">
        <is>
          <t>154900</t>
        </is>
      </c>
    </row>
    <row r="688" ht="21" customHeight="1">
      <c r="A688" s="10" t="inlineStr">
        <is>
          <t>K</t>
        </is>
      </c>
      <c r="B688" s="10" t="inlineStr">
        <is>
          <t>0010421110</t>
        </is>
      </c>
      <c r="C688" s="10" t="inlineStr">
        <is>
          <t>157040 Vorsteuer Vergütung Ausland</t>
        </is>
      </c>
      <c r="D688" s="8" t="n">
        <v>1520.88</v>
      </c>
      <c r="E688" s="8" t="n">
        <v>9</v>
      </c>
      <c r="F688" s="8" t="n">
        <v>60</v>
      </c>
      <c r="G688" s="10" t="n"/>
      <c r="H688" s="10" t="inlineStr">
        <is>
          <t>157040</t>
        </is>
      </c>
    </row>
    <row r="689" ht="21" customHeight="1">
      <c r="A689" s="10" t="inlineStr">
        <is>
          <t>K</t>
        </is>
      </c>
      <c r="B689" s="10" t="inlineStr">
        <is>
          <t>0010421151</t>
        </is>
      </c>
      <c r="C689" s="10" t="inlineStr">
        <is>
          <t>154500 Ford./Verb. aus Steuern vom Einkommen und Ertrag</t>
        </is>
      </c>
      <c r="D689" s="8" t="n">
        <v>462030.15</v>
      </c>
      <c r="E689" s="8" t="n">
        <v>9</v>
      </c>
      <c r="F689" s="8" t="n">
        <v>61</v>
      </c>
      <c r="G689" s="10" t="n"/>
      <c r="H689" s="10" t="inlineStr">
        <is>
          <t>154500</t>
        </is>
      </c>
    </row>
    <row r="690" ht="21" customHeight="1">
      <c r="A690" s="10" t="inlineStr">
        <is>
          <t>K</t>
        </is>
      </c>
      <c r="B690" s="10" t="inlineStr">
        <is>
          <t>0010421251</t>
        </is>
      </c>
      <c r="C690" s="10" t="inlineStr">
        <is>
          <t>900400 Debitorische Kreditoren (Verb.a.L+L)</t>
        </is>
      </c>
      <c r="D690" s="8" t="n">
        <v>1442.52</v>
      </c>
      <c r="E690" s="8" t="n">
        <v>8</v>
      </c>
      <c r="F690" s="8" t="n">
        <v>62</v>
      </c>
      <c r="G690" s="10" t="n"/>
      <c r="H690" s="10" t="inlineStr">
        <is>
          <t>900400</t>
        </is>
      </c>
    </row>
    <row r="691" ht="21" customHeight="1">
      <c r="A691" s="10" t="inlineStr">
        <is>
          <t>K</t>
        </is>
      </c>
      <c r="B691" s="10" t="inlineStr">
        <is>
          <t>0010421251</t>
        </is>
      </c>
      <c r="C691" s="10" t="inlineStr">
        <is>
          <t>900460 Debitorische Kreditoren (Verb. nicht L+L)</t>
        </is>
      </c>
      <c r="D691" s="8" t="n">
        <v>2282.06</v>
      </c>
      <c r="E691" s="8" t="n">
        <v>8</v>
      </c>
      <c r="F691" s="8" t="n">
        <v>63</v>
      </c>
      <c r="G691" s="10" t="n"/>
      <c r="H691" s="10" t="inlineStr">
        <is>
          <t>900460</t>
        </is>
      </c>
    </row>
    <row r="692" ht="21" customHeight="1">
      <c r="A692" s="10" t="inlineStr">
        <is>
          <t>K</t>
        </is>
      </c>
      <c r="B692" s="10" t="inlineStr">
        <is>
          <t>0010421271</t>
        </is>
      </c>
      <c r="C692" s="10" t="inlineStr">
        <is>
          <t>155011 Forderungen Zinsen auf Steuererstattungen</t>
        </is>
      </c>
      <c r="D692" s="8" t="n">
        <v>33.55</v>
      </c>
      <c r="E692" s="8" t="n">
        <v>8</v>
      </c>
      <c r="F692" s="8" t="n">
        <v>64</v>
      </c>
      <c r="G692" s="10" t="n"/>
      <c r="H692" s="10" t="inlineStr">
        <is>
          <t>155011</t>
        </is>
      </c>
    </row>
    <row r="693" ht="21" customHeight="1">
      <c r="A693" s="10" t="inlineStr">
        <is>
          <t>P</t>
        </is>
      </c>
      <c r="B693" s="10" t="inlineStr">
        <is>
          <t>0010421300</t>
        </is>
      </c>
      <c r="C693" s="10" t="inlineStr">
        <is>
          <t>And. sonst. VermögensG.</t>
        </is>
      </c>
      <c r="D693" s="8" t="n">
        <v>0</v>
      </c>
      <c r="E693" s="8" t="n">
        <v>6</v>
      </c>
      <c r="F693" s="8" t="n">
        <v>65</v>
      </c>
      <c r="G693" s="10" t="b">
        <v>0</v>
      </c>
      <c r="H693" s="10" t="n"/>
    </row>
    <row r="694" ht="21" customHeight="1">
      <c r="A694" s="10" t="inlineStr">
        <is>
          <t>P</t>
        </is>
      </c>
      <c r="B694" s="10" t="inlineStr">
        <is>
          <t>0010421310</t>
        </is>
      </c>
      <c r="C694" s="10" t="inlineStr">
        <is>
          <t>And. sonst. VG (RLZ &lt;1J)</t>
        </is>
      </c>
      <c r="D694" s="8" t="n">
        <v>0</v>
      </c>
      <c r="E694" s="8" t="n">
        <v>7</v>
      </c>
      <c r="F694" s="8" t="n">
        <v>66</v>
      </c>
      <c r="G694" s="10" t="b">
        <v>0</v>
      </c>
      <c r="H694" s="10" t="n"/>
    </row>
    <row r="695" ht="21" customHeight="1">
      <c r="A695" s="10" t="inlineStr">
        <is>
          <t>K</t>
        </is>
      </c>
      <c r="B695" s="10" t="inlineStr">
        <is>
          <t>0010421310</t>
        </is>
      </c>
      <c r="C695" s="10" t="inlineStr">
        <is>
          <t>150000 Sonstige Forderungen</t>
        </is>
      </c>
      <c r="D695" s="8" t="n">
        <v>1300000</v>
      </c>
      <c r="E695" s="8" t="n">
        <v>8</v>
      </c>
      <c r="F695" s="8" t="n">
        <v>67</v>
      </c>
      <c r="G695" s="10" t="n"/>
      <c r="H695" s="10" t="inlineStr">
        <is>
          <t>150000</t>
        </is>
      </c>
    </row>
    <row r="696" ht="21" customHeight="1">
      <c r="A696" s="10" t="inlineStr">
        <is>
          <t>K</t>
        </is>
      </c>
      <c r="B696" s="10" t="inlineStr">
        <is>
          <t>0010421310</t>
        </is>
      </c>
      <c r="C696" s="10" t="inlineStr">
        <is>
          <t>150110 Sicherheitseinbehalte (Debitoren)</t>
        </is>
      </c>
      <c r="D696" s="8" t="n">
        <v>100818.65</v>
      </c>
      <c r="E696" s="8" t="n">
        <v>8</v>
      </c>
      <c r="F696" s="8" t="n">
        <v>68</v>
      </c>
      <c r="G696" s="10" t="n"/>
      <c r="H696" s="10" t="inlineStr">
        <is>
          <t>150110</t>
        </is>
      </c>
    </row>
    <row r="697" ht="21" customHeight="1">
      <c r="A697" s="10" t="inlineStr">
        <is>
          <t>K</t>
        </is>
      </c>
      <c r="B697" s="10" t="inlineStr">
        <is>
          <t>0010421310</t>
        </is>
      </c>
      <c r="C697" s="10" t="inlineStr">
        <is>
          <t>152500 gegebene Kautionen</t>
        </is>
      </c>
      <c r="D697" s="8" t="n">
        <v>3460</v>
      </c>
      <c r="E697" s="8" t="n">
        <v>8</v>
      </c>
      <c r="F697" s="8" t="n">
        <v>69</v>
      </c>
      <c r="G697" s="10" t="n"/>
      <c r="H697" s="10" t="inlineStr">
        <is>
          <t>152500</t>
        </is>
      </c>
    </row>
    <row r="698" ht="21" customHeight="1">
      <c r="A698" s="10" t="inlineStr">
        <is>
          <t>K</t>
        </is>
      </c>
      <c r="B698" s="10" t="inlineStr">
        <is>
          <t>0010421310</t>
        </is>
      </c>
      <c r="C698" s="10" t="inlineStr">
        <is>
          <t>153000 Forderungen gegen Personal</t>
        </is>
      </c>
      <c r="D698" s="8" t="n">
        <v>4318.25</v>
      </c>
      <c r="E698" s="8" t="n">
        <v>8</v>
      </c>
      <c r="F698" s="8" t="n">
        <v>70</v>
      </c>
      <c r="G698" s="10" t="n"/>
      <c r="H698" s="10" t="inlineStr">
        <is>
          <t>153000</t>
        </is>
      </c>
    </row>
    <row r="699" ht="21" customHeight="1">
      <c r="A699" s="10" t="inlineStr">
        <is>
          <t>K</t>
        </is>
      </c>
      <c r="B699" s="10" t="inlineStr">
        <is>
          <t>0010421310</t>
        </is>
      </c>
      <c r="C699" s="10" t="inlineStr">
        <is>
          <t>174020 Verbindlichkeiten Pfändung</t>
        </is>
      </c>
      <c r="D699" s="8" t="n">
        <v>124.61</v>
      </c>
      <c r="E699" s="8" t="n">
        <v>8</v>
      </c>
      <c r="F699" s="8" t="n">
        <v>71</v>
      </c>
      <c r="G699" s="10" t="n"/>
      <c r="H699" s="10" t="inlineStr">
        <is>
          <t>174020</t>
        </is>
      </c>
    </row>
    <row r="700" ht="21" customHeight="1">
      <c r="A700" s="10" t="inlineStr">
        <is>
          <t>K</t>
        </is>
      </c>
      <c r="B700" s="10" t="inlineStr">
        <is>
          <t>0010421310</t>
        </is>
      </c>
      <c r="C700" s="10" t="inlineStr">
        <is>
          <t>174030 Verbindlichkeiten Direktversicherung</t>
        </is>
      </c>
      <c r="D700" s="8" t="n">
        <v>3188.68</v>
      </c>
      <c r="E700" s="8" t="n">
        <v>8</v>
      </c>
      <c r="F700" s="8" t="n">
        <v>72</v>
      </c>
      <c r="G700" s="10" t="n"/>
      <c r="H700" s="10" t="inlineStr">
        <is>
          <t>174030</t>
        </is>
      </c>
    </row>
    <row r="701" ht="21" customHeight="1">
      <c r="A701" s="10" t="inlineStr">
        <is>
          <t>K</t>
        </is>
      </c>
      <c r="B701" s="10" t="inlineStr">
        <is>
          <t>0010421310</t>
        </is>
      </c>
      <c r="C701" s="10" t="inlineStr">
        <is>
          <t>199901 Verrechnung Lieferantenskonti (Nettoverfahren)</t>
        </is>
      </c>
      <c r="D701" s="8" t="n">
        <v>82.73999999999999</v>
      </c>
      <c r="E701" s="8" t="n">
        <v>8</v>
      </c>
      <c r="F701" s="8" t="n">
        <v>73</v>
      </c>
      <c r="G701" s="10" t="n"/>
      <c r="H701" s="10" t="inlineStr">
        <is>
          <t>199901</t>
        </is>
      </c>
    </row>
    <row r="702" ht="21" customHeight="1">
      <c r="A702" s="10" t="inlineStr">
        <is>
          <t>K</t>
        </is>
      </c>
      <c r="B702" s="10" t="inlineStr">
        <is>
          <t>0010421310</t>
        </is>
      </c>
      <c r="C702" s="10" t="inlineStr">
        <is>
          <t>900051 Kautionen (Korrekturkonto)</t>
        </is>
      </c>
      <c r="D702" s="8" t="n">
        <v>-960</v>
      </c>
      <c r="E702" s="8" t="n">
        <v>8</v>
      </c>
      <c r="F702" s="8" t="n">
        <v>74</v>
      </c>
      <c r="G702" s="10" t="n"/>
      <c r="H702" s="10" t="inlineStr">
        <is>
          <t>900051</t>
        </is>
      </c>
    </row>
    <row r="703" ht="21" customHeight="1">
      <c r="A703" s="10" t="inlineStr">
        <is>
          <t>P</t>
        </is>
      </c>
      <c r="B703" s="10" t="inlineStr">
        <is>
          <t>0010421320</t>
        </is>
      </c>
      <c r="C703" s="10" t="inlineStr">
        <is>
          <t>And. sonst. VG (RLZ &gt;1J)</t>
        </is>
      </c>
      <c r="D703" s="8" t="n">
        <v>0</v>
      </c>
      <c r="E703" s="8" t="n">
        <v>7</v>
      </c>
      <c r="F703" s="8" t="n">
        <v>75</v>
      </c>
      <c r="G703" s="10" t="b">
        <v>0</v>
      </c>
      <c r="H703" s="10" t="n"/>
    </row>
    <row r="704" ht="21" customHeight="1">
      <c r="A704" s="10" t="inlineStr">
        <is>
          <t>K</t>
        </is>
      </c>
      <c r="B704" s="10" t="inlineStr">
        <is>
          <t>0010421320</t>
        </is>
      </c>
      <c r="C704" s="10" t="inlineStr">
        <is>
          <t>900052 Kautionen (RLZ &gt;1 Jahr)</t>
        </is>
      </c>
      <c r="D704" s="8" t="n">
        <v>960</v>
      </c>
      <c r="E704" s="8" t="n">
        <v>8</v>
      </c>
      <c r="F704" s="8" t="n">
        <v>76</v>
      </c>
      <c r="G704" s="10" t="n"/>
      <c r="H704" s="10" t="inlineStr">
        <is>
          <t>900052</t>
        </is>
      </c>
    </row>
    <row r="705" ht="21" customHeight="1">
      <c r="A705" s="10" t="inlineStr">
        <is>
          <t>K</t>
        </is>
      </c>
      <c r="B705" s="10" t="inlineStr">
        <is>
          <t>0010421309</t>
        </is>
      </c>
      <c r="C705" s="10" t="inlineStr">
        <is>
          <t>150719 Sicherheitseinbehalte (Factoring)</t>
        </is>
      </c>
      <c r="D705" s="8" t="n">
        <v>374829.42</v>
      </c>
      <c r="E705" s="8" t="n">
        <v>7</v>
      </c>
      <c r="F705" s="8" t="n">
        <v>77</v>
      </c>
      <c r="G705" s="10" t="n"/>
      <c r="H705" s="10" t="inlineStr">
        <is>
          <t>150719</t>
        </is>
      </c>
    </row>
    <row r="706" ht="21" customHeight="1">
      <c r="A706" s="10" t="inlineStr">
        <is>
          <t>P</t>
        </is>
      </c>
      <c r="B706" s="10" t="inlineStr">
        <is>
          <t>0010421000</t>
        </is>
      </c>
      <c r="C706" s="10" t="inlineStr">
        <is>
          <t>Summe Sonst. VermögensG.</t>
        </is>
      </c>
      <c r="D706" s="8" t="n">
        <v>2271367.1</v>
      </c>
      <c r="E706" s="8" t="n">
        <v>5</v>
      </c>
      <c r="F706" s="8" t="n">
        <v>78</v>
      </c>
      <c r="G706" s="10" t="b">
        <v>1</v>
      </c>
      <c r="H706" s="10" t="n"/>
    </row>
    <row r="707" ht="21" customHeight="1">
      <c r="A707" s="10" t="inlineStr">
        <is>
          <t>P</t>
        </is>
      </c>
      <c r="B707" s="10" t="inlineStr">
        <is>
          <t>0010420000</t>
        </is>
      </c>
      <c r="C707" s="10" t="inlineStr">
        <is>
          <t>Summe Ford. / Sonst. VgG</t>
        </is>
      </c>
      <c r="D707" s="8" t="n">
        <v>3956578.45</v>
      </c>
      <c r="E707" s="8" t="n">
        <v>4</v>
      </c>
      <c r="F707" s="8" t="n">
        <v>79</v>
      </c>
      <c r="G707" s="10" t="b">
        <v>1</v>
      </c>
      <c r="H707" s="10" t="n"/>
    </row>
    <row r="708" ht="21" customHeight="1">
      <c r="A708" s="10" t="inlineStr">
        <is>
          <t>P</t>
        </is>
      </c>
      <c r="B708" s="10" t="inlineStr">
        <is>
          <t>0010440000</t>
        </is>
      </c>
      <c r="C708" s="10" t="inlineStr">
        <is>
          <t>Schecks, Kassenbestand, Bundesbank- und Post-</t>
        </is>
      </c>
      <c r="D708" s="8" t="n">
        <v>0</v>
      </c>
      <c r="E708" s="8" t="n">
        <v>4</v>
      </c>
      <c r="F708" s="8" t="n">
        <v>80</v>
      </c>
      <c r="G708" s="10" t="b">
        <v>0</v>
      </c>
      <c r="H708" s="10" t="n"/>
    </row>
    <row r="709" ht="21" customHeight="1">
      <c r="A709" s="10" t="inlineStr">
        <is>
          <t>P</t>
        </is>
      </c>
      <c r="B709" s="10" t="inlineStr">
        <is>
          <t>0010440000</t>
        </is>
      </c>
      <c r="C709" s="10" t="inlineStr">
        <is>
          <t>giroguthaben, Guthaben bei Kreditinstituten</t>
        </is>
      </c>
      <c r="D709" s="8" t="n">
        <v>0</v>
      </c>
      <c r="E709" s="8" t="n">
        <v>4</v>
      </c>
      <c r="F709" s="8" t="n">
        <v>81</v>
      </c>
      <c r="G709" s="10" t="b">
        <v>0</v>
      </c>
      <c r="H709" s="10" t="n"/>
    </row>
    <row r="710" ht="21" customHeight="1">
      <c r="A710" s="10" t="inlineStr">
        <is>
          <t>P</t>
        </is>
      </c>
      <c r="B710" s="10" t="inlineStr">
        <is>
          <t>0010440010</t>
        </is>
      </c>
      <c r="C710" s="10" t="inlineStr">
        <is>
          <t>Kasse</t>
        </is>
      </c>
      <c r="D710" s="8" t="n">
        <v>0</v>
      </c>
      <c r="E710" s="8" t="n">
        <v>5</v>
      </c>
      <c r="F710" s="8" t="n">
        <v>82</v>
      </c>
      <c r="G710" s="10" t="b">
        <v>0</v>
      </c>
      <c r="H710" s="10" t="n"/>
    </row>
    <row r="711" ht="21" customHeight="1">
      <c r="A711" s="10" t="inlineStr">
        <is>
          <t>K</t>
        </is>
      </c>
      <c r="B711" s="10" t="inlineStr">
        <is>
          <t>0010440010</t>
        </is>
      </c>
      <c r="C711" s="10" t="inlineStr">
        <is>
          <t>100000 Kasse I</t>
        </is>
      </c>
      <c r="D711" s="8" t="n">
        <v>4585.14</v>
      </c>
      <c r="E711" s="8" t="n">
        <v>6</v>
      </c>
      <c r="F711" s="8" t="n">
        <v>83</v>
      </c>
      <c r="G711" s="10" t="n"/>
      <c r="H711" s="10" t="inlineStr">
        <is>
          <t>100000</t>
        </is>
      </c>
    </row>
    <row r="712" ht="21" customHeight="1">
      <c r="A712" s="10" t="inlineStr">
        <is>
          <t>K</t>
        </is>
      </c>
      <c r="B712" s="10" t="inlineStr">
        <is>
          <t>0010440010</t>
        </is>
      </c>
      <c r="C712" s="10" t="inlineStr">
        <is>
          <t>100090 Kasse X</t>
        </is>
      </c>
      <c r="D712" s="8" t="n">
        <v>467.45</v>
      </c>
      <c r="E712" s="8" t="n">
        <v>6</v>
      </c>
      <c r="F712" s="8" t="n">
        <v>84</v>
      </c>
      <c r="G712" s="10" t="n"/>
      <c r="H712" s="10" t="inlineStr">
        <is>
          <t>100090</t>
        </is>
      </c>
    </row>
    <row r="713" ht="21" customHeight="1">
      <c r="A713" s="10" t="inlineStr">
        <is>
          <t>K</t>
        </is>
      </c>
      <c r="B713" s="10" t="inlineStr">
        <is>
          <t>0010440010</t>
        </is>
      </c>
      <c r="C713" s="10" t="inlineStr">
        <is>
          <t>100091 Kasse XI</t>
        </is>
      </c>
      <c r="D713" s="8" t="n">
        <v>154.04</v>
      </c>
      <c r="E713" s="8" t="n">
        <v>6</v>
      </c>
      <c r="F713" s="8" t="n">
        <v>85</v>
      </c>
      <c r="G713" s="10" t="n"/>
      <c r="H713" s="10" t="inlineStr">
        <is>
          <t>100091</t>
        </is>
      </c>
    </row>
    <row r="714" ht="21" customHeight="1">
      <c r="A714" s="10" t="inlineStr">
        <is>
          <t>K</t>
        </is>
      </c>
      <c r="B714" s="10" t="inlineStr">
        <is>
          <t>0010440010</t>
        </is>
      </c>
      <c r="C714" s="10" t="inlineStr">
        <is>
          <t>100092 Kasse XII</t>
        </is>
      </c>
      <c r="D714" s="8" t="n">
        <v>906.47</v>
      </c>
      <c r="E714" s="8" t="n">
        <v>6</v>
      </c>
      <c r="F714" s="8" t="n">
        <v>86</v>
      </c>
      <c r="G714" s="10" t="n"/>
      <c r="H714" s="10" t="inlineStr">
        <is>
          <t>100092</t>
        </is>
      </c>
    </row>
    <row r="715" ht="21" customHeight="1">
      <c r="A715" s="10" t="inlineStr">
        <is>
          <t>P</t>
        </is>
      </c>
      <c r="B715" s="10" t="inlineStr">
        <is>
          <t>0010440000</t>
        </is>
      </c>
      <c r="C715" s="10" t="inlineStr">
        <is>
          <t>Summe Schecks, Kassenbestand, Bankguthaben</t>
        </is>
      </c>
      <c r="D715" s="8" t="n">
        <v>6113.1</v>
      </c>
      <c r="E715" s="8" t="n">
        <v>4</v>
      </c>
      <c r="F715" s="8" t="n">
        <v>87</v>
      </c>
      <c r="G715" s="10" t="b">
        <v>1</v>
      </c>
      <c r="H715" s="10" t="n"/>
    </row>
    <row r="716" ht="21" customHeight="1">
      <c r="A716" s="10" t="inlineStr">
        <is>
          <t>P</t>
        </is>
      </c>
      <c r="B716" s="10" t="inlineStr">
        <is>
          <t>0010400000</t>
        </is>
      </c>
      <c r="C716" s="10" t="inlineStr">
        <is>
          <t>Summe Umlaufvermoegen</t>
        </is>
      </c>
      <c r="D716" s="8" t="n">
        <v>6295192.72</v>
      </c>
      <c r="E716" s="8" t="n">
        <v>3</v>
      </c>
      <c r="F716" s="8" t="n">
        <v>88</v>
      </c>
      <c r="G716" s="10" t="b">
        <v>1</v>
      </c>
      <c r="H716" s="10" t="n"/>
    </row>
    <row r="717" ht="21" customHeight="1">
      <c r="A717" s="10" t="inlineStr">
        <is>
          <t>P</t>
        </is>
      </c>
      <c r="B717" s="10" t="inlineStr">
        <is>
          <t>0010600000</t>
        </is>
      </c>
      <c r="C717" s="10" t="inlineStr">
        <is>
          <t>ARAP</t>
        </is>
      </c>
      <c r="D717" s="8" t="n">
        <v>0</v>
      </c>
      <c r="E717" s="8" t="n">
        <v>3</v>
      </c>
      <c r="F717" s="8" t="n">
        <v>89</v>
      </c>
      <c r="G717" s="10" t="b">
        <v>0</v>
      </c>
      <c r="H717" s="10" t="n"/>
    </row>
    <row r="718" ht="21" customHeight="1">
      <c r="A718" s="10" t="inlineStr">
        <is>
          <t>P</t>
        </is>
      </c>
      <c r="B718" s="10" t="inlineStr">
        <is>
          <t>0010630000</t>
        </is>
      </c>
      <c r="C718" s="10" t="inlineStr">
        <is>
          <t>ARAP Sonstige</t>
        </is>
      </c>
      <c r="D718" s="8" t="n">
        <v>0</v>
      </c>
      <c r="E718" s="8" t="n">
        <v>4</v>
      </c>
      <c r="F718" s="8" t="n">
        <v>90</v>
      </c>
      <c r="G718" s="10" t="b">
        <v>0</v>
      </c>
      <c r="H718" s="10" t="n"/>
    </row>
    <row r="719" ht="21" customHeight="1">
      <c r="A719" s="10" t="inlineStr">
        <is>
          <t>K</t>
        </is>
      </c>
      <c r="B719" s="10" t="inlineStr">
        <is>
          <t>0010630000</t>
        </is>
      </c>
      <c r="C719" s="10" t="inlineStr">
        <is>
          <t>098002 ARAP Kfz-Steuer</t>
        </is>
      </c>
      <c r="D719" s="8" t="n">
        <v>3480.42</v>
      </c>
      <c r="E719" s="8" t="n">
        <v>5</v>
      </c>
      <c r="F719" s="8" t="n">
        <v>91</v>
      </c>
      <c r="G719" s="10" t="n"/>
      <c r="H719" s="10" t="inlineStr">
        <is>
          <t>98002</t>
        </is>
      </c>
    </row>
    <row r="720" ht="21" customHeight="1">
      <c r="A720" s="10" t="inlineStr">
        <is>
          <t>K</t>
        </is>
      </c>
      <c r="B720" s="10" t="inlineStr">
        <is>
          <t>0010630000</t>
        </is>
      </c>
      <c r="C720" s="10" t="inlineStr">
        <is>
          <t>098004 ARAP sonstige Versicherungen</t>
        </is>
      </c>
      <c r="D720" s="8" t="n">
        <v>94.75</v>
      </c>
      <c r="E720" s="8" t="n">
        <v>5</v>
      </c>
      <c r="F720" s="8" t="n">
        <v>92</v>
      </c>
      <c r="G720" s="10" t="n"/>
      <c r="H720" s="10" t="inlineStr">
        <is>
          <t>98004</t>
        </is>
      </c>
    </row>
    <row r="721" ht="21" customHeight="1">
      <c r="A721" s="10" t="inlineStr">
        <is>
          <t>K</t>
        </is>
      </c>
      <c r="B721" s="10" t="inlineStr">
        <is>
          <t>0010630000</t>
        </is>
      </c>
      <c r="C721" s="10" t="inlineStr">
        <is>
          <t>098006 ARAP OP-verwaltet</t>
        </is>
      </c>
      <c r="D721" s="8" t="n">
        <v>5788.83</v>
      </c>
      <c r="E721" s="8" t="n">
        <v>5</v>
      </c>
      <c r="F721" s="8" t="n">
        <v>93</v>
      </c>
      <c r="G721" s="10" t="n"/>
      <c r="H721" s="10" t="inlineStr">
        <is>
          <t>98006</t>
        </is>
      </c>
    </row>
    <row r="722" ht="21" customHeight="1">
      <c r="A722" s="10" t="inlineStr">
        <is>
          <t>P</t>
        </is>
      </c>
      <c r="B722" s="10" t="inlineStr">
        <is>
          <t>0010600000</t>
        </is>
      </c>
      <c r="C722" s="10" t="inlineStr">
        <is>
          <t>Summe ARAP</t>
        </is>
      </c>
      <c r="D722" s="8" t="n">
        <v>9364</v>
      </c>
      <c r="E722" s="8" t="n">
        <v>3</v>
      </c>
      <c r="F722" s="8" t="n">
        <v>94</v>
      </c>
      <c r="G722" s="10" t="b">
        <v>1</v>
      </c>
      <c r="H722" s="10" t="n"/>
    </row>
    <row r="723" ht="21" customHeight="1">
      <c r="A723" s="10" t="inlineStr">
        <is>
          <t>P</t>
        </is>
      </c>
      <c r="B723" s="10" t="inlineStr">
        <is>
          <t>0010000000</t>
        </is>
      </c>
      <c r="C723" s="10" t="inlineStr">
        <is>
          <t>Summe      A K T I V A</t>
        </is>
      </c>
      <c r="D723" s="8" t="n">
        <v>6753194.72</v>
      </c>
      <c r="E723" s="8" t="n">
        <v>2</v>
      </c>
      <c r="F723" s="8" t="n">
        <v>95</v>
      </c>
      <c r="G723" s="10" t="b">
        <v>1</v>
      </c>
      <c r="H723" s="10" t="n"/>
    </row>
    <row r="724" ht="21" customHeight="1">
      <c r="A724" s="10" t="inlineStr">
        <is>
          <t>P</t>
        </is>
      </c>
      <c r="B724" s="10" t="inlineStr">
        <is>
          <t>0020000000</t>
        </is>
      </c>
      <c r="C724" s="10" t="inlineStr">
        <is>
          <t>P A S S I V A</t>
        </is>
      </c>
      <c r="D724" s="8" t="n">
        <v>0</v>
      </c>
      <c r="E724" s="8" t="n">
        <v>2</v>
      </c>
      <c r="F724" s="8" t="n">
        <v>96</v>
      </c>
      <c r="G724" s="10" t="b">
        <v>0</v>
      </c>
      <c r="H724" s="10" t="n"/>
    </row>
    <row r="725" ht="21" customHeight="1">
      <c r="A725" s="10" t="inlineStr">
        <is>
          <t>P</t>
        </is>
      </c>
      <c r="B725" s="10" t="inlineStr">
        <is>
          <t>0020100000</t>
        </is>
      </c>
      <c r="C725" s="10" t="inlineStr">
        <is>
          <t>Eigenkapital</t>
        </is>
      </c>
      <c r="D725" s="8" t="n">
        <v>0</v>
      </c>
      <c r="E725" s="8" t="n">
        <v>3</v>
      </c>
      <c r="F725" s="8" t="n">
        <v>97</v>
      </c>
      <c r="G725" s="10" t="b">
        <v>0</v>
      </c>
      <c r="H725" s="10" t="n"/>
    </row>
    <row r="726" ht="21" customHeight="1">
      <c r="A726" s="10" t="inlineStr">
        <is>
          <t>P</t>
        </is>
      </c>
      <c r="B726" s="10" t="inlineStr">
        <is>
          <t>0020110000</t>
        </is>
      </c>
      <c r="C726" s="10" t="inlineStr">
        <is>
          <t>Gezeichnetes Kapital / Kommanditkapital</t>
        </is>
      </c>
      <c r="D726" s="8" t="n">
        <v>0</v>
      </c>
      <c r="E726" s="8" t="n">
        <v>4</v>
      </c>
      <c r="F726" s="8" t="n">
        <v>98</v>
      </c>
      <c r="G726" s="10" t="b">
        <v>0</v>
      </c>
      <c r="H726" s="10" t="n"/>
    </row>
    <row r="727" ht="21" customHeight="1">
      <c r="A727" s="10" t="inlineStr">
        <is>
          <t>K</t>
        </is>
      </c>
      <c r="B727" s="10" t="inlineStr">
        <is>
          <t>0020110000</t>
        </is>
      </c>
      <c r="C727" s="10" t="inlineStr">
        <is>
          <t>080000 Gezeichnetes Kapital</t>
        </is>
      </c>
      <c r="D727" s="8" t="n">
        <v>-1023000</v>
      </c>
      <c r="E727" s="8" t="n">
        <v>5</v>
      </c>
      <c r="F727" s="8" t="n">
        <v>99</v>
      </c>
      <c r="G727" s="10" t="n"/>
      <c r="H727" s="10" t="inlineStr">
        <is>
          <t>80000</t>
        </is>
      </c>
    </row>
    <row r="728" ht="21" customHeight="1">
      <c r="A728" s="10" t="inlineStr">
        <is>
          <t>P</t>
        </is>
      </c>
      <c r="B728" s="10" t="inlineStr">
        <is>
          <t>0020130000</t>
        </is>
      </c>
      <c r="C728" s="10" t="inlineStr">
        <is>
          <t>Kapitalruecklagen</t>
        </is>
      </c>
      <c r="D728" s="8" t="n">
        <v>0</v>
      </c>
      <c r="E728" s="8" t="n">
        <v>4</v>
      </c>
      <c r="F728" s="8" t="n">
        <v>100</v>
      </c>
      <c r="G728" s="10" t="b">
        <v>0</v>
      </c>
      <c r="H728" s="10" t="n"/>
    </row>
    <row r="729" ht="21" customHeight="1">
      <c r="A729" s="10" t="inlineStr">
        <is>
          <t>K</t>
        </is>
      </c>
      <c r="B729" s="10" t="inlineStr">
        <is>
          <t>0020130000</t>
        </is>
      </c>
      <c r="C729" s="10" t="inlineStr">
        <is>
          <t>084000 Kapitalrücklage</t>
        </is>
      </c>
      <c r="D729" s="8" t="n">
        <v>-1033875.64</v>
      </c>
      <c r="E729" s="8" t="n">
        <v>5</v>
      </c>
      <c r="F729" s="8" t="n">
        <v>101</v>
      </c>
      <c r="G729" s="10" t="n"/>
      <c r="H729" s="10" t="inlineStr">
        <is>
          <t>84000</t>
        </is>
      </c>
    </row>
    <row r="730" ht="21" customHeight="1">
      <c r="A730" s="10" t="inlineStr">
        <is>
          <t>P</t>
        </is>
      </c>
      <c r="B730" s="10" t="inlineStr">
        <is>
          <t>0020140000</t>
        </is>
      </c>
      <c r="C730" s="10" t="inlineStr">
        <is>
          <t>Gewinnrücklagen</t>
        </is>
      </c>
      <c r="D730" s="8" t="n">
        <v>0</v>
      </c>
      <c r="E730" s="8" t="n">
        <v>4</v>
      </c>
      <c r="F730" s="8" t="n">
        <v>102</v>
      </c>
      <c r="G730" s="10" t="b">
        <v>0</v>
      </c>
      <c r="H730" s="10" t="n"/>
    </row>
    <row r="731" ht="21" customHeight="1">
      <c r="A731" s="10" t="inlineStr">
        <is>
          <t>P</t>
        </is>
      </c>
      <c r="B731" s="10" t="inlineStr">
        <is>
          <t>0020140400</t>
        </is>
      </c>
      <c r="C731" s="10" t="inlineStr">
        <is>
          <t>Andere Gewinnrücklagen</t>
        </is>
      </c>
      <c r="D731" s="8" t="n">
        <v>0</v>
      </c>
      <c r="E731" s="8" t="n">
        <v>5</v>
      </c>
      <c r="F731" s="8" t="n">
        <v>103</v>
      </c>
      <c r="G731" s="10" t="b">
        <v>0</v>
      </c>
      <c r="H731" s="10" t="n"/>
    </row>
    <row r="732" ht="21" customHeight="1">
      <c r="A732" s="10" t="inlineStr">
        <is>
          <t>K</t>
        </is>
      </c>
      <c r="B732" s="10" t="inlineStr">
        <is>
          <t>0020140400</t>
        </is>
      </c>
      <c r="C732" s="10" t="inlineStr">
        <is>
          <t>085500 Andere Gewinnrücklagen</t>
        </is>
      </c>
      <c r="D732" s="8" t="n">
        <v>-193745.56</v>
      </c>
      <c r="E732" s="8" t="n">
        <v>6</v>
      </c>
      <c r="F732" s="8" t="n">
        <v>104</v>
      </c>
      <c r="G732" s="10" t="n"/>
      <c r="H732" s="10" t="inlineStr">
        <is>
          <t>85500</t>
        </is>
      </c>
    </row>
    <row r="733" ht="21" customHeight="1">
      <c r="A733" s="10" t="inlineStr">
        <is>
          <t>P</t>
        </is>
      </c>
      <c r="B733" s="10" t="inlineStr">
        <is>
          <t>0020162100</t>
        </is>
      </c>
      <c r="C733" s="10" t="inlineStr">
        <is>
          <t>Bilanzgewinn</t>
        </is>
      </c>
      <c r="D733" s="8" t="n">
        <v>-813322.73</v>
      </c>
      <c r="E733" s="8" t="n">
        <v>4</v>
      </c>
      <c r="F733" s="8" t="n">
        <v>105</v>
      </c>
      <c r="G733" s="10" t="b">
        <v>0</v>
      </c>
      <c r="H733" s="10" t="n"/>
    </row>
    <row r="734" ht="21" customHeight="1">
      <c r="A734" s="10" t="inlineStr">
        <is>
          <t>P</t>
        </is>
      </c>
      <c r="B734" s="10" t="inlineStr">
        <is>
          <t>0020100000</t>
        </is>
      </c>
      <c r="C734" s="10" t="inlineStr">
        <is>
          <t>Summe Eigenkapital</t>
        </is>
      </c>
      <c r="D734" s="8" t="n">
        <v>-3063943.93</v>
      </c>
      <c r="E734" s="8" t="n">
        <v>3</v>
      </c>
      <c r="F734" s="8" t="n">
        <v>106</v>
      </c>
      <c r="G734" s="10" t="b">
        <v>1</v>
      </c>
      <c r="H734" s="10" t="n"/>
    </row>
    <row r="735" ht="21" customHeight="1">
      <c r="A735" s="10" t="inlineStr">
        <is>
          <t>P</t>
        </is>
      </c>
      <c r="B735" s="10" t="inlineStr">
        <is>
          <t>0020300000</t>
        </is>
      </c>
      <c r="C735" s="10" t="inlineStr">
        <is>
          <t>Rueckstellungen</t>
        </is>
      </c>
      <c r="D735" s="8" t="n">
        <v>0</v>
      </c>
      <c r="E735" s="8" t="n">
        <v>3</v>
      </c>
      <c r="F735" s="8" t="n">
        <v>107</v>
      </c>
      <c r="G735" s="10" t="b">
        <v>0</v>
      </c>
      <c r="H735" s="10" t="n"/>
    </row>
    <row r="736" ht="21" customHeight="1">
      <c r="A736" s="10" t="inlineStr">
        <is>
          <t>K</t>
        </is>
      </c>
      <c r="B736" s="10" t="inlineStr">
        <is>
          <t>0020330010</t>
        </is>
      </c>
      <c r="C736" s="10" t="inlineStr">
        <is>
          <t>095510 Gewerbesteuerrückstellung</t>
        </is>
      </c>
      <c r="D736" s="8" t="n">
        <v>-250.8</v>
      </c>
      <c r="E736" s="8" t="n">
        <v>6</v>
      </c>
      <c r="F736" s="8" t="n">
        <v>108</v>
      </c>
      <c r="G736" s="10" t="n"/>
      <c r="H736" s="10" t="inlineStr">
        <is>
          <t>95510</t>
        </is>
      </c>
    </row>
    <row r="737" ht="21" customHeight="1">
      <c r="A737" s="10" t="inlineStr">
        <is>
          <t>P</t>
        </is>
      </c>
      <c r="B737" s="10" t="inlineStr">
        <is>
          <t>0020340000</t>
        </is>
      </c>
      <c r="C737" s="10" t="inlineStr">
        <is>
          <t>Sonstige Rueckstellungen</t>
        </is>
      </c>
      <c r="D737" s="8" t="n">
        <v>0</v>
      </c>
      <c r="E737" s="8" t="n">
        <v>4</v>
      </c>
      <c r="F737" s="8" t="n">
        <v>109</v>
      </c>
      <c r="G737" s="10" t="b">
        <v>0</v>
      </c>
      <c r="H737" s="10" t="n"/>
    </row>
    <row r="738" ht="21" customHeight="1">
      <c r="A738" s="10" t="inlineStr">
        <is>
          <t>K</t>
        </is>
      </c>
      <c r="B738" s="10" t="inlineStr">
        <is>
          <t>0020340102</t>
        </is>
      </c>
      <c r="C738" s="10" t="inlineStr">
        <is>
          <t>097207 Rückstellung Variable Vergütung</t>
        </is>
      </c>
      <c r="D738" s="8" t="n">
        <v>-66505.64999999999</v>
      </c>
      <c r="E738" s="8" t="n">
        <v>7</v>
      </c>
      <c r="F738" s="8" t="n">
        <v>110</v>
      </c>
      <c r="G738" s="10" t="n"/>
      <c r="H738" s="10" t="inlineStr">
        <is>
          <t>97207</t>
        </is>
      </c>
    </row>
    <row r="739" ht="21" customHeight="1">
      <c r="A739" s="10" t="inlineStr">
        <is>
          <t>K</t>
        </is>
      </c>
      <c r="B739" s="10" t="inlineStr">
        <is>
          <t>0020340102</t>
        </is>
      </c>
      <c r="C739" s="10" t="inlineStr">
        <is>
          <t>599136 Gegenkonto Abgrenzung variable Vergütung</t>
        </is>
      </c>
      <c r="D739" s="8" t="n">
        <v>-185038</v>
      </c>
      <c r="E739" s="8" t="n">
        <v>7</v>
      </c>
      <c r="F739" s="8" t="n">
        <v>111</v>
      </c>
      <c r="G739" s="10" t="n"/>
      <c r="H739" s="10" t="inlineStr">
        <is>
          <t>599136</t>
        </is>
      </c>
    </row>
    <row r="740" ht="21" customHeight="1">
      <c r="A740" s="10" t="inlineStr">
        <is>
          <t>K</t>
        </is>
      </c>
      <c r="B740" s="10" t="inlineStr">
        <is>
          <t>0020340104</t>
        </is>
      </c>
      <c r="C740" s="10" t="inlineStr">
        <is>
          <t>097202 Rückstellung Urlaubsverpflichtungen</t>
        </is>
      </c>
      <c r="D740" s="8" t="n">
        <v>-108635.41</v>
      </c>
      <c r="E740" s="8" t="n">
        <v>7</v>
      </c>
      <c r="F740" s="8" t="n">
        <v>112</v>
      </c>
      <c r="G740" s="10" t="n"/>
      <c r="H740" s="10" t="inlineStr">
        <is>
          <t>97202</t>
        </is>
      </c>
    </row>
    <row r="741" ht="21" customHeight="1">
      <c r="A741" s="10" t="inlineStr">
        <is>
          <t>K</t>
        </is>
      </c>
      <c r="B741" s="10" t="inlineStr">
        <is>
          <t>0020340105</t>
        </is>
      </c>
      <c r="C741" s="10" t="inlineStr">
        <is>
          <t>097209 Rückstellung Überstunden/Mehrarbeit</t>
        </is>
      </c>
      <c r="D741" s="8" t="n">
        <v>-75406.8</v>
      </c>
      <c r="E741" s="8" t="n">
        <v>7</v>
      </c>
      <c r="F741" s="8" t="n">
        <v>113</v>
      </c>
      <c r="G741" s="10" t="n"/>
      <c r="H741" s="10" t="inlineStr">
        <is>
          <t>97209</t>
        </is>
      </c>
    </row>
    <row r="742" ht="21" customHeight="1">
      <c r="A742" s="10" t="inlineStr">
        <is>
          <t>K</t>
        </is>
      </c>
      <c r="B742" s="10" t="inlineStr">
        <is>
          <t>0020340109</t>
        </is>
      </c>
      <c r="C742" s="10" t="inlineStr">
        <is>
          <t>097200 Rückstellung Berufsgenossenschaft</t>
        </is>
      </c>
      <c r="D742" s="8" t="n">
        <v>-287.8</v>
      </c>
      <c r="E742" s="8" t="n">
        <v>7</v>
      </c>
      <c r="F742" s="8" t="n">
        <v>114</v>
      </c>
      <c r="G742" s="10" t="n"/>
      <c r="H742" s="10" t="inlineStr">
        <is>
          <t>97200</t>
        </is>
      </c>
    </row>
    <row r="743" ht="21" customHeight="1">
      <c r="A743" s="10" t="inlineStr">
        <is>
          <t>K</t>
        </is>
      </c>
      <c r="B743" s="10" t="inlineStr">
        <is>
          <t>0020340109</t>
        </is>
      </c>
      <c r="C743" s="10" t="inlineStr">
        <is>
          <t>599131 Gegenkonto Abgrenzung Berufsgenossenschaft</t>
        </is>
      </c>
      <c r="D743" s="8" t="n">
        <v>-42350</v>
      </c>
      <c r="E743" s="8" t="n">
        <v>7</v>
      </c>
      <c r="F743" s="8" t="n">
        <v>115</v>
      </c>
      <c r="G743" s="10" t="n"/>
      <c r="H743" s="10" t="inlineStr">
        <is>
          <t>599131</t>
        </is>
      </c>
    </row>
    <row r="744" ht="21" customHeight="1">
      <c r="A744" s="10" t="inlineStr">
        <is>
          <t>P</t>
        </is>
      </c>
      <c r="B744" s="10" t="inlineStr">
        <is>
          <t>0020340200</t>
        </is>
      </c>
      <c r="C744" s="10" t="inlineStr">
        <is>
          <t>Uebrige Rueckstellungen</t>
        </is>
      </c>
      <c r="D744" s="8" t="n">
        <v>0</v>
      </c>
      <c r="E744" s="8" t="n">
        <v>5</v>
      </c>
      <c r="F744" s="8" t="n">
        <v>116</v>
      </c>
      <c r="G744" s="10" t="b">
        <v>0</v>
      </c>
      <c r="H744" s="10" t="n"/>
    </row>
    <row r="745" ht="21" customHeight="1">
      <c r="A745" s="10" t="inlineStr">
        <is>
          <t>K</t>
        </is>
      </c>
      <c r="B745" s="10" t="inlineStr">
        <is>
          <t>0020340250</t>
        </is>
      </c>
      <c r="C745" s="10" t="inlineStr">
        <is>
          <t>097035 Rückst. f. Jahresabschluss/Rechtsberatung</t>
        </is>
      </c>
      <c r="D745" s="8" t="n">
        <v>-11182</v>
      </c>
      <c r="E745" s="8" t="n">
        <v>7</v>
      </c>
      <c r="F745" s="8" t="n">
        <v>117</v>
      </c>
      <c r="G745" s="10" t="n"/>
      <c r="H745" s="10" t="inlineStr">
        <is>
          <t>97035</t>
        </is>
      </c>
    </row>
    <row r="746" ht="21" customHeight="1">
      <c r="A746" s="10" t="inlineStr">
        <is>
          <t>K</t>
        </is>
      </c>
      <c r="B746" s="10" t="inlineStr">
        <is>
          <t>0020340265</t>
        </is>
      </c>
      <c r="C746" s="10" t="inlineStr">
        <is>
          <t>097300 Rückstellung für Zinsen auf Steuernachzahlungen</t>
        </is>
      </c>
      <c r="D746" s="8" t="n">
        <v>-29.56</v>
      </c>
      <c r="E746" s="8" t="n">
        <v>7</v>
      </c>
      <c r="F746" s="8" t="n">
        <v>118</v>
      </c>
      <c r="G746" s="10" t="n"/>
      <c r="H746" s="10" t="inlineStr">
        <is>
          <t>97300</t>
        </is>
      </c>
    </row>
    <row r="747" ht="21" customHeight="1">
      <c r="A747" s="10" t="inlineStr">
        <is>
          <t>K</t>
        </is>
      </c>
      <c r="B747" s="10" t="inlineStr">
        <is>
          <t>0020340270</t>
        </is>
      </c>
      <c r="C747" s="10" t="inlineStr">
        <is>
          <t>599992 Gegenkonto Kostenabgrenzungen (Rückstell.)</t>
        </is>
      </c>
      <c r="D747" s="8" t="n">
        <v>-57000</v>
      </c>
      <c r="E747" s="8" t="n">
        <v>7</v>
      </c>
      <c r="F747" s="8" t="n">
        <v>119</v>
      </c>
      <c r="G747" s="10" t="n"/>
      <c r="H747" s="10" t="inlineStr">
        <is>
          <t>599992</t>
        </is>
      </c>
    </row>
    <row r="748" ht="21" customHeight="1">
      <c r="A748" s="10" t="inlineStr">
        <is>
          <t>P</t>
        </is>
      </c>
      <c r="B748" s="10" t="inlineStr">
        <is>
          <t>0020300000</t>
        </is>
      </c>
      <c r="C748" s="10" t="inlineStr">
        <is>
          <t>Summe Rueckstellungen</t>
        </is>
      </c>
      <c r="D748" s="8" t="n">
        <v>-546686.02</v>
      </c>
      <c r="E748" s="8" t="n">
        <v>3</v>
      </c>
      <c r="F748" s="8" t="n">
        <v>120</v>
      </c>
      <c r="G748" s="10" t="b">
        <v>1</v>
      </c>
      <c r="H748" s="10" t="n"/>
    </row>
    <row r="749" ht="21" customHeight="1">
      <c r="A749" s="10" t="inlineStr">
        <is>
          <t>P</t>
        </is>
      </c>
      <c r="B749" s="10" t="inlineStr">
        <is>
          <t>0020400000</t>
        </is>
      </c>
      <c r="C749" s="10" t="inlineStr">
        <is>
          <t>Verbindlichkeiten</t>
        </is>
      </c>
      <c r="D749" s="8" t="n">
        <v>0</v>
      </c>
      <c r="E749" s="8" t="n">
        <v>3</v>
      </c>
      <c r="F749" s="8" t="n">
        <v>121</v>
      </c>
      <c r="G749" s="10" t="b">
        <v>0</v>
      </c>
      <c r="H749" s="10" t="n"/>
    </row>
    <row r="750" ht="21" customHeight="1">
      <c r="A750" s="10" t="inlineStr">
        <is>
          <t>P</t>
        </is>
      </c>
      <c r="B750" s="10" t="inlineStr">
        <is>
          <t>0020440000</t>
        </is>
      </c>
      <c r="C750" s="10" t="inlineStr">
        <is>
          <t>Verbindlk. L+L</t>
        </is>
      </c>
      <c r="D750" s="8" t="n">
        <v>0</v>
      </c>
      <c r="E750" s="8" t="n">
        <v>4</v>
      </c>
      <c r="F750" s="8" t="n">
        <v>122</v>
      </c>
      <c r="G750" s="10" t="b">
        <v>0</v>
      </c>
      <c r="H750" s="10" t="n"/>
    </row>
    <row r="751" ht="21" customHeight="1">
      <c r="A751" s="10" t="inlineStr">
        <is>
          <t>P</t>
        </is>
      </c>
      <c r="B751" s="10" t="inlineStr">
        <is>
          <t>0020440100</t>
        </is>
      </c>
      <c r="C751" s="10" t="inlineStr">
        <is>
          <t>Verblk. L+L (RLZ &lt;1J)</t>
        </is>
      </c>
      <c r="D751" s="8" t="n">
        <v>0</v>
      </c>
      <c r="E751" s="8" t="n">
        <v>5</v>
      </c>
      <c r="F751" s="8" t="n">
        <v>123</v>
      </c>
      <c r="G751" s="10" t="b">
        <v>0</v>
      </c>
      <c r="H751" s="10" t="n"/>
    </row>
    <row r="752" ht="21" customHeight="1">
      <c r="A752" s="10" t="inlineStr">
        <is>
          <t>K</t>
        </is>
      </c>
      <c r="B752" s="10" t="inlineStr">
        <is>
          <t>0020440100</t>
        </is>
      </c>
      <c r="C752" s="10" t="inlineStr">
        <is>
          <t>160000 Verbindlichkeiten aus Lieferungen und Leistungen</t>
        </is>
      </c>
      <c r="D752" s="8" t="n">
        <v>-1044596.61</v>
      </c>
      <c r="E752" s="8" t="n">
        <v>6</v>
      </c>
      <c r="F752" s="8" t="n">
        <v>124</v>
      </c>
      <c r="G752" s="10" t="n"/>
      <c r="H752" s="10" t="inlineStr">
        <is>
          <t>160000</t>
        </is>
      </c>
    </row>
    <row r="753" ht="21" customHeight="1">
      <c r="A753" s="10" t="inlineStr">
        <is>
          <t>K</t>
        </is>
      </c>
      <c r="B753" s="10" t="inlineStr">
        <is>
          <t>0020440100</t>
        </is>
      </c>
      <c r="C753" s="10" t="inlineStr">
        <is>
          <t>900061 Verbind.aus L+L (Korrekturkto)</t>
        </is>
      </c>
      <c r="D753" s="8" t="n">
        <v>-1442.52</v>
      </c>
      <c r="E753" s="8" t="n">
        <v>6</v>
      </c>
      <c r="F753" s="8" t="n">
        <v>125</v>
      </c>
      <c r="G753" s="10" t="n"/>
      <c r="H753" s="10" t="inlineStr">
        <is>
          <t>900061</t>
        </is>
      </c>
    </row>
    <row r="754" ht="21" customHeight="1">
      <c r="A754" s="10" t="inlineStr">
        <is>
          <t>K</t>
        </is>
      </c>
      <c r="B754" s="10" t="inlineStr">
        <is>
          <t>0020440400</t>
        </is>
      </c>
      <c r="C754" s="10" t="inlineStr">
        <is>
          <t>599994 Gegenkonto aus Kostenabgrenzung Verb. L&amp;L</t>
        </is>
      </c>
      <c r="D754" s="8" t="n">
        <v>-357773.88</v>
      </c>
      <c r="E754" s="8" t="n">
        <v>6</v>
      </c>
      <c r="F754" s="8" t="n">
        <v>126</v>
      </c>
      <c r="G754" s="10" t="n"/>
      <c r="H754" s="10" t="inlineStr">
        <is>
          <t>599994</t>
        </is>
      </c>
    </row>
    <row r="755" ht="21" customHeight="1">
      <c r="A755" s="10" t="inlineStr">
        <is>
          <t>P</t>
        </is>
      </c>
      <c r="B755" s="10" t="inlineStr">
        <is>
          <t>0020440000</t>
        </is>
      </c>
      <c r="C755" s="10" t="inlineStr">
        <is>
          <t>Summe Verbindlk. L+L</t>
        </is>
      </c>
      <c r="D755" s="8" t="n">
        <v>-1403813.01</v>
      </c>
      <c r="E755" s="8" t="n">
        <v>4</v>
      </c>
      <c r="F755" s="8" t="n">
        <v>127</v>
      </c>
      <c r="G755" s="10" t="b">
        <v>1</v>
      </c>
      <c r="H755" s="10" t="n"/>
    </row>
    <row r="756" ht="21" customHeight="1">
      <c r="A756" s="10" t="inlineStr">
        <is>
          <t>P</t>
        </is>
      </c>
      <c r="B756" s="10" t="inlineStr">
        <is>
          <t>0020460000</t>
        </is>
      </c>
      <c r="C756" s="10" t="inlineStr">
        <is>
          <t>Verblk. verbund.</t>
        </is>
      </c>
      <c r="D756" s="8" t="n">
        <v>0</v>
      </c>
      <c r="E756" s="8" t="n">
        <v>4</v>
      </c>
      <c r="F756" s="8" t="n">
        <v>128</v>
      </c>
      <c r="G756" s="10" t="b">
        <v>0</v>
      </c>
      <c r="H756" s="10" t="n"/>
    </row>
    <row r="757" ht="21" customHeight="1">
      <c r="A757" s="10" t="inlineStr">
        <is>
          <t>P</t>
        </is>
      </c>
      <c r="B757" s="10" t="inlineStr">
        <is>
          <t>0020460100</t>
        </is>
      </c>
      <c r="C757" s="10" t="inlineStr">
        <is>
          <t>Verb. verbund. L+L</t>
        </is>
      </c>
      <c r="D757" s="8" t="n">
        <v>0</v>
      </c>
      <c r="E757" s="8" t="n">
        <v>5</v>
      </c>
      <c r="F757" s="8" t="n">
        <v>129</v>
      </c>
      <c r="G757" s="10" t="b">
        <v>0</v>
      </c>
      <c r="H757" s="10" t="n"/>
    </row>
    <row r="758" ht="21" customHeight="1">
      <c r="A758" s="10" t="inlineStr">
        <is>
          <t>K</t>
        </is>
      </c>
      <c r="B758" s="10" t="inlineStr">
        <is>
          <t>0020460110</t>
        </is>
      </c>
      <c r="C758" s="10" t="inlineStr">
        <is>
          <t>160010 Verbindlichkeiten gegenüber verbundenen Unternehme</t>
        </is>
      </c>
      <c r="D758" s="8" t="n">
        <v>-571.9</v>
      </c>
      <c r="E758" s="8" t="n">
        <v>7</v>
      </c>
      <c r="F758" s="8" t="n">
        <v>130</v>
      </c>
      <c r="G758" s="10" t="n"/>
      <c r="H758" s="10" t="inlineStr">
        <is>
          <t>160010</t>
        </is>
      </c>
    </row>
    <row r="759" ht="21" customHeight="1">
      <c r="A759" s="10" t="inlineStr">
        <is>
          <t>K</t>
        </is>
      </c>
      <c r="B759" s="10" t="inlineStr">
        <is>
          <t>0020460110</t>
        </is>
      </c>
      <c r="C759" s="10" t="inlineStr">
        <is>
          <t>900065 Verbind.verb.Unternehmen (Korrekturkto)</t>
        </is>
      </c>
      <c r="D759" s="8" t="n">
        <v>-5484.01</v>
      </c>
      <c r="E759" s="8" t="n">
        <v>7</v>
      </c>
      <c r="F759" s="8" t="n">
        <v>131</v>
      </c>
      <c r="G759" s="10" t="n"/>
      <c r="H759" s="10" t="inlineStr">
        <is>
          <t>900065</t>
        </is>
      </c>
    </row>
    <row r="760" ht="21" customHeight="1">
      <c r="A760" s="10" t="inlineStr">
        <is>
          <t>P</t>
        </is>
      </c>
      <c r="B760" s="10" t="inlineStr">
        <is>
          <t>0020460200</t>
        </is>
      </c>
      <c r="C760" s="10" t="inlineStr">
        <is>
          <t>Verb. verbund. Transfer</t>
        </is>
      </c>
      <c r="D760" s="8" t="n">
        <v>0</v>
      </c>
      <c r="E760" s="8" t="n">
        <v>5</v>
      </c>
      <c r="F760" s="8" t="n">
        <v>132</v>
      </c>
      <c r="G760" s="10" t="b">
        <v>0</v>
      </c>
      <c r="H760" s="10" t="n"/>
    </row>
    <row r="761" ht="21" customHeight="1">
      <c r="A761" s="10" t="inlineStr">
        <is>
          <t>K</t>
        </is>
      </c>
      <c r="B761" s="10" t="inlineStr">
        <is>
          <t>0020460210</t>
        </is>
      </c>
      <c r="C761" s="10" t="inlineStr">
        <is>
          <t>111409 CashPool ALBA  plc &amp; Co. KG (5002) vU</t>
        </is>
      </c>
      <c r="D761" s="8" t="n">
        <v>-919229.04</v>
      </c>
      <c r="E761" s="8" t="n">
        <v>7</v>
      </c>
      <c r="F761" s="8" t="n">
        <v>133</v>
      </c>
      <c r="G761" s="10" t="n"/>
      <c r="H761" s="10" t="inlineStr">
        <is>
          <t>111409</t>
        </is>
      </c>
    </row>
    <row r="762" ht="21" customHeight="1">
      <c r="A762" s="10" t="inlineStr">
        <is>
          <t>P</t>
        </is>
      </c>
      <c r="B762" s="10" t="inlineStr">
        <is>
          <t>0020460300</t>
        </is>
      </c>
      <c r="C762" s="10" t="inlineStr">
        <is>
          <t>Verb. verbund. Sonst.</t>
        </is>
      </c>
      <c r="D762" s="8" t="n">
        <v>0</v>
      </c>
      <c r="E762" s="8" t="n">
        <v>5</v>
      </c>
      <c r="F762" s="8" t="n">
        <v>134</v>
      </c>
      <c r="G762" s="10" t="b">
        <v>0</v>
      </c>
      <c r="H762" s="10" t="n"/>
    </row>
    <row r="763" ht="21" customHeight="1">
      <c r="A763" s="10" t="inlineStr">
        <is>
          <t>K</t>
        </is>
      </c>
      <c r="B763" s="10" t="inlineStr">
        <is>
          <t>0020460310</t>
        </is>
      </c>
      <c r="C763" s="10" t="inlineStr">
        <is>
          <t>191529 V-Kto. ALBA SE (4000)</t>
        </is>
      </c>
      <c r="D763" s="8" t="n">
        <v>-956.1</v>
      </c>
      <c r="E763" s="8" t="n">
        <v>7</v>
      </c>
      <c r="F763" s="8" t="n">
        <v>135</v>
      </c>
      <c r="G763" s="10" t="n"/>
      <c r="H763" s="10" t="inlineStr">
        <is>
          <t>191529</t>
        </is>
      </c>
    </row>
    <row r="764" ht="21" customHeight="1">
      <c r="A764" s="10" t="inlineStr">
        <is>
          <t>K</t>
        </is>
      </c>
      <c r="B764" s="10" t="inlineStr">
        <is>
          <t>0020460310</t>
        </is>
      </c>
      <c r="C764" s="10" t="inlineStr">
        <is>
          <t>194406 V-Kto 2 ALBA KG (5002)</t>
        </is>
      </c>
      <c r="D764" s="8" t="n">
        <v>-21765.48</v>
      </c>
      <c r="E764" s="8" t="n">
        <v>7</v>
      </c>
      <c r="F764" s="8" t="n">
        <v>136</v>
      </c>
      <c r="G764" s="10" t="n"/>
      <c r="H764" s="10" t="inlineStr">
        <is>
          <t>194406</t>
        </is>
      </c>
    </row>
    <row r="765" ht="21" customHeight="1">
      <c r="A765" s="10" t="inlineStr">
        <is>
          <t>K</t>
        </is>
      </c>
      <c r="B765" s="10" t="inlineStr">
        <is>
          <t>0020460351</t>
        </is>
      </c>
      <c r="C765" s="10" t="inlineStr">
        <is>
          <t>160016 Verb. gegenüber verbundenen Unternehmen Zinsen</t>
        </is>
      </c>
      <c r="D765" s="8" t="n">
        <v>-46083.32</v>
      </c>
      <c r="E765" s="8" t="n">
        <v>7</v>
      </c>
      <c r="F765" s="8" t="n">
        <v>137</v>
      </c>
      <c r="G765" s="10" t="n"/>
      <c r="H765" s="10" t="inlineStr">
        <is>
          <t>160016</t>
        </is>
      </c>
    </row>
    <row r="766" ht="21" customHeight="1">
      <c r="A766" s="10" t="inlineStr">
        <is>
          <t>P</t>
        </is>
      </c>
      <c r="B766" s="10" t="inlineStr">
        <is>
          <t>0020460000</t>
        </is>
      </c>
      <c r="C766" s="10" t="inlineStr">
        <is>
          <t>Summe Verblk. verbund.</t>
        </is>
      </c>
      <c r="D766" s="8" t="n">
        <v>-994089.85</v>
      </c>
      <c r="E766" s="8" t="n">
        <v>4</v>
      </c>
      <c r="F766" s="8" t="n">
        <v>138</v>
      </c>
      <c r="G766" s="10" t="b">
        <v>1</v>
      </c>
      <c r="H766" s="10" t="n"/>
    </row>
    <row r="767" ht="21" customHeight="1">
      <c r="A767" s="10" t="inlineStr">
        <is>
          <t>P</t>
        </is>
      </c>
      <c r="B767" s="10" t="inlineStr">
        <is>
          <t>0020490000</t>
        </is>
      </c>
      <c r="C767" s="10" t="inlineStr">
        <is>
          <t>Sonst. Verbindlichkeiten</t>
        </is>
      </c>
      <c r="D767" s="8" t="n">
        <v>0</v>
      </c>
      <c r="E767" s="8" t="n">
        <v>4</v>
      </c>
      <c r="F767" s="8" t="n">
        <v>139</v>
      </c>
      <c r="G767" s="10" t="b">
        <v>0</v>
      </c>
      <c r="H767" s="10" t="n"/>
    </row>
    <row r="768" ht="21" customHeight="1">
      <c r="A768" s="10" t="inlineStr">
        <is>
          <t>P</t>
        </is>
      </c>
      <c r="B768" s="10" t="inlineStr">
        <is>
          <t>0020490100</t>
        </is>
      </c>
      <c r="C768" s="10" t="inlineStr">
        <is>
          <t>Verblk. sonst. Steuern</t>
        </is>
      </c>
      <c r="D768" s="8" t="n">
        <v>0</v>
      </c>
      <c r="E768" s="8" t="n">
        <v>6</v>
      </c>
      <c r="F768" s="8" t="n">
        <v>140</v>
      </c>
      <c r="G768" s="10" t="b">
        <v>0</v>
      </c>
      <c r="H768" s="10" t="n"/>
    </row>
    <row r="769" ht="21" customHeight="1">
      <c r="A769" s="10" t="inlineStr">
        <is>
          <t>P</t>
        </is>
      </c>
      <c r="B769" s="10" t="inlineStr">
        <is>
          <t>0020490110</t>
        </is>
      </c>
      <c r="C769" s="10" t="inlineStr">
        <is>
          <t>Verblk. sonst. Steuern (RLZ &lt;1J)</t>
        </is>
      </c>
      <c r="D769" s="8" t="n">
        <v>0</v>
      </c>
      <c r="E769" s="8" t="n">
        <v>7</v>
      </c>
      <c r="F769" s="8" t="n">
        <v>141</v>
      </c>
      <c r="G769" s="10" t="b">
        <v>0</v>
      </c>
      <c r="H769" s="10" t="n"/>
    </row>
    <row r="770" ht="21" customHeight="1">
      <c r="A770" s="10" t="inlineStr">
        <is>
          <t>K</t>
        </is>
      </c>
      <c r="B770" s="10" t="inlineStr">
        <is>
          <t>0020490110</t>
        </is>
      </c>
      <c r="C770" s="10" t="inlineStr">
        <is>
          <t>157000 Vorsteuer</t>
        </is>
      </c>
      <c r="D770" s="8" t="n">
        <v>950674.26</v>
      </c>
      <c r="E770" s="8" t="n">
        <v>8</v>
      </c>
      <c r="F770" s="8" t="n">
        <v>142</v>
      </c>
      <c r="G770" s="10" t="n"/>
      <c r="H770" s="10" t="inlineStr">
        <is>
          <t>157000</t>
        </is>
      </c>
    </row>
    <row r="771" ht="21" customHeight="1">
      <c r="A771" s="10" t="inlineStr">
        <is>
          <t>K</t>
        </is>
      </c>
      <c r="B771" s="10" t="inlineStr">
        <is>
          <t>0020490110</t>
        </is>
      </c>
      <c r="C771" s="10" t="inlineStr">
        <is>
          <t>157010 Vorsteuer (Altteile)</t>
        </is>
      </c>
      <c r="D771" s="8" t="n">
        <v>12.9</v>
      </c>
      <c r="E771" s="8" t="n">
        <v>8</v>
      </c>
      <c r="F771" s="8" t="n">
        <v>143</v>
      </c>
      <c r="G771" s="10" t="n"/>
      <c r="H771" s="10" t="inlineStr">
        <is>
          <t>157010</t>
        </is>
      </c>
    </row>
    <row r="772" ht="21" customHeight="1">
      <c r="A772" s="10" t="inlineStr">
        <is>
          <t>K</t>
        </is>
      </c>
      <c r="B772" s="10" t="inlineStr">
        <is>
          <t>0020490110</t>
        </is>
      </c>
      <c r="C772" s="10" t="inlineStr">
        <is>
          <t>157030 Erwerbsteuer (Eingang)</t>
        </is>
      </c>
      <c r="D772" s="8" t="n">
        <v>1210498.3</v>
      </c>
      <c r="E772" s="8" t="n">
        <v>8</v>
      </c>
      <c r="F772" s="8" t="n">
        <v>144</v>
      </c>
      <c r="G772" s="10" t="n"/>
      <c r="H772" s="10" t="inlineStr">
        <is>
          <t>157030</t>
        </is>
      </c>
    </row>
    <row r="773" ht="21" customHeight="1">
      <c r="A773" s="10" t="inlineStr">
        <is>
          <t>K</t>
        </is>
      </c>
      <c r="B773" s="10" t="inlineStr">
        <is>
          <t>0020490110</t>
        </is>
      </c>
      <c r="C773" s="10" t="inlineStr">
        <is>
          <t>174100 Verbindlichkeiten aus Lohn-u.Kirchensteuer</t>
        </is>
      </c>
      <c r="D773" s="8" t="n">
        <v>-44456.19</v>
      </c>
      <c r="E773" s="8" t="n">
        <v>8</v>
      </c>
      <c r="F773" s="8" t="n">
        <v>145</v>
      </c>
      <c r="G773" s="10" t="n"/>
      <c r="H773" s="10" t="inlineStr">
        <is>
          <t>174100</t>
        </is>
      </c>
    </row>
    <row r="774" ht="21" customHeight="1">
      <c r="A774" s="10" t="inlineStr">
        <is>
          <t>K</t>
        </is>
      </c>
      <c r="B774" s="10" t="inlineStr">
        <is>
          <t>0020490110</t>
        </is>
      </c>
      <c r="C774" s="10" t="inlineStr">
        <is>
          <t>177000 Ausgangssteuer</t>
        </is>
      </c>
      <c r="D774" s="8" t="n">
        <v>-2036685.24</v>
      </c>
      <c r="E774" s="8" t="n">
        <v>8</v>
      </c>
      <c r="F774" s="8" t="n">
        <v>146</v>
      </c>
      <c r="G774" s="10" t="n"/>
      <c r="H774" s="10" t="inlineStr">
        <is>
          <t>177000</t>
        </is>
      </c>
    </row>
    <row r="775" ht="21" customHeight="1">
      <c r="A775" s="10" t="inlineStr">
        <is>
          <t>K</t>
        </is>
      </c>
      <c r="B775" s="10" t="inlineStr">
        <is>
          <t>0020490110</t>
        </is>
      </c>
      <c r="C775" s="10" t="inlineStr">
        <is>
          <t>177060 Erwerbsteuer Ausgang</t>
        </is>
      </c>
      <c r="D775" s="8" t="n">
        <v>-1210498.3</v>
      </c>
      <c r="E775" s="8" t="n">
        <v>8</v>
      </c>
      <c r="F775" s="8" t="n">
        <v>147</v>
      </c>
      <c r="G775" s="10" t="n"/>
      <c r="H775" s="10" t="inlineStr">
        <is>
          <t>177060</t>
        </is>
      </c>
    </row>
    <row r="776" ht="21" customHeight="1">
      <c r="A776" s="10" t="inlineStr">
        <is>
          <t>K</t>
        </is>
      </c>
      <c r="B776" s="10" t="inlineStr">
        <is>
          <t>0020490110</t>
        </is>
      </c>
      <c r="C776" s="10" t="inlineStr">
        <is>
          <t>178890 USt Zahllast Organträger</t>
        </is>
      </c>
      <c r="D776" s="8" t="n">
        <v>-19885.45</v>
      </c>
      <c r="E776" s="8" t="n">
        <v>8</v>
      </c>
      <c r="F776" s="8" t="n">
        <v>148</v>
      </c>
      <c r="G776" s="10" t="n"/>
      <c r="H776" s="10" t="inlineStr">
        <is>
          <t>178890</t>
        </is>
      </c>
    </row>
    <row r="777" ht="21" customHeight="1">
      <c r="A777" s="10" t="inlineStr">
        <is>
          <t>K</t>
        </is>
      </c>
      <c r="B777" s="10" t="inlineStr">
        <is>
          <t>0020490110</t>
        </is>
      </c>
      <c r="C777" s="10" t="inlineStr">
        <is>
          <t>178901 Zahllast laufendes Jahr Finanzamt</t>
        </is>
      </c>
      <c r="D777" s="8" t="n">
        <v>834678.45</v>
      </c>
      <c r="E777" s="8" t="n">
        <v>8</v>
      </c>
      <c r="F777" s="8" t="n">
        <v>149</v>
      </c>
      <c r="G777" s="10" t="n"/>
      <c r="H777" s="10" t="inlineStr">
        <is>
          <t>178901</t>
        </is>
      </c>
    </row>
    <row r="778" ht="21" customHeight="1">
      <c r="A778" s="10" t="inlineStr">
        <is>
          <t>K</t>
        </is>
      </c>
      <c r="B778" s="10" t="inlineStr">
        <is>
          <t>0020490110</t>
        </is>
      </c>
      <c r="C778" s="10" t="inlineStr">
        <is>
          <t>900091 Verbindlichk. sonstige Steuern (Korrekturkonto)</t>
        </is>
      </c>
      <c r="D778" s="8" t="n">
        <v>-60935.46</v>
      </c>
      <c r="E778" s="8" t="n">
        <v>8</v>
      </c>
      <c r="F778" s="8" t="n">
        <v>150</v>
      </c>
      <c r="G778" s="10" t="n"/>
      <c r="H778" s="10" t="inlineStr">
        <is>
          <t>900091</t>
        </is>
      </c>
    </row>
    <row r="779" ht="21" customHeight="1">
      <c r="A779" s="10" t="inlineStr">
        <is>
          <t>P</t>
        </is>
      </c>
      <c r="B779" s="10" t="inlineStr">
        <is>
          <t>0020491000</t>
        </is>
      </c>
      <c r="C779" s="10" t="inlineStr">
        <is>
          <t>And. Sonst. Verbindlk.</t>
        </is>
      </c>
      <c r="D779" s="8" t="n">
        <v>0</v>
      </c>
      <c r="E779" s="8" t="n">
        <v>5</v>
      </c>
      <c r="F779" s="8" t="n">
        <v>151</v>
      </c>
      <c r="G779" s="10" t="b">
        <v>0</v>
      </c>
      <c r="H779" s="10" t="n"/>
    </row>
    <row r="780" ht="21" customHeight="1">
      <c r="A780" s="10" t="inlineStr">
        <is>
          <t>P</t>
        </is>
      </c>
      <c r="B780" s="10" t="inlineStr">
        <is>
          <t>0020491100</t>
        </is>
      </c>
      <c r="C780" s="10" t="inlineStr">
        <is>
          <t>Verb. Lohn und Gehalt</t>
        </is>
      </c>
      <c r="D780" s="8" t="n">
        <v>0</v>
      </c>
      <c r="E780" s="8" t="n">
        <v>6</v>
      </c>
      <c r="F780" s="8" t="n">
        <v>152</v>
      </c>
      <c r="G780" s="10" t="b">
        <v>0</v>
      </c>
      <c r="H780" s="10" t="n"/>
    </row>
    <row r="781" ht="21" customHeight="1">
      <c r="A781" s="10" t="inlineStr">
        <is>
          <t>K</t>
        </is>
      </c>
      <c r="B781" s="10" t="inlineStr">
        <is>
          <t>0020491110</t>
        </is>
      </c>
      <c r="C781" s="10" t="inlineStr">
        <is>
          <t>174000 Verbindlichkeiten aus Lohn und Gehalt</t>
        </is>
      </c>
      <c r="D781" s="8" t="n">
        <v>-2345.49</v>
      </c>
      <c r="E781" s="8" t="n">
        <v>8</v>
      </c>
      <c r="F781" s="8" t="n">
        <v>153</v>
      </c>
      <c r="G781" s="10" t="n"/>
      <c r="H781" s="10" t="inlineStr">
        <is>
          <t>174000</t>
        </is>
      </c>
    </row>
    <row r="782" ht="21" customHeight="1">
      <c r="A782" s="10" t="inlineStr">
        <is>
          <t>P</t>
        </is>
      </c>
      <c r="B782" s="10" t="inlineStr">
        <is>
          <t>0020491200</t>
        </is>
      </c>
      <c r="C782" s="10" t="inlineStr">
        <is>
          <t>Uebr.and.sonst.Verb.</t>
        </is>
      </c>
      <c r="D782" s="8" t="n">
        <v>0</v>
      </c>
      <c r="E782" s="8" t="n">
        <v>6</v>
      </c>
      <c r="F782" s="8" t="n">
        <v>154</v>
      </c>
      <c r="G782" s="10" t="b">
        <v>0</v>
      </c>
      <c r="H782" s="10" t="n"/>
    </row>
    <row r="783" ht="21" customHeight="1">
      <c r="A783" s="10" t="inlineStr">
        <is>
          <t>K</t>
        </is>
      </c>
      <c r="B783" s="10" t="inlineStr">
        <is>
          <t>0020491210</t>
        </is>
      </c>
      <c r="C783" s="10" t="inlineStr">
        <is>
          <t>160050 Verbindlichkeiten nicht L+L</t>
        </is>
      </c>
      <c r="D783" s="8" t="n">
        <v>-69636.07000000001</v>
      </c>
      <c r="E783" s="8" t="n">
        <v>8</v>
      </c>
      <c r="F783" s="8" t="n">
        <v>155</v>
      </c>
      <c r="G783" s="10" t="n"/>
      <c r="H783" s="10" t="inlineStr">
        <is>
          <t>160050</t>
        </is>
      </c>
    </row>
    <row r="784" ht="21" customHeight="1">
      <c r="A784" s="10" t="inlineStr">
        <is>
          <t>K</t>
        </is>
      </c>
      <c r="B784" s="10" t="inlineStr">
        <is>
          <t>0020491210</t>
        </is>
      </c>
      <c r="C784" s="10" t="inlineStr">
        <is>
          <t>173200 Erhaltene Kautionen</t>
        </is>
      </c>
      <c r="D784" s="8" t="n">
        <v>-280</v>
      </c>
      <c r="E784" s="8" t="n">
        <v>8</v>
      </c>
      <c r="F784" s="8" t="n">
        <v>156</v>
      </c>
      <c r="G784" s="10" t="n"/>
      <c r="H784" s="10" t="inlineStr">
        <is>
          <t>173200</t>
        </is>
      </c>
    </row>
    <row r="785" ht="21" customHeight="1">
      <c r="A785" s="10" t="inlineStr">
        <is>
          <t>K</t>
        </is>
      </c>
      <c r="B785" s="10" t="inlineStr">
        <is>
          <t>0020491210</t>
        </is>
      </c>
      <c r="C785" s="10" t="inlineStr">
        <is>
          <t>174040 Verbindlichkeiten gegen Mitarbeiter</t>
        </is>
      </c>
      <c r="D785" s="8" t="n">
        <v>0.39</v>
      </c>
      <c r="E785" s="8" t="n">
        <v>8</v>
      </c>
      <c r="F785" s="8" t="n">
        <v>157</v>
      </c>
      <c r="G785" s="10" t="n"/>
      <c r="H785" s="10" t="inlineStr">
        <is>
          <t>174040</t>
        </is>
      </c>
    </row>
    <row r="786" ht="21" customHeight="1">
      <c r="A786" s="10" t="inlineStr">
        <is>
          <t>K</t>
        </is>
      </c>
      <c r="B786" s="10" t="inlineStr">
        <is>
          <t>0020491210</t>
        </is>
      </c>
      <c r="C786" s="10" t="inlineStr">
        <is>
          <t>900088 And. Sonst. Verbindlichkeiten (Korrekturkto)</t>
        </is>
      </c>
      <c r="D786" s="8" t="n">
        <v>58653.4</v>
      </c>
      <c r="E786" s="8" t="n">
        <v>8</v>
      </c>
      <c r="F786" s="8" t="n">
        <v>158</v>
      </c>
      <c r="G786" s="10" t="n"/>
      <c r="H786" s="10" t="inlineStr">
        <is>
          <t>900088</t>
        </is>
      </c>
    </row>
    <row r="787" ht="21" customHeight="1">
      <c r="A787" s="10" t="inlineStr">
        <is>
          <t>K</t>
        </is>
      </c>
      <c r="B787" s="10" t="inlineStr">
        <is>
          <t>0020491511</t>
        </is>
      </c>
      <c r="C787" s="10" t="inlineStr">
        <is>
          <t>150720 Forderungen/Verbindlichkeiten BNP (Factoring)</t>
        </is>
      </c>
      <c r="D787" s="8" t="n">
        <v>-350961.98</v>
      </c>
      <c r="E787" s="8" t="n">
        <v>8</v>
      </c>
      <c r="F787" s="8" t="n">
        <v>159</v>
      </c>
      <c r="G787" s="10" t="n"/>
      <c r="H787" s="10" t="inlineStr">
        <is>
          <t>150720</t>
        </is>
      </c>
    </row>
    <row r="788" ht="21" customHeight="1">
      <c r="A788" s="10" t="inlineStr">
        <is>
          <t>K</t>
        </is>
      </c>
      <c r="B788" s="10" t="inlineStr">
        <is>
          <t>0020491541</t>
        </is>
      </c>
      <c r="C788" s="10" t="inlineStr">
        <is>
          <t>166055 Verbindlichkeiten Nicht LuL (BNP Zinsen)</t>
        </is>
      </c>
      <c r="D788" s="8" t="n">
        <v>-3495.43</v>
      </c>
      <c r="E788" s="8" t="n">
        <v>8</v>
      </c>
      <c r="F788" s="8" t="n">
        <v>160</v>
      </c>
      <c r="G788" s="10" t="n"/>
      <c r="H788" s="10" t="inlineStr">
        <is>
          <t>166055</t>
        </is>
      </c>
    </row>
    <row r="789" ht="21" customHeight="1">
      <c r="A789" s="10" t="inlineStr">
        <is>
          <t>P</t>
        </is>
      </c>
      <c r="B789" s="10" t="inlineStr">
        <is>
          <t>0020491000</t>
        </is>
      </c>
      <c r="C789" s="10" t="inlineStr">
        <is>
          <t>Summe And. Sonst. Verbindlk.</t>
        </is>
      </c>
      <c r="D789" s="8" t="n">
        <v>-368065.18</v>
      </c>
      <c r="E789" s="8" t="n">
        <v>5</v>
      </c>
      <c r="F789" s="8" t="n">
        <v>161</v>
      </c>
      <c r="G789" s="10" t="b">
        <v>1</v>
      </c>
      <c r="H789" s="10" t="n"/>
    </row>
    <row r="790" ht="21" customHeight="1">
      <c r="A790" s="10" t="inlineStr">
        <is>
          <t>P</t>
        </is>
      </c>
      <c r="B790" s="10" t="inlineStr">
        <is>
          <t>0020490000</t>
        </is>
      </c>
      <c r="C790" s="10" t="inlineStr">
        <is>
          <t>Summe Sonst. Verbindlichkeiten</t>
        </is>
      </c>
      <c r="D790" s="8" t="n">
        <v>-744661.91</v>
      </c>
      <c r="E790" s="8" t="n">
        <v>4</v>
      </c>
      <c r="F790" s="8" t="n">
        <v>162</v>
      </c>
      <c r="G790" s="10" t="b">
        <v>1</v>
      </c>
      <c r="H790" s="10" t="n"/>
    </row>
    <row r="791" ht="21" customHeight="1">
      <c r="A791" s="10" t="inlineStr">
        <is>
          <t>P</t>
        </is>
      </c>
      <c r="B791" s="10" t="inlineStr">
        <is>
          <t>0020400000</t>
        </is>
      </c>
      <c r="C791" s="10" t="inlineStr">
        <is>
          <t>Summe Verbindlichkeiten</t>
        </is>
      </c>
      <c r="D791" s="8" t="n">
        <v>-3142564.77</v>
      </c>
      <c r="E791" s="8" t="n">
        <v>3</v>
      </c>
      <c r="F791" s="8" t="n">
        <v>163</v>
      </c>
      <c r="G791" s="10" t="b">
        <v>1</v>
      </c>
      <c r="H791" s="10" t="n"/>
    </row>
    <row r="792" ht="21" customHeight="1">
      <c r="A792" s="10" t="inlineStr">
        <is>
          <t>P</t>
        </is>
      </c>
      <c r="B792" s="10" t="inlineStr">
        <is>
          <t>0020500000</t>
        </is>
      </c>
      <c r="C792" s="10" t="inlineStr">
        <is>
          <t>PRAP ohne Abgrenz.</t>
        </is>
      </c>
      <c r="D792" s="8" t="n">
        <v>0</v>
      </c>
      <c r="E792" s="8" t="n">
        <v>4</v>
      </c>
      <c r="F792" s="8" t="n">
        <v>164</v>
      </c>
      <c r="G792" s="10" t="b">
        <v>0</v>
      </c>
      <c r="H792" s="10" t="n"/>
    </row>
    <row r="793" ht="21" customHeight="1">
      <c r="A793" s="10" t="inlineStr">
        <is>
          <t>K</t>
        </is>
      </c>
      <c r="B793" s="10" t="inlineStr">
        <is>
          <t>0020500000</t>
        </is>
      </c>
      <c r="C793" s="10" t="inlineStr">
        <is>
          <t>289200 Verr. kalk. Zinsen</t>
        </is>
      </c>
      <c r="D793" s="8" t="n">
        <v>-12968</v>
      </c>
      <c r="E793" s="8" t="n">
        <v>5</v>
      </c>
      <c r="F793" s="8" t="n">
        <v>165</v>
      </c>
      <c r="G793" s="10" t="n"/>
      <c r="H793" s="10" t="inlineStr">
        <is>
          <t>289200</t>
        </is>
      </c>
    </row>
    <row r="794" ht="21" customHeight="1">
      <c r="A794" s="10" t="inlineStr">
        <is>
          <t>K</t>
        </is>
      </c>
      <c r="B794" s="10" t="inlineStr">
        <is>
          <t>0020500000</t>
        </is>
      </c>
      <c r="C794" s="10" t="inlineStr">
        <is>
          <t>289300 Verr. kalk. Abschreibungen</t>
        </is>
      </c>
      <c r="D794" s="8" t="n">
        <v>-64651.92</v>
      </c>
      <c r="E794" s="8" t="n">
        <v>5</v>
      </c>
      <c r="F794" s="8" t="n">
        <v>166</v>
      </c>
      <c r="G794" s="10" t="n"/>
      <c r="H794" s="10" t="inlineStr">
        <is>
          <t>289300</t>
        </is>
      </c>
    </row>
    <row r="795" ht="21" customHeight="1">
      <c r="A795" s="10" t="inlineStr">
        <is>
          <t>K</t>
        </is>
      </c>
      <c r="B795" s="10" t="inlineStr">
        <is>
          <t>0020500000</t>
        </is>
      </c>
      <c r="C795" s="10" t="inlineStr">
        <is>
          <t>499200 Kalk. Zinsen</t>
        </is>
      </c>
      <c r="D795" s="8" t="n">
        <v>12968</v>
      </c>
      <c r="E795" s="8" t="n">
        <v>5</v>
      </c>
      <c r="F795" s="8" t="n">
        <v>167</v>
      </c>
      <c r="G795" s="10" t="n"/>
      <c r="H795" s="10" t="inlineStr">
        <is>
          <t>499200</t>
        </is>
      </c>
    </row>
    <row r="796" ht="21" customHeight="1">
      <c r="A796" s="10" t="inlineStr">
        <is>
          <t>K</t>
        </is>
      </c>
      <c r="B796" s="10" t="inlineStr">
        <is>
          <t>0020500000</t>
        </is>
      </c>
      <c r="C796" s="10" t="inlineStr">
        <is>
          <t>499300 Kalk. Abschreibungen</t>
        </is>
      </c>
      <c r="D796" s="8" t="n">
        <v>64651.92</v>
      </c>
      <c r="E796" s="8" t="n">
        <v>5</v>
      </c>
      <c r="F796" s="8" t="n">
        <v>168</v>
      </c>
      <c r="G796" s="10" t="n"/>
      <c r="H796" s="10" t="inlineStr">
        <is>
          <t>499300</t>
        </is>
      </c>
    </row>
    <row r="797" ht="21" customHeight="1">
      <c r="A797" s="10" t="inlineStr">
        <is>
          <t>P</t>
        </is>
      </c>
      <c r="B797" s="10" t="inlineStr">
        <is>
          <t>0020000000</t>
        </is>
      </c>
      <c r="C797" s="10" t="inlineStr">
        <is>
          <t>Summe      P A S S I V A</t>
        </is>
      </c>
      <c r="D797" s="8" t="n">
        <v>-6753194.72</v>
      </c>
      <c r="E797" s="8" t="n">
        <v>2</v>
      </c>
      <c r="F797" s="8" t="n">
        <v>169</v>
      </c>
      <c r="G797" s="10" t="b">
        <v>1</v>
      </c>
      <c r="H797" s="10" t="n"/>
    </row>
    <row r="801" ht="24" customHeight="1">
      <c r="A801" s="58" t="inlineStr">
        <is>
          <t>sap_guv_072026</t>
        </is>
      </c>
    </row>
    <row r="802" ht="36" customHeight="1">
      <c r="A802" s="3" t="inlineStr">
        <is>
          <t>typ</t>
        </is>
      </c>
      <c r="B802" s="3" t="inlineStr">
        <is>
          <t>pos</t>
        </is>
      </c>
      <c r="C802" s="3" t="inlineStr">
        <is>
          <t>text</t>
        </is>
      </c>
      <c r="D802" s="3" t="inlineStr">
        <is>
          <t>saldo</t>
        </is>
      </c>
      <c r="E802" s="3" t="inlineStr">
        <is>
          <t>stufe</t>
        </is>
      </c>
      <c r="F802" s="3" t="inlineStr">
        <is>
          <t>order</t>
        </is>
      </c>
      <c r="G802" s="3" t="inlineStr">
        <is>
          <t>summe</t>
        </is>
      </c>
      <c r="H802" s="3" t="inlineStr">
        <is>
          <t>konto</t>
        </is>
      </c>
    </row>
    <row r="803" ht="21" customHeight="1">
      <c r="A803" s="10" t="inlineStr">
        <is>
          <t>P</t>
        </is>
      </c>
      <c r="B803" s="10" t="inlineStr">
        <is>
          <t>0030100000</t>
        </is>
      </c>
      <c r="C803" s="10" t="inlineStr">
        <is>
          <t>Umsatzerloese</t>
        </is>
      </c>
      <c r="D803" s="8" t="n">
        <v>0</v>
      </c>
      <c r="E803" s="8" t="n">
        <v>5</v>
      </c>
      <c r="F803" s="8" t="n">
        <v>1</v>
      </c>
      <c r="G803" s="10" t="b">
        <v>0</v>
      </c>
      <c r="H803" s="10" t="n"/>
    </row>
    <row r="804" ht="21" customHeight="1">
      <c r="A804" s="10" t="inlineStr">
        <is>
          <t>P</t>
        </is>
      </c>
      <c r="B804" s="10" t="inlineStr">
        <is>
          <t>0030110100</t>
        </is>
      </c>
      <c r="C804" s="10" t="inlineStr">
        <is>
          <t>Umsatzerloese Deutschland</t>
        </is>
      </c>
      <c r="D804" s="8" t="n">
        <v>0</v>
      </c>
      <c r="E804" s="8" t="n">
        <v>6</v>
      </c>
      <c r="F804" s="8" t="n">
        <v>2</v>
      </c>
      <c r="G804" s="10" t="b">
        <v>0</v>
      </c>
      <c r="H804" s="10" t="n"/>
    </row>
    <row r="805" ht="21" customHeight="1">
      <c r="A805" s="10" t="inlineStr">
        <is>
          <t>P</t>
        </is>
      </c>
      <c r="B805" s="10" t="inlineStr">
        <is>
          <t>0030110119</t>
        </is>
      </c>
      <c r="C805" s="10" t="inlineStr">
        <is>
          <t>Erl. sonst. DL Deutschland</t>
        </is>
      </c>
      <c r="D805" s="8" t="n">
        <v>0</v>
      </c>
      <c r="E805" s="8" t="n">
        <v>7</v>
      </c>
      <c r="F805" s="8" t="n">
        <v>3</v>
      </c>
      <c r="G805" s="10" t="b">
        <v>0</v>
      </c>
      <c r="H805" s="10" t="n"/>
    </row>
    <row r="806" ht="21" customHeight="1">
      <c r="A806" s="10" t="inlineStr">
        <is>
          <t>P</t>
        </is>
      </c>
      <c r="B806" s="10" t="inlineStr">
        <is>
          <t>0030110120</t>
        </is>
      </c>
      <c r="C806" s="10" t="inlineStr">
        <is>
          <t>Erl. sonst. DL Deutschland</t>
        </is>
      </c>
      <c r="D806" s="8" t="n">
        <v>0</v>
      </c>
      <c r="E806" s="8" t="n">
        <v>8</v>
      </c>
      <c r="F806" s="8" t="n">
        <v>4</v>
      </c>
      <c r="G806" s="10" t="b">
        <v>0</v>
      </c>
      <c r="H806" s="10" t="n"/>
    </row>
    <row r="807" ht="21" customHeight="1">
      <c r="A807" s="10" t="inlineStr">
        <is>
          <t>K</t>
        </is>
      </c>
      <c r="B807" s="10" t="inlineStr">
        <is>
          <t>0030110120</t>
        </is>
      </c>
      <c r="C807" s="10" t="inlineStr">
        <is>
          <t>830510 Erlöse Abrisse/Demontagen</t>
        </is>
      </c>
      <c r="D807" s="8" t="n">
        <v>-10281965.04</v>
      </c>
      <c r="E807" s="8" t="n">
        <v>9</v>
      </c>
      <c r="F807" s="8" t="n">
        <v>5</v>
      </c>
      <c r="G807" s="10" t="n"/>
      <c r="H807" s="10" t="inlineStr">
        <is>
          <t>830510</t>
        </is>
      </c>
    </row>
    <row r="808" ht="21" customHeight="1">
      <c r="A808" s="10" t="inlineStr">
        <is>
          <t>P</t>
        </is>
      </c>
      <c r="B808" s="10" t="inlineStr">
        <is>
          <t>0030110120</t>
        </is>
      </c>
      <c r="C808" s="10" t="inlineStr">
        <is>
          <t>Summe Erl. sonst. DL Deutschland</t>
        </is>
      </c>
      <c r="D808" s="8" t="n">
        <v>-10281965.04</v>
      </c>
      <c r="E808" s="8" t="n">
        <v>8</v>
      </c>
      <c r="F808" s="8" t="n">
        <v>6</v>
      </c>
      <c r="G808" s="10" t="b">
        <v>1</v>
      </c>
      <c r="H808" s="10" t="n"/>
    </row>
    <row r="809" ht="21" customHeight="1">
      <c r="A809" s="10" t="inlineStr">
        <is>
          <t>P</t>
        </is>
      </c>
      <c r="B809" s="10" t="inlineStr">
        <is>
          <t>0030110119</t>
        </is>
      </c>
      <c r="C809" s="10" t="inlineStr">
        <is>
          <t>Summe Erl. sonst. DL Deutschland</t>
        </is>
      </c>
      <c r="D809" s="8" t="n">
        <v>-10281965.04</v>
      </c>
      <c r="E809" s="8" t="n">
        <v>7</v>
      </c>
      <c r="F809" s="8" t="n">
        <v>7</v>
      </c>
      <c r="G809" s="10" t="b">
        <v>1</v>
      </c>
      <c r="H809" s="10" t="n"/>
    </row>
    <row r="810" ht="21" customHeight="1">
      <c r="A810" s="10" t="inlineStr">
        <is>
          <t>P</t>
        </is>
      </c>
      <c r="B810" s="10" t="inlineStr">
        <is>
          <t>0030110130</t>
        </is>
      </c>
      <c r="C810" s="10" t="inlineStr">
        <is>
          <t>Erl. Waren Dt.</t>
        </is>
      </c>
      <c r="D810" s="8" t="n">
        <v>0</v>
      </c>
      <c r="E810" s="8" t="n">
        <v>7</v>
      </c>
      <c r="F810" s="8" t="n">
        <v>8</v>
      </c>
      <c r="G810" s="10" t="b">
        <v>0</v>
      </c>
      <c r="H810" s="10" t="n"/>
    </row>
    <row r="811" ht="21" customHeight="1">
      <c r="A811" s="10" t="inlineStr">
        <is>
          <t>K</t>
        </is>
      </c>
      <c r="B811" s="10" t="inlineStr">
        <is>
          <t>0030110130</t>
        </is>
      </c>
      <c r="C811" s="10" t="inlineStr">
        <is>
          <t>840040 Erlöse Verkauf HW Schrott</t>
        </is>
      </c>
      <c r="D811" s="8" t="n">
        <v>-197087.29</v>
      </c>
      <c r="E811" s="8" t="n">
        <v>8</v>
      </c>
      <c r="F811" s="8" t="n">
        <v>9</v>
      </c>
      <c r="G811" s="10" t="n"/>
      <c r="H811" s="10" t="inlineStr">
        <is>
          <t>840040</t>
        </is>
      </c>
    </row>
    <row r="812" ht="21" customHeight="1">
      <c r="A812" s="10" t="inlineStr">
        <is>
          <t>P</t>
        </is>
      </c>
      <c r="B812" s="10" t="inlineStr">
        <is>
          <t>0030110130</t>
        </is>
      </c>
      <c r="C812" s="10" t="inlineStr">
        <is>
          <t>Summe Erl. Waren Dt.</t>
        </is>
      </c>
      <c r="D812" s="8" t="n">
        <v>-197087.29</v>
      </c>
      <c r="E812" s="8" t="n">
        <v>7</v>
      </c>
      <c r="F812" s="8" t="n">
        <v>10</v>
      </c>
      <c r="G812" s="10" t="b">
        <v>1</v>
      </c>
      <c r="H812" s="10" t="n"/>
    </row>
    <row r="813" ht="21" customHeight="1">
      <c r="A813" s="10" t="inlineStr">
        <is>
          <t>P</t>
        </is>
      </c>
      <c r="B813" s="10" t="inlineStr">
        <is>
          <t>0030110100</t>
        </is>
      </c>
      <c r="C813" s="10" t="inlineStr">
        <is>
          <t>Summe Umsatzerloese Deutschland</t>
        </is>
      </c>
      <c r="D813" s="8" t="n">
        <v>-10479052.33</v>
      </c>
      <c r="E813" s="8" t="n">
        <v>6</v>
      </c>
      <c r="F813" s="8" t="n">
        <v>11</v>
      </c>
      <c r="G813" s="10" t="b">
        <v>1</v>
      </c>
      <c r="H813" s="10" t="n"/>
    </row>
    <row r="814" ht="21" customHeight="1">
      <c r="A814" s="10" t="inlineStr">
        <is>
          <t>P</t>
        </is>
      </c>
      <c r="B814" s="10" t="inlineStr">
        <is>
          <t>0030120000</t>
        </is>
      </c>
      <c r="C814" s="10" t="inlineStr">
        <is>
          <t>Erloesschmaelerungen</t>
        </is>
      </c>
      <c r="D814" s="8" t="n">
        <v>0</v>
      </c>
      <c r="E814" s="8" t="n">
        <v>6</v>
      </c>
      <c r="F814" s="8" t="n">
        <v>12</v>
      </c>
      <c r="G814" s="10" t="b">
        <v>0</v>
      </c>
      <c r="H814" s="10" t="n"/>
    </row>
    <row r="815" ht="21" customHeight="1">
      <c r="A815" s="10" t="inlineStr">
        <is>
          <t>K</t>
        </is>
      </c>
      <c r="B815" s="10" t="inlineStr">
        <is>
          <t>0030120000</t>
        </is>
      </c>
      <c r="C815" s="10" t="inlineStr">
        <is>
          <t>890100 Gewährte Skonti</t>
        </is>
      </c>
      <c r="D815" s="8" t="n">
        <v>28801.48</v>
      </c>
      <c r="E815" s="8" t="n">
        <v>7</v>
      </c>
      <c r="F815" s="8" t="n">
        <v>13</v>
      </c>
      <c r="G815" s="10" t="n"/>
      <c r="H815" s="10" t="inlineStr">
        <is>
          <t>890100</t>
        </is>
      </c>
    </row>
    <row r="816" ht="21" customHeight="1">
      <c r="A816" s="10" t="inlineStr">
        <is>
          <t>P</t>
        </is>
      </c>
      <c r="B816" s="10" t="inlineStr">
        <is>
          <t>0030100000</t>
        </is>
      </c>
      <c r="C816" s="10" t="inlineStr">
        <is>
          <t>Summe Umsatzerloese</t>
        </is>
      </c>
      <c r="D816" s="8" t="n">
        <v>-10450250.85</v>
      </c>
      <c r="E816" s="8" t="n">
        <v>5</v>
      </c>
      <c r="F816" s="8" t="n">
        <v>14</v>
      </c>
      <c r="G816" s="10" t="b">
        <v>1</v>
      </c>
      <c r="H816" s="10" t="n"/>
    </row>
    <row r="817" ht="21" customHeight="1">
      <c r="A817" s="10" t="inlineStr">
        <is>
          <t>P</t>
        </is>
      </c>
      <c r="B817" s="10" t="inlineStr">
        <is>
          <t>0030200000</t>
        </is>
      </c>
      <c r="C817" s="10" t="inlineStr">
        <is>
          <t>Bestandsveraend. UE und FE</t>
        </is>
      </c>
      <c r="D817" s="8" t="n">
        <v>0</v>
      </c>
      <c r="E817" s="8" t="n">
        <v>5</v>
      </c>
      <c r="F817" s="8" t="n">
        <v>15</v>
      </c>
      <c r="G817" s="10" t="b">
        <v>0</v>
      </c>
      <c r="H817" s="10" t="n"/>
    </row>
    <row r="818" ht="21" customHeight="1">
      <c r="A818" s="10" t="inlineStr">
        <is>
          <t>K</t>
        </is>
      </c>
      <c r="B818" s="10" t="inlineStr">
        <is>
          <t>0030200000</t>
        </is>
      </c>
      <c r="C818" s="10" t="inlineStr">
        <is>
          <t>392000 Bestandsveränderungen unfertige Erzeugnisse</t>
        </is>
      </c>
      <c r="D818" s="8" t="n">
        <v>-3886319.32</v>
      </c>
      <c r="E818" s="8" t="n">
        <v>6</v>
      </c>
      <c r="F818" s="8" t="n">
        <v>16</v>
      </c>
      <c r="G818" s="10" t="n"/>
      <c r="H818" s="10" t="inlineStr">
        <is>
          <t>392000</t>
        </is>
      </c>
    </row>
    <row r="819" ht="21" customHeight="1">
      <c r="A819" s="10" t="inlineStr">
        <is>
          <t>P</t>
        </is>
      </c>
      <c r="B819" s="10" t="inlineStr">
        <is>
          <t>0030400000</t>
        </is>
      </c>
      <c r="C819" s="10" t="inlineStr">
        <is>
          <t>Sonst. betriebl. Ertraege</t>
        </is>
      </c>
      <c r="D819" s="8" t="n">
        <v>0</v>
      </c>
      <c r="E819" s="8" t="n">
        <v>5</v>
      </c>
      <c r="F819" s="8" t="n">
        <v>17</v>
      </c>
      <c r="G819" s="10" t="b">
        <v>0</v>
      </c>
      <c r="H819" s="10" t="n"/>
    </row>
    <row r="820" ht="21" customHeight="1">
      <c r="A820" s="10" t="inlineStr">
        <is>
          <t>P</t>
        </is>
      </c>
      <c r="B820" s="10" t="inlineStr">
        <is>
          <t>0030410000</t>
        </is>
      </c>
      <c r="C820" s="10" t="inlineStr">
        <is>
          <t>Neutrale Ertraege</t>
        </is>
      </c>
      <c r="D820" s="8" t="n">
        <v>0</v>
      </c>
      <c r="E820" s="8" t="n">
        <v>6</v>
      </c>
      <c r="F820" s="8" t="n">
        <v>18</v>
      </c>
      <c r="G820" s="10" t="b">
        <v>0</v>
      </c>
      <c r="H820" s="10" t="n"/>
    </row>
    <row r="821" ht="21" customHeight="1">
      <c r="A821" s="10" t="inlineStr">
        <is>
          <t>P</t>
        </is>
      </c>
      <c r="B821" s="10" t="inlineStr">
        <is>
          <t>0030410100</t>
        </is>
      </c>
      <c r="C821" s="10" t="inlineStr">
        <is>
          <t>Buchgewinne</t>
        </is>
      </c>
      <c r="D821" s="8" t="n">
        <v>0</v>
      </c>
      <c r="E821" s="8" t="n">
        <v>7</v>
      </c>
      <c r="F821" s="8" t="n">
        <v>19</v>
      </c>
      <c r="G821" s="10" t="b">
        <v>0</v>
      </c>
      <c r="H821" s="10" t="n"/>
    </row>
    <row r="822" ht="21" customHeight="1">
      <c r="A822" s="10" t="inlineStr">
        <is>
          <t>K</t>
        </is>
      </c>
      <c r="B822" s="10" t="inlineStr">
        <is>
          <t>0030410100</t>
        </is>
      </c>
      <c r="C822" s="10" t="inlineStr">
        <is>
          <t>231500 Mehrerlös bei Anlagenabgang</t>
        </is>
      </c>
      <c r="D822" s="8" t="n">
        <v>-7000</v>
      </c>
      <c r="E822" s="8" t="n">
        <v>8</v>
      </c>
      <c r="F822" s="8" t="n">
        <v>20</v>
      </c>
      <c r="G822" s="10" t="n"/>
      <c r="H822" s="10" t="inlineStr">
        <is>
          <t>231500</t>
        </is>
      </c>
    </row>
    <row r="823" ht="21" customHeight="1">
      <c r="A823" s="10" t="inlineStr">
        <is>
          <t>P</t>
        </is>
      </c>
      <c r="B823" s="10" t="inlineStr">
        <is>
          <t>0030410140</t>
        </is>
      </c>
      <c r="C823" s="10" t="inlineStr">
        <is>
          <t>Ertr. Auflös. Rueckstellungen</t>
        </is>
      </c>
      <c r="D823" s="8" t="n">
        <v>0</v>
      </c>
      <c r="E823" s="8" t="n">
        <v>7</v>
      </c>
      <c r="F823" s="8" t="n">
        <v>21</v>
      </c>
      <c r="G823" s="10" t="b">
        <v>0</v>
      </c>
      <c r="H823" s="10" t="n"/>
    </row>
    <row r="824" ht="21" customHeight="1">
      <c r="A824" s="10" t="inlineStr">
        <is>
          <t>K</t>
        </is>
      </c>
      <c r="B824" s="10" t="inlineStr">
        <is>
          <t>0030410140</t>
        </is>
      </c>
      <c r="C824" s="10" t="inlineStr">
        <is>
          <t>273500 Erträge Auflösung von Rückstellungen (accruals)</t>
        </is>
      </c>
      <c r="D824" s="8" t="n">
        <v>-324</v>
      </c>
      <c r="E824" s="8" t="n">
        <v>8</v>
      </c>
      <c r="F824" s="8" t="n">
        <v>22</v>
      </c>
      <c r="G824" s="10" t="n"/>
      <c r="H824" s="10" t="inlineStr">
        <is>
          <t>273500</t>
        </is>
      </c>
    </row>
    <row r="825" ht="21" customHeight="1">
      <c r="A825" s="10" t="inlineStr">
        <is>
          <t>P</t>
        </is>
      </c>
      <c r="B825" s="10" t="inlineStr">
        <is>
          <t>0030410160</t>
        </is>
      </c>
      <c r="C825" s="10" t="inlineStr">
        <is>
          <t>Periodenfr. Ertraege</t>
        </is>
      </c>
      <c r="D825" s="8" t="n">
        <v>0</v>
      </c>
      <c r="E825" s="8" t="n">
        <v>7</v>
      </c>
      <c r="F825" s="8" t="n">
        <v>23</v>
      </c>
      <c r="G825" s="10" t="b">
        <v>0</v>
      </c>
      <c r="H825" s="10" t="n"/>
    </row>
    <row r="826" ht="21" customHeight="1">
      <c r="A826" s="10" t="inlineStr">
        <is>
          <t>K</t>
        </is>
      </c>
      <c r="B826" s="10" t="inlineStr">
        <is>
          <t>0030410160</t>
        </is>
      </c>
      <c r="C826" s="10" t="inlineStr">
        <is>
          <t>251000 Sonstige periodenfremde Erträge</t>
        </is>
      </c>
      <c r="D826" s="8" t="n">
        <v>-9822.950000000001</v>
      </c>
      <c r="E826" s="8" t="n">
        <v>8</v>
      </c>
      <c r="F826" s="8" t="n">
        <v>24</v>
      </c>
      <c r="G826" s="10" t="n"/>
      <c r="H826" s="10" t="inlineStr">
        <is>
          <t>251000</t>
        </is>
      </c>
    </row>
    <row r="827" ht="21" customHeight="1">
      <c r="A827" s="10" t="inlineStr">
        <is>
          <t>P</t>
        </is>
      </c>
      <c r="B827" s="10" t="inlineStr">
        <is>
          <t>0030410190</t>
        </is>
      </c>
      <c r="C827" s="10" t="inlineStr">
        <is>
          <t>Uebrige neutrale Ertraege</t>
        </is>
      </c>
      <c r="D827" s="8" t="n">
        <v>0</v>
      </c>
      <c r="E827" s="8" t="n">
        <v>7</v>
      </c>
      <c r="F827" s="8" t="n">
        <v>25</v>
      </c>
      <c r="G827" s="10" t="b">
        <v>0</v>
      </c>
      <c r="H827" s="10" t="n"/>
    </row>
    <row r="828" ht="21" customHeight="1">
      <c r="A828" s="10" t="inlineStr">
        <is>
          <t>K</t>
        </is>
      </c>
      <c r="B828" s="10" t="inlineStr">
        <is>
          <t>0030410190</t>
        </is>
      </c>
      <c r="C828" s="10" t="inlineStr">
        <is>
          <t>272000 Verrechnete Erlöse aus Anlagenverkauf</t>
        </is>
      </c>
      <c r="D828" s="8" t="n">
        <v>7000</v>
      </c>
      <c r="E828" s="8" t="n">
        <v>8</v>
      </c>
      <c r="F828" s="8" t="n">
        <v>26</v>
      </c>
      <c r="G828" s="10" t="n"/>
      <c r="H828" s="10" t="inlineStr">
        <is>
          <t>272000</t>
        </is>
      </c>
    </row>
    <row r="829" ht="21" customHeight="1">
      <c r="A829" s="10" t="inlineStr">
        <is>
          <t>K</t>
        </is>
      </c>
      <c r="B829" s="10" t="inlineStr">
        <is>
          <t>0030410190</t>
        </is>
      </c>
      <c r="C829" s="10" t="inlineStr">
        <is>
          <t>890010 Erlöse Anlagenverkäufe</t>
        </is>
      </c>
      <c r="D829" s="8" t="n">
        <v>-7000</v>
      </c>
      <c r="E829" s="8" t="n">
        <v>8</v>
      </c>
      <c r="F829" s="8" t="n">
        <v>27</v>
      </c>
      <c r="G829" s="10" t="n"/>
      <c r="H829" s="10" t="inlineStr">
        <is>
          <t>890010</t>
        </is>
      </c>
    </row>
    <row r="830" ht="21" customHeight="1">
      <c r="A830" s="10" t="inlineStr">
        <is>
          <t>P</t>
        </is>
      </c>
      <c r="B830" s="10" t="inlineStr">
        <is>
          <t>0030410000</t>
        </is>
      </c>
      <c r="C830" s="10" t="inlineStr">
        <is>
          <t>Summe neutrale Ertraege</t>
        </is>
      </c>
      <c r="D830" s="8" t="n">
        <v>-17146.95</v>
      </c>
      <c r="E830" s="8" t="n">
        <v>6</v>
      </c>
      <c r="F830" s="8" t="n">
        <v>28</v>
      </c>
      <c r="G830" s="10" t="b">
        <v>1</v>
      </c>
      <c r="H830" s="10" t="n"/>
    </row>
    <row r="831" ht="21" customHeight="1">
      <c r="A831" s="10" t="inlineStr">
        <is>
          <t>P</t>
        </is>
      </c>
      <c r="B831" s="10" t="inlineStr">
        <is>
          <t>0030430000</t>
        </is>
      </c>
      <c r="C831" s="10" t="inlineStr">
        <is>
          <t>Andere sonstige betriebliche Ertraege</t>
        </is>
      </c>
      <c r="D831" s="8" t="n">
        <v>0</v>
      </c>
      <c r="E831" s="8" t="n">
        <v>6</v>
      </c>
      <c r="F831" s="8" t="n">
        <v>29</v>
      </c>
      <c r="G831" s="10" t="b">
        <v>0</v>
      </c>
      <c r="H831" s="10" t="n"/>
    </row>
    <row r="832" ht="21" customHeight="1">
      <c r="A832" s="10" t="inlineStr">
        <is>
          <t>P</t>
        </is>
      </c>
      <c r="B832" s="10" t="inlineStr">
        <is>
          <t>0030430110</t>
        </is>
      </c>
      <c r="C832" s="10" t="inlineStr">
        <is>
          <t>Ertrag KFZ-Nutzung</t>
        </is>
      </c>
      <c r="D832" s="8" t="n">
        <v>0</v>
      </c>
      <c r="E832" s="8" t="n">
        <v>7</v>
      </c>
      <c r="F832" s="8" t="n">
        <v>30</v>
      </c>
      <c r="G832" s="10" t="b">
        <v>0</v>
      </c>
      <c r="H832" s="10" t="n"/>
    </row>
    <row r="833" ht="21" customHeight="1">
      <c r="A833" s="10" t="inlineStr">
        <is>
          <t>K</t>
        </is>
      </c>
      <c r="B833" s="10" t="inlineStr">
        <is>
          <t>0030430110</t>
        </is>
      </c>
      <c r="C833" s="10" t="inlineStr">
        <is>
          <t>890200 Erlöse selbstgenutzte Fahrzeuge</t>
        </is>
      </c>
      <c r="D833" s="8" t="n">
        <v>-63720.71</v>
      </c>
      <c r="E833" s="8" t="n">
        <v>8</v>
      </c>
      <c r="F833" s="8" t="n">
        <v>31</v>
      </c>
      <c r="G833" s="10" t="n"/>
      <c r="H833" s="10" t="inlineStr">
        <is>
          <t>890200</t>
        </is>
      </c>
    </row>
    <row r="834" ht="21" customHeight="1">
      <c r="A834" s="10" t="inlineStr">
        <is>
          <t>P</t>
        </is>
      </c>
      <c r="B834" s="10" t="inlineStr">
        <is>
          <t>0030430130</t>
        </is>
      </c>
      <c r="C834" s="10" t="inlineStr">
        <is>
          <t>Versicherungsentschaedigungen</t>
        </is>
      </c>
      <c r="D834" s="8" t="n">
        <v>0</v>
      </c>
      <c r="E834" s="8" t="n">
        <v>7</v>
      </c>
      <c r="F834" s="8" t="n">
        <v>32</v>
      </c>
      <c r="G834" s="10" t="b">
        <v>0</v>
      </c>
      <c r="H834" s="10" t="n"/>
    </row>
    <row r="835" ht="21" customHeight="1">
      <c r="A835" s="10" t="inlineStr">
        <is>
          <t>K</t>
        </is>
      </c>
      <c r="B835" s="10" t="inlineStr">
        <is>
          <t>0030430130</t>
        </is>
      </c>
      <c r="C835" s="10" t="inlineStr">
        <is>
          <t>274200 Versicherungsentschädigungen</t>
        </is>
      </c>
      <c r="D835" s="8" t="n">
        <v>-66803.06</v>
      </c>
      <c r="E835" s="8" t="n">
        <v>8</v>
      </c>
      <c r="F835" s="8" t="n">
        <v>33</v>
      </c>
      <c r="G835" s="10" t="n"/>
      <c r="H835" s="10" t="inlineStr">
        <is>
          <t>274200</t>
        </is>
      </c>
    </row>
    <row r="836" ht="21" customHeight="1">
      <c r="A836" s="10" t="inlineStr">
        <is>
          <t>P</t>
        </is>
      </c>
      <c r="B836" s="10" t="inlineStr">
        <is>
          <t>0030430140</t>
        </is>
      </c>
      <c r="C836" s="10" t="inlineStr">
        <is>
          <t>Ertrag weiterber. Kosten</t>
        </is>
      </c>
      <c r="D836" s="8" t="n">
        <v>0</v>
      </c>
      <c r="E836" s="8" t="n">
        <v>7</v>
      </c>
      <c r="F836" s="8" t="n">
        <v>34</v>
      </c>
      <c r="G836" s="10" t="b">
        <v>0</v>
      </c>
      <c r="H836" s="10" t="n"/>
    </row>
    <row r="837" ht="21" customHeight="1">
      <c r="A837" s="10" t="inlineStr">
        <is>
          <t>K</t>
        </is>
      </c>
      <c r="B837" s="10" t="inlineStr">
        <is>
          <t>0030430140</t>
        </is>
      </c>
      <c r="C837" s="10" t="inlineStr">
        <is>
          <t>860000 Erlöse weiterberechnete Fremdkosten</t>
        </is>
      </c>
      <c r="D837" s="8" t="n">
        <v>-15061.05</v>
      </c>
      <c r="E837" s="8" t="n">
        <v>8</v>
      </c>
      <c r="F837" s="8" t="n">
        <v>35</v>
      </c>
      <c r="G837" s="10" t="n"/>
      <c r="H837" s="10" t="inlineStr">
        <is>
          <t>860000</t>
        </is>
      </c>
    </row>
    <row r="838" ht="21" customHeight="1">
      <c r="A838" s="10" t="inlineStr">
        <is>
          <t>P</t>
        </is>
      </c>
      <c r="B838" s="10" t="inlineStr">
        <is>
          <t>0030430190</t>
        </is>
      </c>
      <c r="C838" s="10" t="inlineStr">
        <is>
          <t>Uebr. and. sonst. betriebl. Ertraege</t>
        </is>
      </c>
      <c r="D838" s="8" t="n">
        <v>0</v>
      </c>
      <c r="E838" s="8" t="n">
        <v>7</v>
      </c>
      <c r="F838" s="8" t="n">
        <v>36</v>
      </c>
      <c r="G838" s="10" t="b">
        <v>0</v>
      </c>
      <c r="H838" s="10" t="n"/>
    </row>
    <row r="839" ht="21" customHeight="1">
      <c r="A839" s="10" t="inlineStr">
        <is>
          <t>K</t>
        </is>
      </c>
      <c r="B839" s="10" t="inlineStr">
        <is>
          <t>0030430190</t>
        </is>
      </c>
      <c r="C839" s="10" t="inlineStr">
        <is>
          <t>252000 andere sonst.betriebl. Erträge</t>
        </is>
      </c>
      <c r="D839" s="8" t="n">
        <v>-25.4</v>
      </c>
      <c r="E839" s="8" t="n">
        <v>8</v>
      </c>
      <c r="F839" s="8" t="n">
        <v>37</v>
      </c>
      <c r="G839" s="10" t="n"/>
      <c r="H839" s="10" t="inlineStr">
        <is>
          <t>252000</t>
        </is>
      </c>
    </row>
    <row r="840" ht="21" customHeight="1">
      <c r="A840" s="10" t="inlineStr">
        <is>
          <t>K</t>
        </is>
      </c>
      <c r="B840" s="10" t="inlineStr">
        <is>
          <t>0030430190</t>
        </is>
      </c>
      <c r="C840" s="10" t="inlineStr">
        <is>
          <t>287090 Erträge Mahngebühren</t>
        </is>
      </c>
      <c r="D840" s="8" t="n">
        <v>-10</v>
      </c>
      <c r="E840" s="8" t="n">
        <v>8</v>
      </c>
      <c r="F840" s="8" t="n">
        <v>38</v>
      </c>
      <c r="G840" s="10" t="n"/>
      <c r="H840" s="10" t="inlineStr">
        <is>
          <t>287090</t>
        </is>
      </c>
    </row>
    <row r="841" ht="21" customHeight="1">
      <c r="A841" s="10" t="inlineStr">
        <is>
          <t>K</t>
        </is>
      </c>
      <c r="B841" s="10" t="inlineStr">
        <is>
          <t>0030430190</t>
        </is>
      </c>
      <c r="C841" s="10" t="inlineStr">
        <is>
          <t>890800 Erlöse Zahlungsdifferenzen Debitoren</t>
        </is>
      </c>
      <c r="D841" s="8" t="n">
        <v>-0.18</v>
      </c>
      <c r="E841" s="8" t="n">
        <v>8</v>
      </c>
      <c r="F841" s="8" t="n">
        <v>39</v>
      </c>
      <c r="G841" s="10" t="n"/>
      <c r="H841" s="10" t="inlineStr">
        <is>
          <t>890800</t>
        </is>
      </c>
    </row>
    <row r="842" ht="21" customHeight="1">
      <c r="A842" s="10" t="inlineStr">
        <is>
          <t>P</t>
        </is>
      </c>
      <c r="B842" s="10" t="inlineStr">
        <is>
          <t>0030430000</t>
        </is>
      </c>
      <c r="C842" s="10" t="inlineStr">
        <is>
          <t>Summe Andere sonstige betriebliche Ertraege</t>
        </is>
      </c>
      <c r="D842" s="8" t="n">
        <v>-145620.4</v>
      </c>
      <c r="E842" s="8" t="n">
        <v>6</v>
      </c>
      <c r="F842" s="8" t="n">
        <v>40</v>
      </c>
      <c r="G842" s="10" t="b">
        <v>1</v>
      </c>
      <c r="H842" s="10" t="n"/>
    </row>
    <row r="843" ht="21" customHeight="1">
      <c r="A843" s="10" t="inlineStr">
        <is>
          <t>P</t>
        </is>
      </c>
      <c r="B843" s="10" t="inlineStr">
        <is>
          <t>0030400000</t>
        </is>
      </c>
      <c r="C843" s="10" t="inlineStr">
        <is>
          <t>Summe Sonst. betriebl. Ertraege</t>
        </is>
      </c>
      <c r="D843" s="8" t="n">
        <v>-162767.35</v>
      </c>
      <c r="E843" s="8" t="n">
        <v>5</v>
      </c>
      <c r="F843" s="8" t="n">
        <v>41</v>
      </c>
      <c r="G843" s="10" t="b">
        <v>1</v>
      </c>
      <c r="H843" s="10" t="n"/>
    </row>
    <row r="844" ht="21" customHeight="1">
      <c r="A844" s="10" t="inlineStr">
        <is>
          <t>P</t>
        </is>
      </c>
      <c r="B844" s="10" t="inlineStr">
        <is>
          <t>0030500000</t>
        </is>
      </c>
      <c r="C844" s="10" t="inlineStr">
        <is>
          <t>Materialaufwand</t>
        </is>
      </c>
      <c r="D844" s="8" t="n">
        <v>0</v>
      </c>
      <c r="E844" s="8" t="n">
        <v>5</v>
      </c>
      <c r="F844" s="8" t="n">
        <v>42</v>
      </c>
      <c r="G844" s="10" t="b">
        <v>0</v>
      </c>
      <c r="H844" s="10" t="n"/>
    </row>
    <row r="845" ht="21" customHeight="1">
      <c r="A845" s="10" t="inlineStr">
        <is>
          <t>P</t>
        </is>
      </c>
      <c r="B845" s="10" t="inlineStr">
        <is>
          <t>0030510000</t>
        </is>
      </c>
      <c r="C845" s="10" t="inlineStr">
        <is>
          <t>Aufwendungen fuer Roh-, Hilfs- und</t>
        </is>
      </c>
      <c r="D845" s="8" t="n">
        <v>0</v>
      </c>
      <c r="E845" s="8" t="n">
        <v>6</v>
      </c>
      <c r="F845" s="8" t="n">
        <v>43</v>
      </c>
      <c r="G845" s="10" t="b">
        <v>0</v>
      </c>
      <c r="H845" s="10" t="n"/>
    </row>
    <row r="846" ht="21" customHeight="1">
      <c r="A846" s="10" t="inlineStr">
        <is>
          <t>P</t>
        </is>
      </c>
      <c r="B846" s="10" t="inlineStr">
        <is>
          <t>0030510000</t>
        </is>
      </c>
      <c r="C846" s="10" t="inlineStr">
        <is>
          <t>Betriebsstoffe sowie fuer bezogene Waren</t>
        </is>
      </c>
      <c r="D846" s="8" t="n">
        <v>0</v>
      </c>
      <c r="E846" s="8" t="n">
        <v>6</v>
      </c>
      <c r="F846" s="8" t="n">
        <v>44</v>
      </c>
      <c r="G846" s="10" t="b">
        <v>0</v>
      </c>
      <c r="H846" s="10" t="n"/>
    </row>
    <row r="847" ht="21" customHeight="1">
      <c r="A847" s="10" t="inlineStr">
        <is>
          <t>P</t>
        </is>
      </c>
      <c r="B847" s="10" t="inlineStr">
        <is>
          <t>0030510099</t>
        </is>
      </c>
      <c r="C847" s="10" t="inlineStr">
        <is>
          <t>Ankauf Rohstoffe</t>
        </is>
      </c>
      <c r="D847" s="8" t="n">
        <v>0</v>
      </c>
      <c r="E847" s="8" t="n">
        <v>7</v>
      </c>
      <c r="F847" s="8" t="n">
        <v>45</v>
      </c>
      <c r="G847" s="10" t="b">
        <v>0</v>
      </c>
      <c r="H847" s="10" t="n"/>
    </row>
    <row r="848" ht="21" customHeight="1">
      <c r="A848" s="10" t="inlineStr">
        <is>
          <t>P</t>
        </is>
      </c>
      <c r="B848" s="10" t="inlineStr">
        <is>
          <t>0030510100</t>
        </is>
      </c>
      <c r="C848" s="10" t="inlineStr">
        <is>
          <t>Ankauf Rohstoffe</t>
        </is>
      </c>
      <c r="D848" s="8" t="n">
        <v>0</v>
      </c>
      <c r="E848" s="8" t="n">
        <v>8</v>
      </c>
      <c r="F848" s="8" t="n">
        <v>46</v>
      </c>
      <c r="G848" s="10" t="b">
        <v>0</v>
      </c>
      <c r="H848" s="10" t="n"/>
    </row>
    <row r="849" ht="21" customHeight="1">
      <c r="A849" s="10" t="inlineStr">
        <is>
          <t>K</t>
        </is>
      </c>
      <c r="B849" s="10" t="inlineStr">
        <is>
          <t>0030510100</t>
        </is>
      </c>
      <c r="C849" s="10" t="inlineStr">
        <is>
          <t>300075 Materialaufwand Abbruch u. Rückbau</t>
        </is>
      </c>
      <c r="D849" s="8" t="n">
        <v>168.52</v>
      </c>
      <c r="E849" s="8" t="n">
        <v>9</v>
      </c>
      <c r="F849" s="8" t="n">
        <v>47</v>
      </c>
      <c r="G849" s="10" t="n"/>
      <c r="H849" s="10" t="inlineStr">
        <is>
          <t>300075</t>
        </is>
      </c>
    </row>
    <row r="850" ht="21" customHeight="1">
      <c r="A850" s="10" t="inlineStr">
        <is>
          <t>P</t>
        </is>
      </c>
      <c r="B850" s="10" t="inlineStr">
        <is>
          <t>0030510200</t>
        </is>
      </c>
      <c r="C850" s="10" t="inlineStr">
        <is>
          <t>Aufw. Heizmat. Strom Gas Wasser</t>
        </is>
      </c>
      <c r="D850" s="8" t="n">
        <v>0</v>
      </c>
      <c r="E850" s="8" t="n">
        <v>8</v>
      </c>
      <c r="F850" s="8" t="n">
        <v>48</v>
      </c>
      <c r="G850" s="10" t="b">
        <v>0</v>
      </c>
      <c r="H850" s="10" t="n"/>
    </row>
    <row r="851" ht="21" customHeight="1">
      <c r="A851" s="10" t="inlineStr">
        <is>
          <t>K</t>
        </is>
      </c>
      <c r="B851" s="10" t="inlineStr">
        <is>
          <t>0030510200</t>
        </is>
      </c>
      <c r="C851" s="10" t="inlineStr">
        <is>
          <t>310040 Gas (vornehmlich industr. Anlagen)</t>
        </is>
      </c>
      <c r="D851" s="8" t="n">
        <v>3091.07</v>
      </c>
      <c r="E851" s="8" t="n">
        <v>9</v>
      </c>
      <c r="F851" s="8" t="n">
        <v>49</v>
      </c>
      <c r="G851" s="10" t="n"/>
      <c r="H851" s="10" t="inlineStr">
        <is>
          <t>310040</t>
        </is>
      </c>
    </row>
    <row r="852" ht="21" customHeight="1">
      <c r="A852" s="10" t="inlineStr">
        <is>
          <t>P</t>
        </is>
      </c>
      <c r="B852" s="10" t="inlineStr">
        <is>
          <t>0030510900</t>
        </is>
      </c>
      <c r="C852" s="10" t="inlineStr">
        <is>
          <t>Aufw. sonst. Hilfs-u.Betriebstsoffe</t>
        </is>
      </c>
      <c r="D852" s="8" t="n">
        <v>0</v>
      </c>
      <c r="E852" s="8" t="n">
        <v>7</v>
      </c>
      <c r="F852" s="8" t="n">
        <v>50</v>
      </c>
      <c r="G852" s="10" t="b">
        <v>0</v>
      </c>
      <c r="H852" s="10" t="n"/>
    </row>
    <row r="853" ht="21" customHeight="1">
      <c r="A853" s="10" t="inlineStr">
        <is>
          <t>K</t>
        </is>
      </c>
      <c r="B853" s="10" t="inlineStr">
        <is>
          <t>0030510900</t>
        </is>
      </c>
      <c r="C853" s="10" t="inlineStr">
        <is>
          <t>310010 Reinigungsmaterial</t>
        </is>
      </c>
      <c r="D853" s="8" t="n">
        <v>25.22</v>
      </c>
      <c r="E853" s="8" t="n">
        <v>8</v>
      </c>
      <c r="F853" s="8" t="n">
        <v>51</v>
      </c>
      <c r="G853" s="10" t="n"/>
      <c r="H853" s="10" t="inlineStr">
        <is>
          <t>310010</t>
        </is>
      </c>
    </row>
    <row r="854" ht="21" customHeight="1">
      <c r="A854" s="10" t="inlineStr">
        <is>
          <t>K</t>
        </is>
      </c>
      <c r="B854" s="10" t="inlineStr">
        <is>
          <t>0030510900</t>
        </is>
      </c>
      <c r="C854" s="10" t="inlineStr">
        <is>
          <t>310080 Technische Gase</t>
        </is>
      </c>
      <c r="D854" s="8" t="n">
        <v>3975.85</v>
      </c>
      <c r="E854" s="8" t="n">
        <v>8</v>
      </c>
      <c r="F854" s="8" t="n">
        <v>52</v>
      </c>
      <c r="G854" s="10" t="n"/>
      <c r="H854" s="10" t="inlineStr">
        <is>
          <t>310080</t>
        </is>
      </c>
    </row>
    <row r="855" ht="21" customHeight="1">
      <c r="A855" s="10" t="inlineStr">
        <is>
          <t>K</t>
        </is>
      </c>
      <c r="B855" s="10" t="inlineStr">
        <is>
          <t>0030510900</t>
        </is>
      </c>
      <c r="C855" s="10" t="inlineStr">
        <is>
          <t>310900 Sonstige Hilfs- und Betriebsstoffe</t>
        </is>
      </c>
      <c r="D855" s="8" t="n">
        <v>5250</v>
      </c>
      <c r="E855" s="8" t="n">
        <v>8</v>
      </c>
      <c r="F855" s="8" t="n">
        <v>53</v>
      </c>
      <c r="G855" s="10" t="n"/>
      <c r="H855" s="10" t="inlineStr">
        <is>
          <t>310900</t>
        </is>
      </c>
    </row>
    <row r="856" ht="21" customHeight="1">
      <c r="A856" s="10" t="inlineStr">
        <is>
          <t>K</t>
        </is>
      </c>
      <c r="B856" s="10" t="inlineStr">
        <is>
          <t>0030510900</t>
        </is>
      </c>
      <c r="C856" s="10" t="inlineStr">
        <is>
          <t>330900 Erhaltene Skonti</t>
        </is>
      </c>
      <c r="D856" s="8" t="n">
        <v>-73624.50999999999</v>
      </c>
      <c r="E856" s="8" t="n">
        <v>8</v>
      </c>
      <c r="F856" s="8" t="n">
        <v>54</v>
      </c>
      <c r="G856" s="10" t="n"/>
      <c r="H856" s="10" t="inlineStr">
        <is>
          <t>330900</t>
        </is>
      </c>
    </row>
    <row r="857" ht="21" customHeight="1">
      <c r="A857" s="10" t="inlineStr">
        <is>
          <t>P</t>
        </is>
      </c>
      <c r="B857" s="10" t="inlineStr">
        <is>
          <t>0030510000</t>
        </is>
      </c>
      <c r="C857" s="10" t="inlineStr">
        <is>
          <t>Summe fuer Aufwendungen fuer Roh-, Hilfs- und</t>
        </is>
      </c>
      <c r="D857" s="8" t="n">
        <v>-61113.85</v>
      </c>
      <c r="E857" s="8" t="n">
        <v>6</v>
      </c>
      <c r="F857" s="8" t="n">
        <v>55</v>
      </c>
      <c r="G857" s="10" t="b">
        <v>1</v>
      </c>
      <c r="H857" s="10" t="n"/>
    </row>
    <row r="858" ht="21" customHeight="1">
      <c r="A858" s="10" t="inlineStr">
        <is>
          <t>P</t>
        </is>
      </c>
      <c r="B858" s="10" t="inlineStr">
        <is>
          <t>0030510000</t>
        </is>
      </c>
      <c r="C858" s="10" t="inlineStr">
        <is>
          <t>Betriebsstoffe sowie fuer bezogene Waren</t>
        </is>
      </c>
      <c r="D858" s="8" t="n">
        <v>0</v>
      </c>
      <c r="E858" s="8" t="n">
        <v>6</v>
      </c>
      <c r="F858" s="8" t="n">
        <v>56</v>
      </c>
      <c r="G858" s="10" t="b">
        <v>0</v>
      </c>
      <c r="H858" s="10" t="n"/>
    </row>
    <row r="859" ht="21" customHeight="1">
      <c r="A859" s="10" t="inlineStr">
        <is>
          <t>P</t>
        </is>
      </c>
      <c r="B859" s="10" t="inlineStr">
        <is>
          <t>0030520000</t>
        </is>
      </c>
      <c r="C859" s="10" t="inlineStr">
        <is>
          <t>Aufwend. f. bezog. Leistg.</t>
        </is>
      </c>
      <c r="D859" s="8" t="n">
        <v>0</v>
      </c>
      <c r="E859" s="8" t="n">
        <v>6</v>
      </c>
      <c r="F859" s="8" t="n">
        <v>57</v>
      </c>
      <c r="G859" s="10" t="b">
        <v>0</v>
      </c>
      <c r="H859" s="10" t="n"/>
    </row>
    <row r="860" ht="21" customHeight="1">
      <c r="A860" s="10" t="inlineStr">
        <is>
          <t>P</t>
        </is>
      </c>
      <c r="B860" s="10" t="inlineStr">
        <is>
          <t>0030520130</t>
        </is>
      </c>
      <c r="C860" s="10" t="inlineStr">
        <is>
          <t>Fremdleistg. Personal</t>
        </is>
      </c>
      <c r="D860" s="8" t="n">
        <v>0</v>
      </c>
      <c r="E860" s="8" t="n">
        <v>8</v>
      </c>
      <c r="F860" s="8" t="n">
        <v>58</v>
      </c>
      <c r="G860" s="10" t="b">
        <v>0</v>
      </c>
      <c r="H860" s="10" t="n"/>
    </row>
    <row r="861" ht="21" customHeight="1">
      <c r="A861" s="10" t="inlineStr">
        <is>
          <t>K</t>
        </is>
      </c>
      <c r="B861" s="10" t="inlineStr">
        <is>
          <t>0030520130</t>
        </is>
      </c>
      <c r="C861" s="10" t="inlineStr">
        <is>
          <t>340030 Fremdleistungen Personal</t>
        </is>
      </c>
      <c r="D861" s="8" t="n">
        <v>17138.62</v>
      </c>
      <c r="E861" s="8" t="n">
        <v>9</v>
      </c>
      <c r="F861" s="8" t="n">
        <v>59</v>
      </c>
      <c r="G861" s="10" t="n"/>
      <c r="H861" s="10" t="inlineStr">
        <is>
          <t>340030</t>
        </is>
      </c>
    </row>
    <row r="862" ht="21" customHeight="1">
      <c r="A862" s="10" t="inlineStr">
        <is>
          <t>P</t>
        </is>
      </c>
      <c r="B862" s="10" t="inlineStr">
        <is>
          <t>0030520190</t>
        </is>
      </c>
      <c r="C862" s="10" t="inlineStr">
        <is>
          <t>Uebrige bezog. Leistg.</t>
        </is>
      </c>
      <c r="D862" s="8" t="n">
        <v>0</v>
      </c>
      <c r="E862" s="8" t="n">
        <v>7</v>
      </c>
      <c r="F862" s="8" t="n">
        <v>60</v>
      </c>
      <c r="G862" s="10" t="b">
        <v>0</v>
      </c>
      <c r="H862" s="10" t="n"/>
    </row>
    <row r="863" ht="21" customHeight="1">
      <c r="A863" s="10" t="inlineStr">
        <is>
          <t>K</t>
        </is>
      </c>
      <c r="B863" s="10" t="inlineStr">
        <is>
          <t>0030520190</t>
        </is>
      </c>
      <c r="C863" s="10" t="inlineStr">
        <is>
          <t>340050 Fremdleistungen Wartung/Pflege</t>
        </is>
      </c>
      <c r="D863" s="8" t="n">
        <v>10292258.62</v>
      </c>
      <c r="E863" s="8" t="n">
        <v>8</v>
      </c>
      <c r="F863" s="8" t="n">
        <v>61</v>
      </c>
      <c r="G863" s="10" t="n"/>
      <c r="H863" s="10" t="inlineStr">
        <is>
          <t>340050</t>
        </is>
      </c>
    </row>
    <row r="864" ht="21" customHeight="1">
      <c r="A864" s="10" t="inlineStr">
        <is>
          <t>K</t>
        </is>
      </c>
      <c r="B864" s="10" t="inlineStr">
        <is>
          <t>0030520190</t>
        </is>
      </c>
      <c r="C864" s="10" t="inlineStr">
        <is>
          <t>340600 Bezogene Leistung periodenfremd</t>
        </is>
      </c>
      <c r="D864" s="8" t="n">
        <v>9914.389999999999</v>
      </c>
      <c r="E864" s="8" t="n">
        <v>8</v>
      </c>
      <c r="F864" s="8" t="n">
        <v>62</v>
      </c>
      <c r="G864" s="10" t="n"/>
      <c r="H864" s="10" t="inlineStr">
        <is>
          <t>340600</t>
        </is>
      </c>
    </row>
    <row r="865" ht="21" customHeight="1">
      <c r="A865" s="10" t="inlineStr">
        <is>
          <t>P</t>
        </is>
      </c>
      <c r="B865" s="10" t="inlineStr">
        <is>
          <t>0030520000</t>
        </is>
      </c>
      <c r="C865" s="10" t="inlineStr">
        <is>
          <t>Summe Aufwend. f. bezog. Leistg.</t>
        </is>
      </c>
      <c r="D865" s="8" t="n">
        <v>10319311.63</v>
      </c>
      <c r="E865" s="8" t="n">
        <v>6</v>
      </c>
      <c r="F865" s="8" t="n">
        <v>63</v>
      </c>
      <c r="G865" s="10" t="b">
        <v>1</v>
      </c>
      <c r="H865" s="10" t="n"/>
    </row>
    <row r="866" ht="21" customHeight="1">
      <c r="A866" s="10" t="inlineStr">
        <is>
          <t>P</t>
        </is>
      </c>
      <c r="B866" s="10" t="inlineStr">
        <is>
          <t>0030500000</t>
        </is>
      </c>
      <c r="C866" s="10" t="inlineStr">
        <is>
          <t>Summe Materialaufwand</t>
        </is>
      </c>
      <c r="D866" s="8" t="n">
        <v>10258197.78</v>
      </c>
      <c r="E866" s="8" t="n">
        <v>5</v>
      </c>
      <c r="F866" s="8" t="n">
        <v>64</v>
      </c>
      <c r="G866" s="10" t="b">
        <v>1</v>
      </c>
      <c r="H866" s="10" t="n"/>
    </row>
    <row r="867" ht="21" customHeight="1">
      <c r="A867" s="10" t="inlineStr">
        <is>
          <t>P</t>
        </is>
      </c>
      <c r="B867" s="10" t="inlineStr">
        <is>
          <t>0030600000</t>
        </is>
      </c>
      <c r="C867" s="10" t="inlineStr">
        <is>
          <t>Personalaufwand</t>
        </is>
      </c>
      <c r="D867" s="8" t="n">
        <v>0</v>
      </c>
      <c r="E867" s="8" t="n">
        <v>5</v>
      </c>
      <c r="F867" s="8" t="n">
        <v>65</v>
      </c>
      <c r="G867" s="10" t="b">
        <v>0</v>
      </c>
      <c r="H867" s="10" t="n"/>
    </row>
    <row r="868" ht="21" customHeight="1">
      <c r="A868" s="10" t="inlineStr">
        <is>
          <t>P</t>
        </is>
      </c>
      <c r="B868" s="10" t="inlineStr">
        <is>
          <t>0030610000</t>
        </is>
      </c>
      <c r="C868" s="10" t="inlineStr">
        <is>
          <t>Loehne und Gehaelter</t>
        </is>
      </c>
      <c r="D868" s="8" t="n">
        <v>0</v>
      </c>
      <c r="E868" s="8" t="n">
        <v>6</v>
      </c>
      <c r="F868" s="8" t="n">
        <v>66</v>
      </c>
      <c r="G868" s="10" t="b">
        <v>0</v>
      </c>
      <c r="H868" s="10" t="n"/>
    </row>
    <row r="869" ht="21" customHeight="1">
      <c r="A869" s="10" t="inlineStr">
        <is>
          <t>P</t>
        </is>
      </c>
      <c r="B869" s="10" t="inlineStr">
        <is>
          <t>0030610100</t>
        </is>
      </c>
      <c r="C869" s="10" t="inlineStr">
        <is>
          <t>Loehne und Gehaelter</t>
        </is>
      </c>
      <c r="D869" s="8" t="n">
        <v>0</v>
      </c>
      <c r="E869" s="8" t="n">
        <v>7</v>
      </c>
      <c r="F869" s="8" t="n">
        <v>67</v>
      </c>
      <c r="G869" s="10" t="b">
        <v>0</v>
      </c>
      <c r="H869" s="10" t="n"/>
    </row>
    <row r="870" ht="21" customHeight="1">
      <c r="A870" s="10" t="inlineStr">
        <is>
          <t>K</t>
        </is>
      </c>
      <c r="B870" s="10" t="inlineStr">
        <is>
          <t>0030610100</t>
        </is>
      </c>
      <c r="C870" s="10" t="inlineStr">
        <is>
          <t>410000 Löhne</t>
        </is>
      </c>
      <c r="D870" s="8" t="n">
        <v>800798.88</v>
      </c>
      <c r="E870" s="8" t="n">
        <v>8</v>
      </c>
      <c r="F870" s="8" t="n">
        <v>68</v>
      </c>
      <c r="G870" s="10" t="n"/>
      <c r="H870" s="10" t="inlineStr">
        <is>
          <t>410000</t>
        </is>
      </c>
    </row>
    <row r="871" ht="21" customHeight="1">
      <c r="A871" s="10" t="inlineStr">
        <is>
          <t>K</t>
        </is>
      </c>
      <c r="B871" s="10" t="inlineStr">
        <is>
          <t>0030610100</t>
        </is>
      </c>
      <c r="C871" s="10" t="inlineStr">
        <is>
          <t>410050 Überstunden Lohnempfänger</t>
        </is>
      </c>
      <c r="D871" s="8" t="n">
        <v>46797.77</v>
      </c>
      <c r="E871" s="8" t="n">
        <v>8</v>
      </c>
      <c r="F871" s="8" t="n">
        <v>69</v>
      </c>
      <c r="G871" s="10" t="n"/>
      <c r="H871" s="10" t="inlineStr">
        <is>
          <t>410050</t>
        </is>
      </c>
    </row>
    <row r="872" ht="21" customHeight="1">
      <c r="A872" s="10" t="inlineStr">
        <is>
          <t>K</t>
        </is>
      </c>
      <c r="B872" s="10" t="inlineStr">
        <is>
          <t>0030610100</t>
        </is>
      </c>
      <c r="C872" s="10" t="inlineStr">
        <is>
          <t>410060 Aushilfen gewerbl. (Lohnübernahme)</t>
        </is>
      </c>
      <c r="D872" s="8" t="n">
        <v>10639.9</v>
      </c>
      <c r="E872" s="8" t="n">
        <v>8</v>
      </c>
      <c r="F872" s="8" t="n">
        <v>70</v>
      </c>
      <c r="G872" s="10" t="n"/>
      <c r="H872" s="10" t="inlineStr">
        <is>
          <t>410060</t>
        </is>
      </c>
    </row>
    <row r="873" ht="21" customHeight="1">
      <c r="A873" s="10" t="inlineStr">
        <is>
          <t>K</t>
        </is>
      </c>
      <c r="B873" s="10" t="inlineStr">
        <is>
          <t>0030610100</t>
        </is>
      </c>
      <c r="C873" s="10" t="inlineStr">
        <is>
          <t>410100 Gehalt</t>
        </is>
      </c>
      <c r="D873" s="8" t="n">
        <v>959338.67</v>
      </c>
      <c r="E873" s="8" t="n">
        <v>8</v>
      </c>
      <c r="F873" s="8" t="n">
        <v>71</v>
      </c>
      <c r="G873" s="10" t="n"/>
      <c r="H873" s="10" t="inlineStr">
        <is>
          <t>410100</t>
        </is>
      </c>
    </row>
    <row r="874" ht="21" customHeight="1">
      <c r="A874" s="10" t="inlineStr">
        <is>
          <t>K</t>
        </is>
      </c>
      <c r="B874" s="10" t="inlineStr">
        <is>
          <t>0030610100</t>
        </is>
      </c>
      <c r="C874" s="10" t="inlineStr">
        <is>
          <t>410160 Aushilfen Angestellte (Lohnübernahme)</t>
        </is>
      </c>
      <c r="D874" s="8" t="n">
        <v>9420.200000000001</v>
      </c>
      <c r="E874" s="8" t="n">
        <v>8</v>
      </c>
      <c r="F874" s="8" t="n">
        <v>72</v>
      </c>
      <c r="G874" s="10" t="n"/>
      <c r="H874" s="10" t="inlineStr">
        <is>
          <t>410160</t>
        </is>
      </c>
    </row>
    <row r="875" ht="21" customHeight="1">
      <c r="A875" s="10" t="inlineStr">
        <is>
          <t>K</t>
        </is>
      </c>
      <c r="B875" s="10" t="inlineStr">
        <is>
          <t>0030610100</t>
        </is>
      </c>
      <c r="C875" s="10" t="inlineStr">
        <is>
          <t>411030 Arbeitgeberzuschuß VWL</t>
        </is>
      </c>
      <c r="D875" s="8" t="n">
        <v>2076.12</v>
      </c>
      <c r="E875" s="8" t="n">
        <v>8</v>
      </c>
      <c r="F875" s="8" t="n">
        <v>73</v>
      </c>
      <c r="G875" s="10" t="n"/>
      <c r="H875" s="10" t="inlineStr">
        <is>
          <t>411030</t>
        </is>
      </c>
    </row>
    <row r="876" ht="21" customHeight="1">
      <c r="A876" s="10" t="inlineStr">
        <is>
          <t>P</t>
        </is>
      </c>
      <c r="B876" s="10" t="inlineStr">
        <is>
          <t>0030610110</t>
        </is>
      </c>
      <c r="C876" s="10" t="inlineStr">
        <is>
          <t>Sonderzahl. und Praemien</t>
        </is>
      </c>
      <c r="D876" s="8" t="n">
        <v>0</v>
      </c>
      <c r="E876" s="8" t="n">
        <v>7</v>
      </c>
      <c r="F876" s="8" t="n">
        <v>74</v>
      </c>
      <c r="G876" s="10" t="b">
        <v>0</v>
      </c>
      <c r="H876" s="10" t="n"/>
    </row>
    <row r="877" ht="21" customHeight="1">
      <c r="A877" s="10" t="inlineStr">
        <is>
          <t>K</t>
        </is>
      </c>
      <c r="B877" s="10" t="inlineStr">
        <is>
          <t>0030610110</t>
        </is>
      </c>
      <c r="C877" s="10" t="inlineStr">
        <is>
          <t>410030 Sonderzahlungen und Prämien Lohnempfänger</t>
        </is>
      </c>
      <c r="D877" s="8" t="n">
        <v>129.28</v>
      </c>
      <c r="E877" s="8" t="n">
        <v>8</v>
      </c>
      <c r="F877" s="8" t="n">
        <v>75</v>
      </c>
      <c r="G877" s="10" t="n"/>
      <c r="H877" s="10" t="inlineStr">
        <is>
          <t>410030</t>
        </is>
      </c>
    </row>
    <row r="878" ht="21" customHeight="1">
      <c r="A878" s="10" t="inlineStr">
        <is>
          <t>K</t>
        </is>
      </c>
      <c r="B878" s="10" t="inlineStr">
        <is>
          <t>0030610110</t>
        </is>
      </c>
      <c r="C878" s="10" t="inlineStr">
        <is>
          <t>410130 Sonderzahlungen und Prämien Gehaltsempfänger</t>
        </is>
      </c>
      <c r="D878" s="8" t="n">
        <v>217663</v>
      </c>
      <c r="E878" s="8" t="n">
        <v>8</v>
      </c>
      <c r="F878" s="8" t="n">
        <v>76</v>
      </c>
      <c r="G878" s="10" t="n"/>
      <c r="H878" s="10" t="inlineStr">
        <is>
          <t>410130</t>
        </is>
      </c>
    </row>
    <row r="879" ht="21" customHeight="1">
      <c r="A879" s="10" t="inlineStr">
        <is>
          <t>P</t>
        </is>
      </c>
      <c r="B879" s="10" t="inlineStr">
        <is>
          <t>0030610120</t>
        </is>
      </c>
      <c r="C879" s="10" t="inlineStr">
        <is>
          <t>Uebrige Lohn- und Gehaltszahlungen</t>
        </is>
      </c>
      <c r="D879" s="8" t="n">
        <v>0</v>
      </c>
      <c r="E879" s="8" t="n">
        <v>7</v>
      </c>
      <c r="F879" s="8" t="n">
        <v>77</v>
      </c>
      <c r="G879" s="10" t="b">
        <v>0</v>
      </c>
      <c r="H879" s="10" t="n"/>
    </row>
    <row r="880" ht="21" customHeight="1">
      <c r="A880" s="10" t="inlineStr">
        <is>
          <t>K</t>
        </is>
      </c>
      <c r="B880" s="10" t="inlineStr">
        <is>
          <t>0030610120</t>
        </is>
      </c>
      <c r="C880" s="10" t="inlineStr">
        <is>
          <t>410010 Lohnfortzahlung</t>
        </is>
      </c>
      <c r="D880" s="8" t="n">
        <v>58865.71</v>
      </c>
      <c r="E880" s="8" t="n">
        <v>8</v>
      </c>
      <c r="F880" s="8" t="n">
        <v>78</v>
      </c>
      <c r="G880" s="10" t="n"/>
      <c r="H880" s="10" t="inlineStr">
        <is>
          <t>410010</t>
        </is>
      </c>
    </row>
    <row r="881" ht="21" customHeight="1">
      <c r="A881" s="10" t="inlineStr">
        <is>
          <t>K</t>
        </is>
      </c>
      <c r="B881" s="10" t="inlineStr">
        <is>
          <t>0030610120</t>
        </is>
      </c>
      <c r="C881" s="10" t="inlineStr">
        <is>
          <t>410110 Gehaltsfortzahlung</t>
        </is>
      </c>
      <c r="D881" s="8" t="n">
        <v>25197.01</v>
      </c>
      <c r="E881" s="8" t="n">
        <v>8</v>
      </c>
      <c r="F881" s="8" t="n">
        <v>79</v>
      </c>
      <c r="G881" s="10" t="n"/>
      <c r="H881" s="10" t="inlineStr">
        <is>
          <t>410110</t>
        </is>
      </c>
    </row>
    <row r="882" ht="21" customHeight="1">
      <c r="A882" s="10" t="inlineStr">
        <is>
          <t>K</t>
        </is>
      </c>
      <c r="B882" s="10" t="inlineStr">
        <is>
          <t>0030610120</t>
        </is>
      </c>
      <c r="C882" s="10" t="inlineStr">
        <is>
          <t>411910 Lohnzuschüsse (Lohnübernahme)</t>
        </is>
      </c>
      <c r="D882" s="8" t="n">
        <v>86131.82000000001</v>
      </c>
      <c r="E882" s="8" t="n">
        <v>8</v>
      </c>
      <c r="F882" s="8" t="n">
        <v>80</v>
      </c>
      <c r="G882" s="10" t="n"/>
      <c r="H882" s="10" t="inlineStr">
        <is>
          <t>411910</t>
        </is>
      </c>
    </row>
    <row r="883" ht="21" customHeight="1">
      <c r="A883" s="10" t="inlineStr">
        <is>
          <t>P</t>
        </is>
      </c>
      <c r="B883" s="10" t="inlineStr">
        <is>
          <t>0030610000</t>
        </is>
      </c>
      <c r="C883" s="10" t="inlineStr">
        <is>
          <t>Summe Loehne und Gehaelter</t>
        </is>
      </c>
      <c r="D883" s="8" t="n">
        <v>2217058.36</v>
      </c>
      <c r="E883" s="8" t="n">
        <v>6</v>
      </c>
      <c r="F883" s="8" t="n">
        <v>81</v>
      </c>
      <c r="G883" s="10" t="b">
        <v>1</v>
      </c>
      <c r="H883" s="10" t="n"/>
    </row>
    <row r="884" ht="21" customHeight="1">
      <c r="A884" s="10" t="inlineStr">
        <is>
          <t>P</t>
        </is>
      </c>
      <c r="B884" s="10" t="inlineStr">
        <is>
          <t>0030620000</t>
        </is>
      </c>
      <c r="C884" s="10" t="inlineStr">
        <is>
          <t>Soz. Abgaben / Aufw. F. Unterstützung</t>
        </is>
      </c>
      <c r="D884" s="8" t="n">
        <v>0</v>
      </c>
      <c r="E884" s="8" t="n">
        <v>6</v>
      </c>
      <c r="F884" s="8" t="n">
        <v>82</v>
      </c>
      <c r="G884" s="10" t="b">
        <v>0</v>
      </c>
      <c r="H884" s="10" t="n"/>
    </row>
    <row r="885" ht="21" customHeight="1">
      <c r="A885" s="10" t="inlineStr">
        <is>
          <t>P</t>
        </is>
      </c>
      <c r="B885" s="10" t="inlineStr">
        <is>
          <t>0030620100</t>
        </is>
      </c>
      <c r="C885" s="10" t="inlineStr">
        <is>
          <t>Soziale Abgaben</t>
        </is>
      </c>
      <c r="D885" s="8" t="n">
        <v>0</v>
      </c>
      <c r="E885" s="8" t="n">
        <v>7</v>
      </c>
      <c r="F885" s="8" t="n">
        <v>83</v>
      </c>
      <c r="G885" s="10" t="b">
        <v>0</v>
      </c>
      <c r="H885" s="10" t="n"/>
    </row>
    <row r="886" ht="21" customHeight="1">
      <c r="A886" s="10" t="inlineStr">
        <is>
          <t>K</t>
        </is>
      </c>
      <c r="B886" s="10" t="inlineStr">
        <is>
          <t>0030620100</t>
        </is>
      </c>
      <c r="C886" s="10" t="inlineStr">
        <is>
          <t>411010 Beiträge Berufsgenossenschaft</t>
        </is>
      </c>
      <c r="D886" s="8" t="n">
        <v>42350</v>
      </c>
      <c r="E886" s="8" t="n">
        <v>8</v>
      </c>
      <c r="F886" s="8" t="n">
        <v>84</v>
      </c>
      <c r="G886" s="10" t="n"/>
      <c r="H886" s="10" t="inlineStr">
        <is>
          <t>411010</t>
        </is>
      </c>
    </row>
    <row r="887" ht="21" customHeight="1">
      <c r="A887" s="10" t="inlineStr">
        <is>
          <t>K</t>
        </is>
      </c>
      <c r="B887" s="10" t="inlineStr">
        <is>
          <t>0030620100</t>
        </is>
      </c>
      <c r="C887" s="10" t="inlineStr">
        <is>
          <t>411020 Sozialabgaben</t>
        </is>
      </c>
      <c r="D887" s="8" t="n">
        <v>223167.14</v>
      </c>
      <c r="E887" s="8" t="n">
        <v>8</v>
      </c>
      <c r="F887" s="8" t="n">
        <v>85</v>
      </c>
      <c r="G887" s="10" t="n"/>
      <c r="H887" s="10" t="inlineStr">
        <is>
          <t>411020</t>
        </is>
      </c>
    </row>
    <row r="888" ht="21" customHeight="1">
      <c r="A888" s="10" t="inlineStr">
        <is>
          <t>K</t>
        </is>
      </c>
      <c r="B888" s="10" t="inlineStr">
        <is>
          <t>0030620100</t>
        </is>
      </c>
      <c r="C888" s="10" t="inlineStr">
        <is>
          <t>411021 Arbeitgeberanteil zur gesetzl. RentenVersicherung</t>
        </is>
      </c>
      <c r="D888" s="8" t="n">
        <v>181787.43</v>
      </c>
      <c r="E888" s="8" t="n">
        <v>8</v>
      </c>
      <c r="F888" s="8" t="n">
        <v>86</v>
      </c>
      <c r="G888" s="10" t="n"/>
      <c r="H888" s="10" t="inlineStr">
        <is>
          <t>411021</t>
        </is>
      </c>
    </row>
    <row r="889" ht="21" customHeight="1">
      <c r="A889" s="10" t="inlineStr">
        <is>
          <t>P</t>
        </is>
      </c>
      <c r="B889" s="10" t="inlineStr">
        <is>
          <t>0030620200</t>
        </is>
      </c>
      <c r="C889" s="10" t="inlineStr">
        <is>
          <t>Aufw. f. Altersversorgung u. Unterst.</t>
        </is>
      </c>
      <c r="D889" s="8" t="n">
        <v>0</v>
      </c>
      <c r="E889" s="8" t="n">
        <v>7</v>
      </c>
      <c r="F889" s="8" t="n">
        <v>87</v>
      </c>
      <c r="G889" s="10" t="b">
        <v>0</v>
      </c>
      <c r="H889" s="10" t="n"/>
    </row>
    <row r="890" ht="21" customHeight="1">
      <c r="A890" s="10" t="inlineStr">
        <is>
          <t>K</t>
        </is>
      </c>
      <c r="B890" s="10" t="inlineStr">
        <is>
          <t>0030620200</t>
        </is>
      </c>
      <c r="C890" s="10" t="inlineStr">
        <is>
          <t>411000 Altersversorgung und Unterstützung</t>
        </is>
      </c>
      <c r="D890" s="8" t="n">
        <v>6736.2</v>
      </c>
      <c r="E890" s="8" t="n">
        <v>8</v>
      </c>
      <c r="F890" s="8" t="n">
        <v>88</v>
      </c>
      <c r="G890" s="10" t="n"/>
      <c r="H890" s="10" t="inlineStr">
        <is>
          <t>411000</t>
        </is>
      </c>
    </row>
    <row r="891" ht="21" customHeight="1">
      <c r="A891" s="10" t="inlineStr">
        <is>
          <t>P</t>
        </is>
      </c>
      <c r="B891" s="10" t="inlineStr">
        <is>
          <t>0030620000</t>
        </is>
      </c>
      <c r="C891" s="10" t="inlineStr">
        <is>
          <t>Summe Soz. Abgaben / Aufw. F. Unterstützung</t>
        </is>
      </c>
      <c r="D891" s="8" t="n">
        <v>454040.77</v>
      </c>
      <c r="E891" s="8" t="n">
        <v>6</v>
      </c>
      <c r="F891" s="8" t="n">
        <v>89</v>
      </c>
      <c r="G891" s="10" t="b">
        <v>1</v>
      </c>
      <c r="H891" s="10" t="n"/>
    </row>
    <row r="892" ht="21" customHeight="1">
      <c r="A892" s="10" t="inlineStr">
        <is>
          <t>P</t>
        </is>
      </c>
      <c r="B892" s="10" t="inlineStr">
        <is>
          <t>0030600000</t>
        </is>
      </c>
      <c r="C892" s="10" t="inlineStr">
        <is>
          <t>Summe Personalaufwand</t>
        </is>
      </c>
      <c r="D892" s="8" t="n">
        <v>2671099.13</v>
      </c>
      <c r="E892" s="8" t="n">
        <v>5</v>
      </c>
      <c r="F892" s="8" t="n">
        <v>90</v>
      </c>
      <c r="G892" s="10" t="b">
        <v>1</v>
      </c>
      <c r="H892" s="10" t="n"/>
    </row>
    <row r="893" ht="21" customHeight="1">
      <c r="A893" s="10" t="inlineStr">
        <is>
          <t>P</t>
        </is>
      </c>
      <c r="B893" s="10" t="inlineStr">
        <is>
          <t>0030700000</t>
        </is>
      </c>
      <c r="C893" s="10" t="inlineStr">
        <is>
          <t>Abschreibungen</t>
        </is>
      </c>
      <c r="D893" s="8" t="n">
        <v>0</v>
      </c>
      <c r="E893" s="8" t="n">
        <v>5</v>
      </c>
      <c r="F893" s="8" t="n">
        <v>91</v>
      </c>
      <c r="G893" s="10" t="b">
        <v>0</v>
      </c>
      <c r="H893" s="10" t="n"/>
    </row>
    <row r="894" ht="21" customHeight="1">
      <c r="A894" s="10" t="inlineStr">
        <is>
          <t>P</t>
        </is>
      </c>
      <c r="B894" s="10" t="inlineStr">
        <is>
          <t>0030710000</t>
        </is>
      </c>
      <c r="C894" s="10" t="inlineStr">
        <is>
          <t>Abschreibungen auf Anlagevermögen</t>
        </is>
      </c>
      <c r="D894" s="8" t="n">
        <v>0</v>
      </c>
      <c r="E894" s="8" t="n">
        <v>6</v>
      </c>
      <c r="F894" s="8" t="n">
        <v>92</v>
      </c>
      <c r="G894" s="10" t="b">
        <v>0</v>
      </c>
      <c r="H894" s="10" t="n"/>
    </row>
    <row r="895" ht="21" customHeight="1">
      <c r="A895" s="10" t="inlineStr">
        <is>
          <t>P</t>
        </is>
      </c>
      <c r="B895" s="10" t="inlineStr">
        <is>
          <t>0030710100</t>
        </is>
      </c>
      <c r="C895" s="10" t="inlineStr">
        <is>
          <t>planm. Abschreibung AV</t>
        </is>
      </c>
      <c r="D895" s="8" t="n">
        <v>0</v>
      </c>
      <c r="E895" s="8" t="n">
        <v>7</v>
      </c>
      <c r="F895" s="8" t="n">
        <v>93</v>
      </c>
      <c r="G895" s="10" t="b">
        <v>0</v>
      </c>
      <c r="H895" s="10" t="n"/>
    </row>
    <row r="896" ht="21" customHeight="1">
      <c r="A896" s="10" t="inlineStr">
        <is>
          <t>K</t>
        </is>
      </c>
      <c r="B896" s="10" t="inlineStr">
        <is>
          <t>0030710100</t>
        </is>
      </c>
      <c r="C896" s="10" t="inlineStr">
        <is>
          <t>480100 Normalabschreibung auf Anlagen</t>
        </is>
      </c>
      <c r="D896" s="8" t="n">
        <v>64264.03</v>
      </c>
      <c r="E896" s="8" t="n">
        <v>8</v>
      </c>
      <c r="F896" s="8" t="n">
        <v>94</v>
      </c>
      <c r="G896" s="10" t="n"/>
      <c r="H896" s="10" t="inlineStr">
        <is>
          <t>480100</t>
        </is>
      </c>
    </row>
    <row r="897" ht="21" customHeight="1">
      <c r="A897" s="10" t="inlineStr">
        <is>
          <t>K</t>
        </is>
      </c>
      <c r="B897" s="10" t="inlineStr">
        <is>
          <t>0030710100</t>
        </is>
      </c>
      <c r="C897" s="10" t="inlineStr">
        <is>
          <t>480110 Abschreibungen auf Anlagen (GWG)</t>
        </is>
      </c>
      <c r="D897" s="8" t="n">
        <v>2302.89</v>
      </c>
      <c r="E897" s="8" t="n">
        <v>8</v>
      </c>
      <c r="F897" s="8" t="n">
        <v>95</v>
      </c>
      <c r="G897" s="10" t="n"/>
      <c r="H897" s="10" t="inlineStr">
        <is>
          <t>480110</t>
        </is>
      </c>
    </row>
    <row r="898" ht="21" customHeight="1">
      <c r="A898" s="10" t="inlineStr">
        <is>
          <t>P</t>
        </is>
      </c>
      <c r="B898" s="10" t="inlineStr">
        <is>
          <t>0030700000</t>
        </is>
      </c>
      <c r="C898" s="10" t="inlineStr">
        <is>
          <t>Summe Abschreibungen</t>
        </is>
      </c>
      <c r="D898" s="8" t="n">
        <v>66566.92</v>
      </c>
      <c r="E898" s="8" t="n">
        <v>5</v>
      </c>
      <c r="F898" s="8" t="n">
        <v>96</v>
      </c>
      <c r="G898" s="10" t="b">
        <v>1</v>
      </c>
      <c r="H898" s="10" t="n"/>
    </row>
    <row r="899" ht="21" customHeight="1">
      <c r="A899" s="10" t="inlineStr">
        <is>
          <t>P</t>
        </is>
      </c>
      <c r="B899" s="10" t="inlineStr">
        <is>
          <t>0030800000</t>
        </is>
      </c>
      <c r="C899" s="10" t="inlineStr">
        <is>
          <t>Sonst. betriebl. Aufwendungen</t>
        </is>
      </c>
      <c r="D899" s="8" t="n">
        <v>0</v>
      </c>
      <c r="E899" s="8" t="n">
        <v>5</v>
      </c>
      <c r="F899" s="8" t="n">
        <v>97</v>
      </c>
      <c r="G899" s="10" t="b">
        <v>0</v>
      </c>
      <c r="H899" s="10" t="n"/>
    </row>
    <row r="900" ht="21" customHeight="1">
      <c r="A900" s="10" t="inlineStr">
        <is>
          <t>P</t>
        </is>
      </c>
      <c r="B900" s="10" t="inlineStr">
        <is>
          <t>0030810499</t>
        </is>
      </c>
      <c r="C900" s="10" t="inlineStr">
        <is>
          <t>Vertriebskosten</t>
        </is>
      </c>
      <c r="D900" s="8" t="n">
        <v>0</v>
      </c>
      <c r="E900" s="8" t="n">
        <v>6</v>
      </c>
      <c r="F900" s="8" t="n">
        <v>98</v>
      </c>
      <c r="G900" s="10" t="b">
        <v>0</v>
      </c>
      <c r="H900" s="10" t="n"/>
    </row>
    <row r="901" ht="21" customHeight="1">
      <c r="A901" s="10" t="inlineStr">
        <is>
          <t>P</t>
        </is>
      </c>
      <c r="B901" s="10" t="inlineStr">
        <is>
          <t>0030810500</t>
        </is>
      </c>
      <c r="C901" s="10" t="inlineStr">
        <is>
          <t>Vertriebskosten</t>
        </is>
      </c>
      <c r="D901" s="8" t="n">
        <v>0</v>
      </c>
      <c r="E901" s="8" t="n">
        <v>7</v>
      </c>
      <c r="F901" s="8" t="n">
        <v>99</v>
      </c>
      <c r="G901" s="10" t="b">
        <v>0</v>
      </c>
      <c r="H901" s="10" t="n"/>
    </row>
    <row r="902" ht="21" customHeight="1">
      <c r="A902" s="10" t="inlineStr">
        <is>
          <t>K</t>
        </is>
      </c>
      <c r="B902" s="10" t="inlineStr">
        <is>
          <t>0030810500</t>
        </is>
      </c>
      <c r="C902" s="10" t="inlineStr">
        <is>
          <t>450010 Reisekosten Betriebsangehörige</t>
        </is>
      </c>
      <c r="D902" s="8" t="n">
        <v>13998.4</v>
      </c>
      <c r="E902" s="8" t="n">
        <v>8</v>
      </c>
      <c r="F902" s="8" t="n">
        <v>100</v>
      </c>
      <c r="G902" s="10" t="n"/>
      <c r="H902" s="10" t="inlineStr">
        <is>
          <t>450010</t>
        </is>
      </c>
    </row>
    <row r="903" ht="21" customHeight="1">
      <c r="A903" s="10" t="inlineStr">
        <is>
          <t>K</t>
        </is>
      </c>
      <c r="B903" s="10" t="inlineStr">
        <is>
          <t>0030810500</t>
        </is>
      </c>
      <c r="C903" s="10" t="inlineStr">
        <is>
          <t>450011 Verpfl.mehraufwand (pauschal)</t>
        </is>
      </c>
      <c r="D903" s="8" t="n">
        <v>1652</v>
      </c>
      <c r="E903" s="8" t="n">
        <v>8</v>
      </c>
      <c r="F903" s="8" t="n">
        <v>101</v>
      </c>
      <c r="G903" s="10" t="n"/>
      <c r="H903" s="10" t="inlineStr">
        <is>
          <t>450011</t>
        </is>
      </c>
    </row>
    <row r="904" ht="21" customHeight="1">
      <c r="A904" s="10" t="inlineStr">
        <is>
          <t>K</t>
        </is>
      </c>
      <c r="B904" s="10" t="inlineStr">
        <is>
          <t>0030810500</t>
        </is>
      </c>
      <c r="C904" s="10" t="inlineStr">
        <is>
          <t>450012 Kilometergeld (pauschal)</t>
        </is>
      </c>
      <c r="D904" s="8" t="n">
        <v>2335.36</v>
      </c>
      <c r="E904" s="8" t="n">
        <v>8</v>
      </c>
      <c r="F904" s="8" t="n">
        <v>102</v>
      </c>
      <c r="G904" s="10" t="n"/>
      <c r="H904" s="10" t="inlineStr">
        <is>
          <t>450012</t>
        </is>
      </c>
    </row>
    <row r="905" ht="21" customHeight="1">
      <c r="A905" s="10" t="inlineStr">
        <is>
          <t>K</t>
        </is>
      </c>
      <c r="B905" s="10" t="inlineStr">
        <is>
          <t>0030810500</t>
        </is>
      </c>
      <c r="C905" s="10" t="inlineStr">
        <is>
          <t>450013 Kürzung Verpfleg.mehraufwand</t>
        </is>
      </c>
      <c r="D905" s="8" t="n">
        <v>-61.6</v>
      </c>
      <c r="E905" s="8" t="n">
        <v>8</v>
      </c>
      <c r="F905" s="8" t="n">
        <v>103</v>
      </c>
      <c r="G905" s="10" t="n"/>
      <c r="H905" s="10" t="inlineStr">
        <is>
          <t>450013</t>
        </is>
      </c>
    </row>
    <row r="906" ht="21" customHeight="1">
      <c r="A906" s="10" t="inlineStr">
        <is>
          <t>K</t>
        </is>
      </c>
      <c r="B906" s="10" t="inlineStr">
        <is>
          <t>0030810500</t>
        </is>
      </c>
      <c r="C906" s="10" t="inlineStr">
        <is>
          <t>450020 Reisekosten Betriebsfremde</t>
        </is>
      </c>
      <c r="D906" s="8" t="n">
        <v>329.5</v>
      </c>
      <c r="E906" s="8" t="n">
        <v>8</v>
      </c>
      <c r="F906" s="8" t="n">
        <v>104</v>
      </c>
      <c r="G906" s="10" t="n"/>
      <c r="H906" s="10" t="inlineStr">
        <is>
          <t>450020</t>
        </is>
      </c>
    </row>
    <row r="907" ht="21" customHeight="1">
      <c r="A907" s="10" t="inlineStr">
        <is>
          <t>K</t>
        </is>
      </c>
      <c r="B907" s="10" t="inlineStr">
        <is>
          <t>0030810500</t>
        </is>
      </c>
      <c r="C907" s="10" t="inlineStr">
        <is>
          <t>450030 Bewirtung zu 100 % abzugsfähig</t>
        </is>
      </c>
      <c r="D907" s="8" t="n">
        <v>5381.15</v>
      </c>
      <c r="E907" s="8" t="n">
        <v>8</v>
      </c>
      <c r="F907" s="8" t="n">
        <v>105</v>
      </c>
      <c r="G907" s="10" t="n"/>
      <c r="H907" s="10" t="inlineStr">
        <is>
          <t>450030</t>
        </is>
      </c>
    </row>
    <row r="908" ht="21" customHeight="1">
      <c r="A908" s="10" t="inlineStr">
        <is>
          <t>K</t>
        </is>
      </c>
      <c r="B908" s="10" t="inlineStr">
        <is>
          <t>0030810500</t>
        </is>
      </c>
      <c r="C908" s="10" t="inlineStr">
        <is>
          <t>450039 Bewirtung zu 70 % abzugsfähig</t>
        </is>
      </c>
      <c r="D908" s="8" t="n">
        <v>4122.47</v>
      </c>
      <c r="E908" s="8" t="n">
        <v>8</v>
      </c>
      <c r="F908" s="8" t="n">
        <v>106</v>
      </c>
      <c r="G908" s="10" t="n"/>
      <c r="H908" s="10" t="inlineStr">
        <is>
          <t>450039</t>
        </is>
      </c>
    </row>
    <row r="909" ht="21" customHeight="1">
      <c r="A909" s="10" t="inlineStr">
        <is>
          <t>K</t>
        </is>
      </c>
      <c r="B909" s="10" t="inlineStr">
        <is>
          <t>0030810500</t>
        </is>
      </c>
      <c r="C909" s="10" t="inlineStr">
        <is>
          <t>450050 Allgemeine Repräsentationskosten</t>
        </is>
      </c>
      <c r="D909" s="8" t="n">
        <v>2205.42</v>
      </c>
      <c r="E909" s="8" t="n">
        <v>8</v>
      </c>
      <c r="F909" s="8" t="n">
        <v>107</v>
      </c>
      <c r="G909" s="10" t="n"/>
      <c r="H909" s="10" t="inlineStr">
        <is>
          <t>450050</t>
        </is>
      </c>
    </row>
    <row r="910" ht="21" customHeight="1">
      <c r="A910" s="10" t="inlineStr">
        <is>
          <t>K</t>
        </is>
      </c>
      <c r="B910" s="10" t="inlineStr">
        <is>
          <t>0030810500</t>
        </is>
      </c>
      <c r="C910" s="10" t="inlineStr">
        <is>
          <t>450061 Geschenke Zuwend. &lt; Wertgrenze Dritte/Arbeitnehmer</t>
        </is>
      </c>
      <c r="D910" s="8" t="n">
        <v>101.74</v>
      </c>
      <c r="E910" s="8" t="n">
        <v>8</v>
      </c>
      <c r="F910" s="8" t="n">
        <v>108</v>
      </c>
      <c r="G910" s="10" t="n"/>
      <c r="H910" s="10" t="inlineStr">
        <is>
          <t>450061</t>
        </is>
      </c>
    </row>
    <row r="911" ht="21" customHeight="1">
      <c r="A911" s="10" t="inlineStr">
        <is>
          <t>K</t>
        </is>
      </c>
      <c r="B911" s="10" t="inlineStr">
        <is>
          <t>0030810500</t>
        </is>
      </c>
      <c r="C911" s="10" t="inlineStr">
        <is>
          <t>450080 Werbung</t>
        </is>
      </c>
      <c r="D911" s="8" t="n">
        <v>5284.64</v>
      </c>
      <c r="E911" s="8" t="n">
        <v>8</v>
      </c>
      <c r="F911" s="8" t="n">
        <v>109</v>
      </c>
      <c r="G911" s="10" t="n"/>
      <c r="H911" s="10" t="inlineStr">
        <is>
          <t>450080</t>
        </is>
      </c>
    </row>
    <row r="912" ht="21" customHeight="1">
      <c r="A912" s="10" t="inlineStr">
        <is>
          <t>K</t>
        </is>
      </c>
      <c r="B912" s="10" t="inlineStr">
        <is>
          <t>0030810500</t>
        </is>
      </c>
      <c r="C912" s="10" t="inlineStr">
        <is>
          <t>450081 Sponsoring</t>
        </is>
      </c>
      <c r="D912" s="8" t="n">
        <v>2000</v>
      </c>
      <c r="E912" s="8" t="n">
        <v>8</v>
      </c>
      <c r="F912" s="8" t="n">
        <v>110</v>
      </c>
      <c r="G912" s="10" t="n"/>
      <c r="H912" s="10" t="inlineStr">
        <is>
          <t>450081</t>
        </is>
      </c>
    </row>
    <row r="913" ht="21" customHeight="1">
      <c r="A913" s="10" t="inlineStr">
        <is>
          <t>K</t>
        </is>
      </c>
      <c r="B913" s="10" t="inlineStr">
        <is>
          <t>0030810500</t>
        </is>
      </c>
      <c r="C913" s="10" t="inlineStr">
        <is>
          <t>450120 Spesen (Lohnübernahme ohne VSt.)</t>
        </is>
      </c>
      <c r="D913" s="8" t="n">
        <v>58388</v>
      </c>
      <c r="E913" s="8" t="n">
        <v>8</v>
      </c>
      <c r="F913" s="8" t="n">
        <v>111</v>
      </c>
      <c r="G913" s="10" t="n"/>
      <c r="H913" s="10" t="inlineStr">
        <is>
          <t>450120</t>
        </is>
      </c>
    </row>
    <row r="914" ht="21" customHeight="1">
      <c r="A914" s="10" t="inlineStr">
        <is>
          <t>K</t>
        </is>
      </c>
      <c r="B914" s="10" t="inlineStr">
        <is>
          <t>0030810500</t>
        </is>
      </c>
      <c r="C914" s="10" t="inlineStr">
        <is>
          <t>460200 Beiträge Fachtagungen</t>
        </is>
      </c>
      <c r="D914" s="8" t="n">
        <v>8550</v>
      </c>
      <c r="E914" s="8" t="n">
        <v>8</v>
      </c>
      <c r="F914" s="8" t="n">
        <v>112</v>
      </c>
      <c r="G914" s="10" t="n"/>
      <c r="H914" s="10" t="inlineStr">
        <is>
          <t>460200</t>
        </is>
      </c>
    </row>
    <row r="915" ht="21" customHeight="1">
      <c r="A915" s="10" t="inlineStr">
        <is>
          <t>P</t>
        </is>
      </c>
      <c r="B915" s="10" t="inlineStr">
        <is>
          <t>0030810599</t>
        </is>
      </c>
      <c r="C915" s="10" t="inlineStr">
        <is>
          <t>Verwaltungskosten</t>
        </is>
      </c>
      <c r="D915" s="8" t="n">
        <v>0</v>
      </c>
      <c r="E915" s="8" t="n">
        <v>6</v>
      </c>
      <c r="F915" s="8" t="n">
        <v>113</v>
      </c>
      <c r="G915" s="10" t="b">
        <v>0</v>
      </c>
      <c r="H915" s="10" t="n"/>
    </row>
    <row r="916" ht="21" customHeight="1">
      <c r="A916" s="10" t="inlineStr">
        <is>
          <t>P</t>
        </is>
      </c>
      <c r="B916" s="10" t="inlineStr">
        <is>
          <t>0030810600</t>
        </is>
      </c>
      <c r="C916" s="10" t="inlineStr">
        <is>
          <t>Verwaltungskosten</t>
        </is>
      </c>
      <c r="D916" s="8" t="n">
        <v>0</v>
      </c>
      <c r="E916" s="8" t="n">
        <v>7</v>
      </c>
      <c r="F916" s="8" t="n">
        <v>114</v>
      </c>
      <c r="G916" s="10" t="b">
        <v>0</v>
      </c>
      <c r="H916" s="10" t="n"/>
    </row>
    <row r="917" ht="21" customHeight="1">
      <c r="A917" s="10" t="inlineStr">
        <is>
          <t>K</t>
        </is>
      </c>
      <c r="B917" s="10" t="inlineStr">
        <is>
          <t>0030810600</t>
        </is>
      </c>
      <c r="C917" s="10" t="inlineStr">
        <is>
          <t>420400 Instandhaltung Geschäftsausstattung</t>
        </is>
      </c>
      <c r="D917" s="8" t="n">
        <v>6826.95</v>
      </c>
      <c r="E917" s="8" t="n">
        <v>8</v>
      </c>
      <c r="F917" s="8" t="n">
        <v>115</v>
      </c>
      <c r="G917" s="10" t="n"/>
      <c r="H917" s="10" t="inlineStr">
        <is>
          <t>420400</t>
        </is>
      </c>
    </row>
    <row r="918" ht="21" customHeight="1">
      <c r="A918" s="10" t="inlineStr">
        <is>
          <t>K</t>
        </is>
      </c>
      <c r="B918" s="10" t="inlineStr">
        <is>
          <t>0030810600</t>
        </is>
      </c>
      <c r="C918" s="10" t="inlineStr">
        <is>
          <t>460010 Büromaterial</t>
        </is>
      </c>
      <c r="D918" s="8" t="n">
        <v>6451.87</v>
      </c>
      <c r="E918" s="8" t="n">
        <v>8</v>
      </c>
      <c r="F918" s="8" t="n">
        <v>116</v>
      </c>
      <c r="G918" s="10" t="n"/>
      <c r="H918" s="10" t="inlineStr">
        <is>
          <t>460010</t>
        </is>
      </c>
    </row>
    <row r="919" ht="21" customHeight="1">
      <c r="A919" s="10" t="inlineStr">
        <is>
          <t>K</t>
        </is>
      </c>
      <c r="B919" s="10" t="inlineStr">
        <is>
          <t>0030810600</t>
        </is>
      </c>
      <c r="C919" s="10" t="inlineStr">
        <is>
          <t>460020 Zeitungen, Zeitschrift.und Bücher</t>
        </is>
      </c>
      <c r="D919" s="8" t="n">
        <v>1681.8</v>
      </c>
      <c r="E919" s="8" t="n">
        <v>8</v>
      </c>
      <c r="F919" s="8" t="n">
        <v>117</v>
      </c>
      <c r="G919" s="10" t="n"/>
      <c r="H919" s="10" t="inlineStr">
        <is>
          <t>460020</t>
        </is>
      </c>
    </row>
    <row r="920" ht="21" customHeight="1">
      <c r="A920" s="10" t="inlineStr">
        <is>
          <t>K</t>
        </is>
      </c>
      <c r="B920" s="10" t="inlineStr">
        <is>
          <t>0030810600</t>
        </is>
      </c>
      <c r="C920" s="10" t="inlineStr">
        <is>
          <t>460030 Telekommunikation</t>
        </is>
      </c>
      <c r="D920" s="8" t="n">
        <v>11840.72</v>
      </c>
      <c r="E920" s="8" t="n">
        <v>8</v>
      </c>
      <c r="F920" s="8" t="n">
        <v>118</v>
      </c>
      <c r="G920" s="10" t="n"/>
      <c r="H920" s="10" t="inlineStr">
        <is>
          <t>460030</t>
        </is>
      </c>
    </row>
    <row r="921" ht="21" customHeight="1">
      <c r="A921" s="10" t="inlineStr">
        <is>
          <t>K</t>
        </is>
      </c>
      <c r="B921" s="10" t="inlineStr">
        <is>
          <t>0030810600</t>
        </is>
      </c>
      <c r="C921" s="10" t="inlineStr">
        <is>
          <t>460040 Portogebühren</t>
        </is>
      </c>
      <c r="D921" s="8" t="n">
        <v>1663.86</v>
      </c>
      <c r="E921" s="8" t="n">
        <v>8</v>
      </c>
      <c r="F921" s="8" t="n">
        <v>119</v>
      </c>
      <c r="G921" s="10" t="n"/>
      <c r="H921" s="10" t="inlineStr">
        <is>
          <t>460040</t>
        </is>
      </c>
    </row>
    <row r="922" ht="21" customHeight="1">
      <c r="A922" s="10" t="inlineStr">
        <is>
          <t>K</t>
        </is>
      </c>
      <c r="B922" s="10" t="inlineStr">
        <is>
          <t>0030810600</t>
        </is>
      </c>
      <c r="C922" s="10" t="inlineStr">
        <is>
          <t>460050 Kosten des Geldverkehrs</t>
        </is>
      </c>
      <c r="D922" s="8" t="n">
        <v>391.03</v>
      </c>
      <c r="E922" s="8" t="n">
        <v>8</v>
      </c>
      <c r="F922" s="8" t="n">
        <v>120</v>
      </c>
      <c r="G922" s="10" t="n"/>
      <c r="H922" s="10" t="inlineStr">
        <is>
          <t>460050</t>
        </is>
      </c>
    </row>
    <row r="923" ht="21" customHeight="1">
      <c r="A923" s="10" t="inlineStr">
        <is>
          <t>K</t>
        </is>
      </c>
      <c r="B923" s="10" t="inlineStr">
        <is>
          <t>0030810600</t>
        </is>
      </c>
      <c r="C923" s="10" t="inlineStr">
        <is>
          <t>460080 Pflichtbeiträge zu Verbänden</t>
        </is>
      </c>
      <c r="D923" s="8" t="n">
        <v>5469.19</v>
      </c>
      <c r="E923" s="8" t="n">
        <v>8</v>
      </c>
      <c r="F923" s="8" t="n">
        <v>121</v>
      </c>
      <c r="G923" s="10" t="n"/>
      <c r="H923" s="10" t="inlineStr">
        <is>
          <t>460080</t>
        </is>
      </c>
    </row>
    <row r="924" ht="21" customHeight="1">
      <c r="A924" s="10" t="inlineStr">
        <is>
          <t>K</t>
        </is>
      </c>
      <c r="B924" s="10" t="inlineStr">
        <is>
          <t>0030810600</t>
        </is>
      </c>
      <c r="C924" s="10" t="inlineStr">
        <is>
          <t>460081 Beiträge zu sonstigen Vereinigungen</t>
        </is>
      </c>
      <c r="D924" s="8" t="n">
        <v>1600</v>
      </c>
      <c r="E924" s="8" t="n">
        <v>8</v>
      </c>
      <c r="F924" s="8" t="n">
        <v>122</v>
      </c>
      <c r="G924" s="10" t="n"/>
      <c r="H924" s="10" t="inlineStr">
        <is>
          <t>460081</t>
        </is>
      </c>
    </row>
    <row r="925" ht="21" customHeight="1">
      <c r="A925" s="10" t="inlineStr">
        <is>
          <t>K</t>
        </is>
      </c>
      <c r="B925" s="10" t="inlineStr">
        <is>
          <t>0030810600</t>
        </is>
      </c>
      <c r="C925" s="10" t="inlineStr">
        <is>
          <t>460090 Schreib- und Verwaltungsgebühren an Behörden</t>
        </is>
      </c>
      <c r="D925" s="8" t="n">
        <v>1073.6</v>
      </c>
      <c r="E925" s="8" t="n">
        <v>8</v>
      </c>
      <c r="F925" s="8" t="n">
        <v>123</v>
      </c>
      <c r="G925" s="10" t="n"/>
      <c r="H925" s="10" t="inlineStr">
        <is>
          <t>460090</t>
        </is>
      </c>
    </row>
    <row r="926" ht="21" customHeight="1">
      <c r="A926" s="10" t="inlineStr">
        <is>
          <t>K</t>
        </is>
      </c>
      <c r="B926" s="10" t="inlineStr">
        <is>
          <t>0030810600</t>
        </is>
      </c>
      <c r="C926" s="10" t="inlineStr">
        <is>
          <t>460900 Sonstige Verwaltungskosten</t>
        </is>
      </c>
      <c r="D926" s="8" t="n">
        <v>26407.92</v>
      </c>
      <c r="E926" s="8" t="n">
        <v>8</v>
      </c>
      <c r="F926" s="8" t="n">
        <v>124</v>
      </c>
      <c r="G926" s="10" t="n"/>
      <c r="H926" s="10" t="inlineStr">
        <is>
          <t>460900</t>
        </is>
      </c>
    </row>
    <row r="927" ht="21" customHeight="1">
      <c r="A927" s="10" t="inlineStr">
        <is>
          <t>K</t>
        </is>
      </c>
      <c r="B927" s="10" t="inlineStr">
        <is>
          <t>0030810600</t>
        </is>
      </c>
      <c r="C927" s="10" t="inlineStr">
        <is>
          <t>470030 Beratungskosten Allgemeine Verwaltung</t>
        </is>
      </c>
      <c r="D927" s="8" t="n">
        <v>3472.1</v>
      </c>
      <c r="E927" s="8" t="n">
        <v>8</v>
      </c>
      <c r="F927" s="8" t="n">
        <v>125</v>
      </c>
      <c r="G927" s="10" t="n"/>
      <c r="H927" s="10" t="inlineStr">
        <is>
          <t>470030</t>
        </is>
      </c>
    </row>
    <row r="928" ht="21" customHeight="1">
      <c r="A928" s="10" t="inlineStr">
        <is>
          <t>K</t>
        </is>
      </c>
      <c r="B928" s="10" t="inlineStr">
        <is>
          <t>0030810604</t>
        </is>
      </c>
      <c r="C928" s="10" t="inlineStr">
        <is>
          <t>470010 Anwalts- und Gerichtskosten</t>
        </is>
      </c>
      <c r="D928" s="8" t="n">
        <v>21650.98</v>
      </c>
      <c r="E928" s="8" t="n">
        <v>8</v>
      </c>
      <c r="F928" s="8" t="n">
        <v>126</v>
      </c>
      <c r="G928" s="10" t="n"/>
      <c r="H928" s="10" t="inlineStr">
        <is>
          <t>470010</t>
        </is>
      </c>
    </row>
    <row r="929" ht="21" customHeight="1">
      <c r="A929" s="10" t="inlineStr">
        <is>
          <t>K</t>
        </is>
      </c>
      <c r="B929" s="10" t="inlineStr">
        <is>
          <t>0030810604</t>
        </is>
      </c>
      <c r="C929" s="10" t="inlineStr">
        <is>
          <t>470020 kaufm. Beratung und Buchführung</t>
        </is>
      </c>
      <c r="D929" s="8" t="n">
        <v>81996</v>
      </c>
      <c r="E929" s="8" t="n">
        <v>8</v>
      </c>
      <c r="F929" s="8" t="n">
        <v>127</v>
      </c>
      <c r="G929" s="10" t="n"/>
      <c r="H929" s="10" t="inlineStr">
        <is>
          <t>470020</t>
        </is>
      </c>
    </row>
    <row r="930" ht="21" customHeight="1">
      <c r="A930" s="10" t="inlineStr">
        <is>
          <t>K</t>
        </is>
      </c>
      <c r="B930" s="10" t="inlineStr">
        <is>
          <t>0030810604</t>
        </is>
      </c>
      <c r="C930" s="10" t="inlineStr">
        <is>
          <t>470025 Steuerberatungskosten</t>
        </is>
      </c>
      <c r="D930" s="8" t="n">
        <v>54022.7</v>
      </c>
      <c r="E930" s="8" t="n">
        <v>8</v>
      </c>
      <c r="F930" s="8" t="n">
        <v>128</v>
      </c>
      <c r="G930" s="10" t="n"/>
      <c r="H930" s="10" t="inlineStr">
        <is>
          <t>470025</t>
        </is>
      </c>
    </row>
    <row r="931" ht="21" customHeight="1">
      <c r="A931" s="10" t="inlineStr">
        <is>
          <t>K</t>
        </is>
      </c>
      <c r="B931" s="10" t="inlineStr">
        <is>
          <t>0030810605</t>
        </is>
      </c>
      <c r="C931" s="10" t="inlineStr">
        <is>
          <t>411050 Personalversicherung</t>
        </is>
      </c>
      <c r="D931" s="8" t="n">
        <v>600.15</v>
      </c>
      <c r="E931" s="8" t="n">
        <v>8</v>
      </c>
      <c r="F931" s="8" t="n">
        <v>129</v>
      </c>
      <c r="G931" s="10" t="n"/>
      <c r="H931" s="10" t="inlineStr">
        <is>
          <t>411050</t>
        </is>
      </c>
    </row>
    <row r="932" ht="21" customHeight="1">
      <c r="A932" s="10" t="inlineStr">
        <is>
          <t>K</t>
        </is>
      </c>
      <c r="B932" s="10" t="inlineStr">
        <is>
          <t>0030810605</t>
        </is>
      </c>
      <c r="C932" s="10" t="inlineStr">
        <is>
          <t>430120 Sonstige Versicherungen</t>
        </is>
      </c>
      <c r="D932" s="8" t="n">
        <v>68624.16</v>
      </c>
      <c r="E932" s="8" t="n">
        <v>8</v>
      </c>
      <c r="F932" s="8" t="n">
        <v>130</v>
      </c>
      <c r="G932" s="10" t="n"/>
      <c r="H932" s="10" t="inlineStr">
        <is>
          <t>430120</t>
        </is>
      </c>
    </row>
    <row r="933" ht="21" customHeight="1">
      <c r="A933" s="10" t="inlineStr">
        <is>
          <t>K</t>
        </is>
      </c>
      <c r="B933" s="10" t="inlineStr">
        <is>
          <t>0030810605</t>
        </is>
      </c>
      <c r="C933" s="10" t="inlineStr">
        <is>
          <t>430121 Warenkreditversicherung</t>
        </is>
      </c>
      <c r="D933" s="8" t="n">
        <v>25781.2</v>
      </c>
      <c r="E933" s="8" t="n">
        <v>8</v>
      </c>
      <c r="F933" s="8" t="n">
        <v>131</v>
      </c>
      <c r="G933" s="10" t="n"/>
      <c r="H933" s="10" t="inlineStr">
        <is>
          <t>430121</t>
        </is>
      </c>
    </row>
    <row r="934" ht="21" customHeight="1">
      <c r="A934" s="10" t="inlineStr">
        <is>
          <t>K</t>
        </is>
      </c>
      <c r="B934" s="10" t="inlineStr">
        <is>
          <t>0030810609</t>
        </is>
      </c>
      <c r="C934" s="10" t="inlineStr">
        <is>
          <t>470036 Aufwendungen Umlage zentrale Verwaltung</t>
        </is>
      </c>
      <c r="D934" s="8" t="n">
        <v>24956</v>
      </c>
      <c r="E934" s="8" t="n">
        <v>8</v>
      </c>
      <c r="F934" s="8" t="n">
        <v>132</v>
      </c>
      <c r="G934" s="10" t="n"/>
      <c r="H934" s="10" t="inlineStr">
        <is>
          <t>470036</t>
        </is>
      </c>
    </row>
    <row r="935" ht="21" customHeight="1">
      <c r="A935" s="10" t="inlineStr">
        <is>
          <t>K</t>
        </is>
      </c>
      <c r="B935" s="10" t="inlineStr">
        <is>
          <t>0030810611</t>
        </is>
      </c>
      <c r="C935" s="10" t="inlineStr">
        <is>
          <t>460060 Kosten EDV</t>
        </is>
      </c>
      <c r="D935" s="8" t="n">
        <v>64734.46</v>
      </c>
      <c r="E935" s="8" t="n">
        <v>8</v>
      </c>
      <c r="F935" s="8" t="n">
        <v>133</v>
      </c>
      <c r="G935" s="10" t="n"/>
      <c r="H935" s="10" t="inlineStr">
        <is>
          <t>460060</t>
        </is>
      </c>
    </row>
    <row r="936" ht="21" customHeight="1">
      <c r="A936" s="10" t="inlineStr">
        <is>
          <t>K</t>
        </is>
      </c>
      <c r="B936" s="10" t="inlineStr">
        <is>
          <t>0030810611</t>
        </is>
      </c>
      <c r="C936" s="10" t="inlineStr">
        <is>
          <t>460065 IT Lizenzgebühren</t>
        </is>
      </c>
      <c r="D936" s="8" t="n">
        <v>18705.37</v>
      </c>
      <c r="E936" s="8" t="n">
        <v>8</v>
      </c>
      <c r="F936" s="8" t="n">
        <v>134</v>
      </c>
      <c r="G936" s="10" t="n"/>
      <c r="H936" s="10" t="inlineStr">
        <is>
          <t>460065</t>
        </is>
      </c>
    </row>
    <row r="937" ht="21" customHeight="1">
      <c r="A937" s="10" t="inlineStr">
        <is>
          <t>P</t>
        </is>
      </c>
      <c r="B937" s="10" t="inlineStr">
        <is>
          <t>0030810000</t>
        </is>
      </c>
      <c r="C937" s="10" t="inlineStr">
        <is>
          <t>Betriebskosten</t>
        </is>
      </c>
      <c r="D937" s="8" t="n">
        <v>0</v>
      </c>
      <c r="E937" s="8" t="n">
        <v>6</v>
      </c>
      <c r="F937" s="8" t="n">
        <v>135</v>
      </c>
      <c r="G937" s="10" t="b">
        <v>0</v>
      </c>
      <c r="H937" s="10" t="n"/>
    </row>
    <row r="938" ht="21" customHeight="1">
      <c r="A938" s="10" t="inlineStr">
        <is>
          <t>P</t>
        </is>
      </c>
      <c r="B938" s="10" t="inlineStr">
        <is>
          <t>0030810099</t>
        </is>
      </c>
      <c r="C938" s="10" t="inlineStr">
        <is>
          <t>Raumkosten</t>
        </is>
      </c>
      <c r="D938" s="8" t="n">
        <v>0</v>
      </c>
      <c r="E938" s="8" t="n">
        <v>7</v>
      </c>
      <c r="F938" s="8" t="n">
        <v>136</v>
      </c>
      <c r="G938" s="10" t="b">
        <v>0</v>
      </c>
      <c r="H938" s="10" t="n"/>
    </row>
    <row r="939" ht="21" customHeight="1">
      <c r="A939" s="10" t="inlineStr">
        <is>
          <t>P</t>
        </is>
      </c>
      <c r="B939" s="10" t="inlineStr">
        <is>
          <t>0030810100</t>
        </is>
      </c>
      <c r="C939" s="10" t="inlineStr">
        <is>
          <t>Raumkosten</t>
        </is>
      </c>
      <c r="D939" s="8" t="n">
        <v>0</v>
      </c>
      <c r="E939" s="8" t="n">
        <v>8</v>
      </c>
      <c r="F939" s="8" t="n">
        <v>137</v>
      </c>
      <c r="G939" s="10" t="b">
        <v>0</v>
      </c>
      <c r="H939" s="10" t="n"/>
    </row>
    <row r="940" ht="21" customHeight="1">
      <c r="A940" s="10" t="inlineStr">
        <is>
          <t>K</t>
        </is>
      </c>
      <c r="B940" s="10" t="inlineStr">
        <is>
          <t>0030810100</t>
        </is>
      </c>
      <c r="C940" s="10" t="inlineStr">
        <is>
          <t>420012 Sonstige Kosten Grundstücke und Gebäude</t>
        </is>
      </c>
      <c r="D940" s="8" t="n">
        <v>21696.98</v>
      </c>
      <c r="E940" s="8" t="n">
        <v>9</v>
      </c>
      <c r="F940" s="8" t="n">
        <v>138</v>
      </c>
      <c r="G940" s="10" t="n"/>
      <c r="H940" s="10" t="inlineStr">
        <is>
          <t>420012</t>
        </is>
      </c>
    </row>
    <row r="941" ht="21" customHeight="1">
      <c r="A941" s="10" t="inlineStr">
        <is>
          <t>K</t>
        </is>
      </c>
      <c r="B941" s="10" t="inlineStr">
        <is>
          <t>0030810100</t>
        </is>
      </c>
      <c r="C941" s="10" t="inlineStr">
        <is>
          <t>420015 Instandhaltungskosten fremde  Gebäude</t>
        </is>
      </c>
      <c r="D941" s="8" t="n">
        <v>8113.26</v>
      </c>
      <c r="E941" s="8" t="n">
        <v>9</v>
      </c>
      <c r="F941" s="8" t="n">
        <v>139</v>
      </c>
      <c r="G941" s="10" t="n"/>
      <c r="H941" s="10" t="inlineStr">
        <is>
          <t>420015</t>
        </is>
      </c>
    </row>
    <row r="942" ht="21" customHeight="1">
      <c r="A942" s="10" t="inlineStr">
        <is>
          <t>K</t>
        </is>
      </c>
      <c r="B942" s="10" t="inlineStr">
        <is>
          <t>0030810100</t>
        </is>
      </c>
      <c r="C942" s="10" t="inlineStr">
        <is>
          <t>420021 Raumpflege eigene Gebäude</t>
        </is>
      </c>
      <c r="D942" s="8" t="n">
        <v>1607.94</v>
      </c>
      <c r="E942" s="8" t="n">
        <v>9</v>
      </c>
      <c r="F942" s="8" t="n">
        <v>140</v>
      </c>
      <c r="G942" s="10" t="n"/>
      <c r="H942" s="10" t="inlineStr">
        <is>
          <t>420021</t>
        </is>
      </c>
    </row>
    <row r="943" ht="21" customHeight="1">
      <c r="A943" s="10" t="inlineStr">
        <is>
          <t>K</t>
        </is>
      </c>
      <c r="B943" s="10" t="inlineStr">
        <is>
          <t>0030810100</t>
        </is>
      </c>
      <c r="C943" s="10" t="inlineStr">
        <is>
          <t>420022 Raumpflege fremde Gebäude</t>
        </is>
      </c>
      <c r="D943" s="8" t="n">
        <v>15721.76</v>
      </c>
      <c r="E943" s="8" t="n">
        <v>9</v>
      </c>
      <c r="F943" s="8" t="n">
        <v>141</v>
      </c>
      <c r="G943" s="10" t="n"/>
      <c r="H943" s="10" t="inlineStr">
        <is>
          <t>420022</t>
        </is>
      </c>
    </row>
    <row r="944" ht="21" customHeight="1">
      <c r="A944" s="10" t="inlineStr">
        <is>
          <t>K</t>
        </is>
      </c>
      <c r="B944" s="10" t="inlineStr">
        <is>
          <t>0030810100</t>
        </is>
      </c>
      <c r="C944" s="10" t="inlineStr">
        <is>
          <t>420030 Aufwand Energie</t>
        </is>
      </c>
      <c r="D944" s="8" t="n">
        <v>5270.14</v>
      </c>
      <c r="E944" s="8" t="n">
        <v>9</v>
      </c>
      <c r="F944" s="8" t="n">
        <v>142</v>
      </c>
      <c r="G944" s="10" t="n"/>
      <c r="H944" s="10" t="inlineStr">
        <is>
          <t>420030</t>
        </is>
      </c>
    </row>
    <row r="945" ht="21" customHeight="1">
      <c r="A945" s="10" t="inlineStr">
        <is>
          <t>K</t>
        </is>
      </c>
      <c r="B945" s="10" t="inlineStr">
        <is>
          <t>0030810100</t>
        </is>
      </c>
      <c r="C945" s="10" t="inlineStr">
        <is>
          <t>420040 Aufwand Wasser</t>
        </is>
      </c>
      <c r="D945" s="8" t="n">
        <v>363.89</v>
      </c>
      <c r="E945" s="8" t="n">
        <v>9</v>
      </c>
      <c r="F945" s="8" t="n">
        <v>143</v>
      </c>
      <c r="G945" s="10" t="n"/>
      <c r="H945" s="10" t="inlineStr">
        <is>
          <t>420040</t>
        </is>
      </c>
    </row>
    <row r="946" ht="21" customHeight="1">
      <c r="A946" s="10" t="inlineStr">
        <is>
          <t>K</t>
        </is>
      </c>
      <c r="B946" s="10" t="inlineStr">
        <is>
          <t>0030810100</t>
        </is>
      </c>
      <c r="C946" s="10" t="inlineStr">
        <is>
          <t>420060 Aufwand eigene Entsorgung</t>
        </is>
      </c>
      <c r="D946" s="8" t="n">
        <v>3235.07</v>
      </c>
      <c r="E946" s="8" t="n">
        <v>9</v>
      </c>
      <c r="F946" s="8" t="n">
        <v>144</v>
      </c>
      <c r="G946" s="10" t="n"/>
      <c r="H946" s="10" t="inlineStr">
        <is>
          <t>420060</t>
        </is>
      </c>
    </row>
    <row r="947" ht="21" customHeight="1">
      <c r="A947" s="10" t="inlineStr">
        <is>
          <t>K</t>
        </is>
      </c>
      <c r="B947" s="10" t="inlineStr">
        <is>
          <t>0030810103</t>
        </is>
      </c>
      <c r="C947" s="10" t="inlineStr">
        <is>
          <t>431010 Mieten Räume</t>
        </is>
      </c>
      <c r="D947" s="8" t="n">
        <v>63951.15</v>
      </c>
      <c r="E947" s="8" t="n">
        <v>9</v>
      </c>
      <c r="F947" s="8" t="n">
        <v>145</v>
      </c>
      <c r="G947" s="10" t="n"/>
      <c r="H947" s="10" t="inlineStr">
        <is>
          <t>431010</t>
        </is>
      </c>
    </row>
    <row r="948" ht="21" customHeight="1">
      <c r="A948" s="10" t="inlineStr">
        <is>
          <t>K</t>
        </is>
      </c>
      <c r="B948" s="10" t="inlineStr">
        <is>
          <t>0030810103</t>
        </is>
      </c>
      <c r="C948" s="10" t="inlineStr">
        <is>
          <t>431020 Mieten Plätze</t>
        </is>
      </c>
      <c r="D948" s="8" t="n">
        <v>32726.33</v>
      </c>
      <c r="E948" s="8" t="n">
        <v>9</v>
      </c>
      <c r="F948" s="8" t="n">
        <v>146</v>
      </c>
      <c r="G948" s="10" t="n"/>
      <c r="H948" s="10" t="inlineStr">
        <is>
          <t>431020</t>
        </is>
      </c>
    </row>
    <row r="949" ht="21" customHeight="1">
      <c r="A949" s="10" t="inlineStr">
        <is>
          <t>K</t>
        </is>
      </c>
      <c r="B949" s="10" t="inlineStr">
        <is>
          <t>0030810103</t>
        </is>
      </c>
      <c r="C949" s="10" t="inlineStr">
        <is>
          <t>431090 Sonstige Mieten</t>
        </is>
      </c>
      <c r="D949" s="8" t="n">
        <v>213.72</v>
      </c>
      <c r="E949" s="8" t="n">
        <v>9</v>
      </c>
      <c r="F949" s="8" t="n">
        <v>147</v>
      </c>
      <c r="G949" s="10" t="n"/>
      <c r="H949" s="10" t="inlineStr">
        <is>
          <t>431090</t>
        </is>
      </c>
    </row>
    <row r="950" ht="21" customHeight="1">
      <c r="A950" s="10" t="inlineStr">
        <is>
          <t>P</t>
        </is>
      </c>
      <c r="B950" s="10" t="inlineStr">
        <is>
          <t>0030810199</t>
        </is>
      </c>
      <c r="C950" s="10" t="inlineStr">
        <is>
          <t>Behaelterkosten</t>
        </is>
      </c>
      <c r="D950" s="8" t="n">
        <v>0</v>
      </c>
      <c r="E950" s="8" t="n">
        <v>7</v>
      </c>
      <c r="F950" s="8" t="n">
        <v>148</v>
      </c>
      <c r="G950" s="10" t="b">
        <v>0</v>
      </c>
      <c r="H950" s="10" t="n"/>
    </row>
    <row r="951" ht="21" customHeight="1">
      <c r="A951" s="10" t="inlineStr">
        <is>
          <t>P</t>
        </is>
      </c>
      <c r="B951" s="10" t="inlineStr">
        <is>
          <t>0030810200</t>
        </is>
      </c>
      <c r="C951" s="10" t="inlineStr">
        <is>
          <t>Behaelterkosten</t>
        </is>
      </c>
      <c r="D951" s="8" t="n">
        <v>0</v>
      </c>
      <c r="E951" s="8" t="n">
        <v>8</v>
      </c>
      <c r="F951" s="8" t="n">
        <v>149</v>
      </c>
      <c r="G951" s="10" t="b">
        <v>0</v>
      </c>
      <c r="H951" s="10" t="n"/>
    </row>
    <row r="952" ht="21" customHeight="1">
      <c r="A952" s="10" t="inlineStr">
        <is>
          <t>K</t>
        </is>
      </c>
      <c r="B952" s="10" t="inlineStr">
        <is>
          <t>0030810200</t>
        </is>
      </c>
      <c r="C952" s="10" t="inlineStr">
        <is>
          <t>420500 Instandhaltung Behälter</t>
        </is>
      </c>
      <c r="D952" s="8" t="n">
        <v>1200</v>
      </c>
      <c r="E952" s="8" t="n">
        <v>9</v>
      </c>
      <c r="F952" s="8" t="n">
        <v>150</v>
      </c>
      <c r="G952" s="10" t="n"/>
      <c r="H952" s="10" t="inlineStr">
        <is>
          <t>420500</t>
        </is>
      </c>
    </row>
    <row r="953" ht="21" customHeight="1">
      <c r="A953" s="10" t="inlineStr">
        <is>
          <t>K</t>
        </is>
      </c>
      <c r="B953" s="10" t="inlineStr">
        <is>
          <t>0030810203</t>
        </is>
      </c>
      <c r="C953" s="10" t="inlineStr">
        <is>
          <t>431041 Miete Behälter</t>
        </is>
      </c>
      <c r="D953" s="8" t="n">
        <v>1200.93</v>
      </c>
      <c r="E953" s="8" t="n">
        <v>9</v>
      </c>
      <c r="F953" s="8" t="n">
        <v>151</v>
      </c>
      <c r="G953" s="10" t="n"/>
      <c r="H953" s="10" t="inlineStr">
        <is>
          <t>431041</t>
        </is>
      </c>
    </row>
    <row r="954" ht="21" customHeight="1">
      <c r="A954" s="10" t="inlineStr">
        <is>
          <t>P</t>
        </is>
      </c>
      <c r="B954" s="10" t="inlineStr">
        <is>
          <t>0030810300</t>
        </is>
      </c>
      <c r="C954" s="10" t="inlineStr">
        <is>
          <t>Fuhrparkkosten</t>
        </is>
      </c>
      <c r="D954" s="8" t="n">
        <v>0</v>
      </c>
      <c r="E954" s="8" t="n">
        <v>7</v>
      </c>
      <c r="F954" s="8" t="n">
        <v>152</v>
      </c>
      <c r="G954" s="10" t="b">
        <v>0</v>
      </c>
      <c r="H954" s="10" t="n"/>
    </row>
    <row r="955" ht="21" customHeight="1">
      <c r="A955" s="10" t="inlineStr">
        <is>
          <t>P</t>
        </is>
      </c>
      <c r="B955" s="10" t="inlineStr">
        <is>
          <t>0030810310</t>
        </is>
      </c>
      <c r="C955" s="10" t="inlineStr">
        <is>
          <t>Treibstoffe, Oele und Fette</t>
        </is>
      </c>
      <c r="D955" s="8" t="n">
        <v>0</v>
      </c>
      <c r="E955" s="8" t="n">
        <v>8</v>
      </c>
      <c r="F955" s="8" t="n">
        <v>153</v>
      </c>
      <c r="G955" s="10" t="b">
        <v>0</v>
      </c>
      <c r="H955" s="10" t="n"/>
    </row>
    <row r="956" ht="21" customHeight="1">
      <c r="A956" s="10" t="inlineStr">
        <is>
          <t>K</t>
        </is>
      </c>
      <c r="B956" s="10" t="inlineStr">
        <is>
          <t>0030810310</t>
        </is>
      </c>
      <c r="C956" s="10" t="inlineStr">
        <is>
          <t>401000 Aufwand Diesel</t>
        </is>
      </c>
      <c r="D956" s="8" t="n">
        <v>246304.11</v>
      </c>
      <c r="E956" s="8" t="n">
        <v>9</v>
      </c>
      <c r="F956" s="8" t="n">
        <v>154</v>
      </c>
      <c r="G956" s="10" t="n"/>
      <c r="H956" s="10" t="inlineStr">
        <is>
          <t>401000</t>
        </is>
      </c>
    </row>
    <row r="957" ht="21" customHeight="1">
      <c r="A957" s="10" t="inlineStr">
        <is>
          <t>K</t>
        </is>
      </c>
      <c r="B957" s="10" t="inlineStr">
        <is>
          <t>0030810310</t>
        </is>
      </c>
      <c r="C957" s="10" t="inlineStr">
        <is>
          <t>401010 Benzin/Super</t>
        </is>
      </c>
      <c r="D957" s="8" t="n">
        <v>42.03</v>
      </c>
      <c r="E957" s="8" t="n">
        <v>9</v>
      </c>
      <c r="F957" s="8" t="n">
        <v>155</v>
      </c>
      <c r="G957" s="10" t="n"/>
      <c r="H957" s="10" t="inlineStr">
        <is>
          <t>401010</t>
        </is>
      </c>
    </row>
    <row r="958" ht="21" customHeight="1">
      <c r="A958" s="10" t="inlineStr">
        <is>
          <t>K</t>
        </is>
      </c>
      <c r="B958" s="10" t="inlineStr">
        <is>
          <t>0030810310</t>
        </is>
      </c>
      <c r="C958" s="10" t="inlineStr">
        <is>
          <t>401015 Alternative Antriebe (u.a. Strom, Wasserstoff)</t>
        </is>
      </c>
      <c r="D958" s="8" t="n">
        <v>856.1900000000001</v>
      </c>
      <c r="E958" s="8" t="n">
        <v>9</v>
      </c>
      <c r="F958" s="8" t="n">
        <v>156</v>
      </c>
      <c r="G958" s="10" t="n"/>
      <c r="H958" s="10" t="inlineStr">
        <is>
          <t>401015</t>
        </is>
      </c>
    </row>
    <row r="959" ht="21" customHeight="1">
      <c r="A959" s="10" t="inlineStr">
        <is>
          <t>K</t>
        </is>
      </c>
      <c r="B959" s="10" t="inlineStr">
        <is>
          <t>0030810310</t>
        </is>
      </c>
      <c r="C959" s="10" t="inlineStr">
        <is>
          <t>401020 Öle und Fette</t>
        </is>
      </c>
      <c r="D959" s="8" t="n">
        <v>318.68</v>
      </c>
      <c r="E959" s="8" t="n">
        <v>9</v>
      </c>
      <c r="F959" s="8" t="n">
        <v>157</v>
      </c>
      <c r="G959" s="10" t="n"/>
      <c r="H959" s="10" t="inlineStr">
        <is>
          <t>401020</t>
        </is>
      </c>
    </row>
    <row r="960" ht="21" customHeight="1">
      <c r="A960" s="10" t="inlineStr">
        <is>
          <t>P</t>
        </is>
      </c>
      <c r="B960" s="10" t="inlineStr">
        <is>
          <t>0030810320</t>
        </is>
      </c>
      <c r="C960" s="10" t="inlineStr">
        <is>
          <t>Instandhaltung Fuhrpark</t>
        </is>
      </c>
      <c r="D960" s="8" t="n">
        <v>0</v>
      </c>
      <c r="E960" s="8" t="n">
        <v>8</v>
      </c>
      <c r="F960" s="8" t="n">
        <v>158</v>
      </c>
      <c r="G960" s="10" t="b">
        <v>0</v>
      </c>
      <c r="H960" s="10" t="n"/>
    </row>
    <row r="961" ht="21" customHeight="1">
      <c r="A961" s="10" t="inlineStr">
        <is>
          <t>K</t>
        </is>
      </c>
      <c r="B961" s="10" t="inlineStr">
        <is>
          <t>0030810320</t>
        </is>
      </c>
      <c r="C961" s="10" t="inlineStr">
        <is>
          <t>400010 Instandhaltung Lastkraftwagen</t>
        </is>
      </c>
      <c r="D961" s="8" t="n">
        <v>7365.72</v>
      </c>
      <c r="E961" s="8" t="n">
        <v>9</v>
      </c>
      <c r="F961" s="8" t="n">
        <v>159</v>
      </c>
      <c r="G961" s="10" t="n"/>
      <c r="H961" s="10" t="inlineStr">
        <is>
          <t>400010</t>
        </is>
      </c>
    </row>
    <row r="962" ht="21" customHeight="1">
      <c r="A962" s="10" t="inlineStr">
        <is>
          <t>K</t>
        </is>
      </c>
      <c r="B962" s="10" t="inlineStr">
        <is>
          <t>0030810320</t>
        </is>
      </c>
      <c r="C962" s="10" t="inlineStr">
        <is>
          <t>400011 Reifenkosten</t>
        </is>
      </c>
      <c r="D962" s="8" t="n">
        <v>5543.35</v>
      </c>
      <c r="E962" s="8" t="n">
        <v>9</v>
      </c>
      <c r="F962" s="8" t="n">
        <v>160</v>
      </c>
      <c r="G962" s="10" t="n"/>
      <c r="H962" s="10" t="inlineStr">
        <is>
          <t>400011</t>
        </is>
      </c>
    </row>
    <row r="963" ht="21" customHeight="1">
      <c r="A963" s="10" t="inlineStr">
        <is>
          <t>K</t>
        </is>
      </c>
      <c r="B963" s="10" t="inlineStr">
        <is>
          <t>0030810320</t>
        </is>
      </c>
      <c r="C963" s="10" t="inlineStr">
        <is>
          <t>400020 Instandhaltung Personenkraftwagen</t>
        </is>
      </c>
      <c r="D963" s="8" t="n">
        <v>4628.98</v>
      </c>
      <c r="E963" s="8" t="n">
        <v>9</v>
      </c>
      <c r="F963" s="8" t="n">
        <v>161</v>
      </c>
      <c r="G963" s="10" t="n"/>
      <c r="H963" s="10" t="inlineStr">
        <is>
          <t>400020</t>
        </is>
      </c>
    </row>
    <row r="964" ht="21" customHeight="1">
      <c r="A964" s="10" t="inlineStr">
        <is>
          <t>K</t>
        </is>
      </c>
      <c r="B964" s="10" t="inlineStr">
        <is>
          <t>0030810320</t>
        </is>
      </c>
      <c r="C964" s="10" t="inlineStr">
        <is>
          <t>400030 Instandhaltung selbstfahrende Arbeitsmaschinen</t>
        </is>
      </c>
      <c r="D964" s="8" t="n">
        <v>59316.42</v>
      </c>
      <c r="E964" s="8" t="n">
        <v>9</v>
      </c>
      <c r="F964" s="8" t="n">
        <v>162</v>
      </c>
      <c r="G964" s="10" t="n"/>
      <c r="H964" s="10" t="inlineStr">
        <is>
          <t>400030</t>
        </is>
      </c>
    </row>
    <row r="965" ht="21" customHeight="1">
      <c r="A965" s="10" t="inlineStr">
        <is>
          <t>K</t>
        </is>
      </c>
      <c r="B965" s="10" t="inlineStr">
        <is>
          <t>0030810320</t>
        </is>
      </c>
      <c r="C965" s="10" t="inlineStr">
        <is>
          <t>400035 Instandhaltung Miet-und Leasingfahrzeuge</t>
        </is>
      </c>
      <c r="D965" s="8" t="n">
        <v>88090.8</v>
      </c>
      <c r="E965" s="8" t="n">
        <v>9</v>
      </c>
      <c r="F965" s="8" t="n">
        <v>163</v>
      </c>
      <c r="G965" s="10" t="n"/>
      <c r="H965" s="10" t="inlineStr">
        <is>
          <t>400035</t>
        </is>
      </c>
    </row>
    <row r="966" ht="21" customHeight="1">
      <c r="A966" s="10" t="inlineStr">
        <is>
          <t>K</t>
        </is>
      </c>
      <c r="B966" s="10" t="inlineStr">
        <is>
          <t>0030810320</t>
        </is>
      </c>
      <c r="C966" s="10" t="inlineStr">
        <is>
          <t>400040 DEKRA / TÜV / sonstige Gebühren Fuhrpark</t>
        </is>
      </c>
      <c r="D966" s="8" t="n">
        <v>2691.74</v>
      </c>
      <c r="E966" s="8" t="n">
        <v>9</v>
      </c>
      <c r="F966" s="8" t="n">
        <v>164</v>
      </c>
      <c r="G966" s="10" t="n"/>
      <c r="H966" s="10" t="inlineStr">
        <is>
          <t>400040</t>
        </is>
      </c>
    </row>
    <row r="967" ht="21" customHeight="1">
      <c r="A967" s="10" t="inlineStr">
        <is>
          <t>K</t>
        </is>
      </c>
      <c r="B967" s="10" t="inlineStr">
        <is>
          <t>0030810331</t>
        </is>
      </c>
      <c r="C967" s="10" t="inlineStr">
        <is>
          <t>400122 Leasing PKW</t>
        </is>
      </c>
      <c r="D967" s="8" t="n">
        <v>112990.09</v>
      </c>
      <c r="E967" s="8" t="n">
        <v>9</v>
      </c>
      <c r="F967" s="8" t="n">
        <v>165</v>
      </c>
      <c r="G967" s="10" t="n"/>
      <c r="H967" s="10" t="inlineStr">
        <is>
          <t>400122</t>
        </is>
      </c>
    </row>
    <row r="968" ht="21" customHeight="1">
      <c r="A968" s="10" t="inlineStr">
        <is>
          <t>K</t>
        </is>
      </c>
      <c r="B968" s="10" t="inlineStr">
        <is>
          <t>0030810332</t>
        </is>
      </c>
      <c r="C968" s="10" t="inlineStr">
        <is>
          <t>400112 Leasing LKW</t>
        </is>
      </c>
      <c r="D968" s="8" t="n">
        <v>38720.29</v>
      </c>
      <c r="E968" s="8" t="n">
        <v>9</v>
      </c>
      <c r="F968" s="8" t="n">
        <v>166</v>
      </c>
      <c r="G968" s="10" t="n"/>
      <c r="H968" s="10" t="inlineStr">
        <is>
          <t>400112</t>
        </is>
      </c>
    </row>
    <row r="969" ht="21" customHeight="1">
      <c r="A969" s="10" t="inlineStr">
        <is>
          <t>K</t>
        </is>
      </c>
      <c r="B969" s="10" t="inlineStr">
        <is>
          <t>0030810333</t>
        </is>
      </c>
      <c r="C969" s="10" t="inlineStr">
        <is>
          <t>400121 Anmietung PKW</t>
        </is>
      </c>
      <c r="D969" s="8" t="n">
        <v>14488.4</v>
      </c>
      <c r="E969" s="8" t="n">
        <v>9</v>
      </c>
      <c r="F969" s="8" t="n">
        <v>167</v>
      </c>
      <c r="G969" s="10" t="n"/>
      <c r="H969" s="10" t="inlineStr">
        <is>
          <t>400121</t>
        </is>
      </c>
    </row>
    <row r="970" ht="21" customHeight="1">
      <c r="A970" s="10" t="inlineStr">
        <is>
          <t>K</t>
        </is>
      </c>
      <c r="B970" s="10" t="inlineStr">
        <is>
          <t>0030810334</t>
        </is>
      </c>
      <c r="C970" s="10" t="inlineStr">
        <is>
          <t>400111 Anmietung LKW</t>
        </is>
      </c>
      <c r="D970" s="8" t="n">
        <v>3038</v>
      </c>
      <c r="E970" s="8" t="n">
        <v>9</v>
      </c>
      <c r="F970" s="8" t="n">
        <v>168</v>
      </c>
      <c r="G970" s="10" t="n"/>
      <c r="H970" s="10" t="inlineStr">
        <is>
          <t>400111</t>
        </is>
      </c>
    </row>
    <row r="971" ht="21" customHeight="1">
      <c r="A971" s="10" t="inlineStr">
        <is>
          <t>K</t>
        </is>
      </c>
      <c r="B971" s="10" t="inlineStr">
        <is>
          <t>0030810334</t>
        </is>
      </c>
      <c r="C971" s="10" t="inlineStr">
        <is>
          <t>400131 Anmietung selbstfahrende Arbeitsmaschinen</t>
        </is>
      </c>
      <c r="D971" s="8" t="n">
        <v>220223.97</v>
      </c>
      <c r="E971" s="8" t="n">
        <v>9</v>
      </c>
      <c r="F971" s="8" t="n">
        <v>169</v>
      </c>
      <c r="G971" s="10" t="n"/>
      <c r="H971" s="10" t="inlineStr">
        <is>
          <t>400131</t>
        </is>
      </c>
    </row>
    <row r="972" ht="21" customHeight="1">
      <c r="A972" s="10" t="inlineStr">
        <is>
          <t>K</t>
        </is>
      </c>
      <c r="B972" s="10" t="inlineStr">
        <is>
          <t>0030810339</t>
        </is>
      </c>
      <c r="C972" s="10" t="inlineStr">
        <is>
          <t>401040 Kfz-Versicherungen</t>
        </is>
      </c>
      <c r="D972" s="8" t="n">
        <v>28590.69</v>
      </c>
      <c r="E972" s="8" t="n">
        <v>9</v>
      </c>
      <c r="F972" s="8" t="n">
        <v>170</v>
      </c>
      <c r="G972" s="10" t="n"/>
      <c r="H972" s="10" t="inlineStr">
        <is>
          <t>401040</t>
        </is>
      </c>
    </row>
    <row r="973" ht="21" customHeight="1">
      <c r="A973" s="10" t="inlineStr">
        <is>
          <t>K</t>
        </is>
      </c>
      <c r="B973" s="10" t="inlineStr">
        <is>
          <t>0030810339</t>
        </is>
      </c>
      <c r="C973" s="10" t="inlineStr">
        <is>
          <t>401050 Autobahngebühren LKW</t>
        </is>
      </c>
      <c r="D973" s="8" t="n">
        <v>6039.51</v>
      </c>
      <c r="E973" s="8" t="n">
        <v>9</v>
      </c>
      <c r="F973" s="8" t="n">
        <v>171</v>
      </c>
      <c r="G973" s="10" t="n"/>
      <c r="H973" s="10" t="inlineStr">
        <is>
          <t>401050</t>
        </is>
      </c>
    </row>
    <row r="974" ht="21" customHeight="1">
      <c r="A974" s="10" t="inlineStr">
        <is>
          <t>P</t>
        </is>
      </c>
      <c r="B974" s="10" t="inlineStr">
        <is>
          <t>0030810300</t>
        </is>
      </c>
      <c r="C974" s="10" t="inlineStr">
        <is>
          <t>Summe Fuhrparkkosten</t>
        </is>
      </c>
      <c r="D974" s="8" t="n">
        <v>839248.97</v>
      </c>
      <c r="E974" s="8" t="n">
        <v>7</v>
      </c>
      <c r="F974" s="8" t="n">
        <v>172</v>
      </c>
      <c r="G974" s="10" t="b">
        <v>1</v>
      </c>
      <c r="H974" s="10" t="n"/>
    </row>
    <row r="975" ht="21" customHeight="1">
      <c r="A975" s="10" t="inlineStr">
        <is>
          <t>P</t>
        </is>
      </c>
      <c r="B975" s="10" t="inlineStr">
        <is>
          <t>0030810399</t>
        </is>
      </c>
      <c r="C975" s="10" t="inlineStr">
        <is>
          <t>Instandh. Betriebsausst./masch. Anla.</t>
        </is>
      </c>
      <c r="D975" s="8" t="n">
        <v>0</v>
      </c>
      <c r="E975" s="8" t="n">
        <v>7</v>
      </c>
      <c r="F975" s="8" t="n">
        <v>173</v>
      </c>
      <c r="G975" s="10" t="b">
        <v>0</v>
      </c>
      <c r="H975" s="10" t="n"/>
    </row>
    <row r="976" ht="21" customHeight="1">
      <c r="A976" s="10" t="inlineStr">
        <is>
          <t>P</t>
        </is>
      </c>
      <c r="B976" s="10" t="inlineStr">
        <is>
          <t>0030810400</t>
        </is>
      </c>
      <c r="C976" s="10" t="inlineStr">
        <is>
          <t>Instandh. Betriebsausst./masch. Anla.</t>
        </is>
      </c>
      <c r="D976" s="8" t="n">
        <v>0</v>
      </c>
      <c r="E976" s="8" t="n">
        <v>8</v>
      </c>
      <c r="F976" s="8" t="n">
        <v>174</v>
      </c>
      <c r="G976" s="10" t="b">
        <v>0</v>
      </c>
      <c r="H976" s="10" t="n"/>
    </row>
    <row r="977" ht="21" customHeight="1">
      <c r="A977" s="10" t="inlineStr">
        <is>
          <t>K</t>
        </is>
      </c>
      <c r="B977" s="10" t="inlineStr">
        <is>
          <t>0030810400</t>
        </is>
      </c>
      <c r="C977" s="10" t="inlineStr">
        <is>
          <t>420100 Instandhaltung Betriebsausstattung</t>
        </is>
      </c>
      <c r="D977" s="8" t="n">
        <v>8333.33</v>
      </c>
      <c r="E977" s="8" t="n">
        <v>9</v>
      </c>
      <c r="F977" s="8" t="n">
        <v>175</v>
      </c>
      <c r="G977" s="10" t="n"/>
      <c r="H977" s="10" t="inlineStr">
        <is>
          <t>420100</t>
        </is>
      </c>
    </row>
    <row r="978" ht="21" customHeight="1">
      <c r="A978" s="10" t="inlineStr">
        <is>
          <t>K</t>
        </is>
      </c>
      <c r="B978" s="10" t="inlineStr">
        <is>
          <t>0030810400</t>
        </is>
      </c>
      <c r="C978" s="10" t="inlineStr">
        <is>
          <t>420450 Instandh./Reparatur/Wartung Miet- u. Leasinggeräte</t>
        </is>
      </c>
      <c r="D978" s="8" t="n">
        <v>1978.7</v>
      </c>
      <c r="E978" s="8" t="n">
        <v>9</v>
      </c>
      <c r="F978" s="8" t="n">
        <v>176</v>
      </c>
      <c r="G978" s="10" t="n"/>
      <c r="H978" s="10" t="inlineStr">
        <is>
          <t>420450</t>
        </is>
      </c>
    </row>
    <row r="979" ht="21" customHeight="1">
      <c r="A979" s="10" t="inlineStr">
        <is>
          <t>K</t>
        </is>
      </c>
      <c r="B979" s="10" t="inlineStr">
        <is>
          <t>0030810400</t>
        </is>
      </c>
      <c r="C979" s="10" t="inlineStr">
        <is>
          <t>420600 Werkstattbedarf (Kleinwerkzeuge b.100,-DM u.ä.)</t>
        </is>
      </c>
      <c r="D979" s="8" t="n">
        <v>15215.55</v>
      </c>
      <c r="E979" s="8" t="n">
        <v>9</v>
      </c>
      <c r="F979" s="8" t="n">
        <v>177</v>
      </c>
      <c r="G979" s="10" t="n"/>
      <c r="H979" s="10" t="inlineStr">
        <is>
          <t>420600</t>
        </is>
      </c>
    </row>
    <row r="980" ht="21" customHeight="1">
      <c r="A980" s="10" t="inlineStr">
        <is>
          <t>K</t>
        </is>
      </c>
      <c r="B980" s="10" t="inlineStr">
        <is>
          <t>0030810400</t>
        </is>
      </c>
      <c r="C980" s="10" t="inlineStr">
        <is>
          <t>420700 Verbrauch Hilfs- u. Betriebsstoffe</t>
        </is>
      </c>
      <c r="D980" s="8" t="n">
        <v>25586.41</v>
      </c>
      <c r="E980" s="8" t="n">
        <v>9</v>
      </c>
      <c r="F980" s="8" t="n">
        <v>178</v>
      </c>
      <c r="G980" s="10" t="n"/>
      <c r="H980" s="10" t="inlineStr">
        <is>
          <t>420700</t>
        </is>
      </c>
    </row>
    <row r="981" ht="21" customHeight="1">
      <c r="A981" s="10" t="inlineStr">
        <is>
          <t>P</t>
        </is>
      </c>
      <c r="B981" s="10" t="inlineStr">
        <is>
          <t>0030810700</t>
        </is>
      </c>
      <c r="C981" s="10" t="inlineStr">
        <is>
          <t>And.sonst. betriebl. Aufwendungen</t>
        </is>
      </c>
      <c r="D981" s="8" t="n">
        <v>0</v>
      </c>
      <c r="E981" s="8" t="n">
        <v>6</v>
      </c>
      <c r="F981" s="8" t="n">
        <v>179</v>
      </c>
      <c r="G981" s="10" t="b">
        <v>0</v>
      </c>
      <c r="H981" s="10" t="n"/>
    </row>
    <row r="982" ht="21" customHeight="1">
      <c r="A982" s="10" t="inlineStr">
        <is>
          <t>P</t>
        </is>
      </c>
      <c r="B982" s="10" t="inlineStr">
        <is>
          <t>0030810710</t>
        </is>
      </c>
      <c r="C982" s="10" t="inlineStr">
        <is>
          <t>sonst. Betriebl. Aufwendungen</t>
        </is>
      </c>
      <c r="D982" s="8" t="n">
        <v>0</v>
      </c>
      <c r="E982" s="8" t="n">
        <v>7</v>
      </c>
      <c r="F982" s="8" t="n">
        <v>180</v>
      </c>
      <c r="G982" s="10" t="b">
        <v>0</v>
      </c>
      <c r="H982" s="10" t="n"/>
    </row>
    <row r="983" ht="21" customHeight="1">
      <c r="A983" s="10" t="inlineStr">
        <is>
          <t>K</t>
        </is>
      </c>
      <c r="B983" s="10" t="inlineStr">
        <is>
          <t>0030810710</t>
        </is>
      </c>
      <c r="C983" s="10" t="inlineStr">
        <is>
          <t>286900 andere sonstige betriebliche Aufwendungen</t>
        </is>
      </c>
      <c r="D983" s="8" t="n">
        <v>0.5600000000000001</v>
      </c>
      <c r="E983" s="8" t="n">
        <v>8</v>
      </c>
      <c r="F983" s="8" t="n">
        <v>181</v>
      </c>
      <c r="G983" s="10" t="n"/>
      <c r="H983" s="10" t="inlineStr">
        <is>
          <t>286900</t>
        </is>
      </c>
    </row>
    <row r="984" ht="21" customHeight="1">
      <c r="A984" s="10" t="inlineStr">
        <is>
          <t>K</t>
        </is>
      </c>
      <c r="B984" s="10" t="inlineStr">
        <is>
          <t>0030810710</t>
        </is>
      </c>
      <c r="C984" s="10" t="inlineStr">
        <is>
          <t>430110 Aufwendungen für Versicherungsschäden</t>
        </is>
      </c>
      <c r="D984" s="8" t="n">
        <v>9046.530000000001</v>
      </c>
      <c r="E984" s="8" t="n">
        <v>8</v>
      </c>
      <c r="F984" s="8" t="n">
        <v>182</v>
      </c>
      <c r="G984" s="10" t="n"/>
      <c r="H984" s="10" t="inlineStr">
        <is>
          <t>430110</t>
        </is>
      </c>
    </row>
    <row r="985" ht="21" customHeight="1">
      <c r="A985" s="10" t="inlineStr">
        <is>
          <t>K</t>
        </is>
      </c>
      <c r="B985" s="10" t="inlineStr">
        <is>
          <t>0030810710</t>
        </is>
      </c>
      <c r="C985" s="10" t="inlineStr">
        <is>
          <t>440050 Transportkosten (außerhalb Recy)</t>
        </is>
      </c>
      <c r="D985" s="8" t="n">
        <v>1436.13</v>
      </c>
      <c r="E985" s="8" t="n">
        <v>8</v>
      </c>
      <c r="F985" s="8" t="n">
        <v>183</v>
      </c>
      <c r="G985" s="10" t="n"/>
      <c r="H985" s="10" t="inlineStr">
        <is>
          <t>440050</t>
        </is>
      </c>
    </row>
    <row r="986" ht="21" customHeight="1">
      <c r="A986" s="10" t="inlineStr">
        <is>
          <t>P</t>
        </is>
      </c>
      <c r="B986" s="10" t="inlineStr">
        <is>
          <t>0030810720</t>
        </is>
      </c>
      <c r="C986" s="10" t="inlineStr">
        <is>
          <t>sonstige Personalkosten</t>
        </is>
      </c>
      <c r="D986" s="8" t="n">
        <v>0</v>
      </c>
      <c r="E986" s="8" t="n">
        <v>7</v>
      </c>
      <c r="F986" s="8" t="n">
        <v>184</v>
      </c>
      <c r="G986" s="10" t="b">
        <v>0</v>
      </c>
      <c r="H986" s="10" t="n"/>
    </row>
    <row r="987" ht="21" customHeight="1">
      <c r="A987" s="10" t="inlineStr">
        <is>
          <t>K</t>
        </is>
      </c>
      <c r="B987" s="10" t="inlineStr">
        <is>
          <t>0030810720</t>
        </is>
      </c>
      <c r="C987" s="10" t="inlineStr">
        <is>
          <t>411070 Personalwerbung</t>
        </is>
      </c>
      <c r="D987" s="8" t="n">
        <v>17033.15</v>
      </c>
      <c r="E987" s="8" t="n">
        <v>8</v>
      </c>
      <c r="F987" s="8" t="n">
        <v>185</v>
      </c>
      <c r="G987" s="10" t="n"/>
      <c r="H987" s="10" t="inlineStr">
        <is>
          <t>411070</t>
        </is>
      </c>
    </row>
    <row r="988" ht="21" customHeight="1">
      <c r="A988" s="10" t="inlineStr">
        <is>
          <t>K</t>
        </is>
      </c>
      <c r="B988" s="10" t="inlineStr">
        <is>
          <t>0030810720</t>
        </is>
      </c>
      <c r="C988" s="10" t="inlineStr">
        <is>
          <t>411090 Schulung und Ausbildung</t>
        </is>
      </c>
      <c r="D988" s="8" t="n">
        <v>15242.8</v>
      </c>
      <c r="E988" s="8" t="n">
        <v>8</v>
      </c>
      <c r="F988" s="8" t="n">
        <v>186</v>
      </c>
      <c r="G988" s="10" t="n"/>
      <c r="H988" s="10" t="inlineStr">
        <is>
          <t>411090</t>
        </is>
      </c>
    </row>
    <row r="989" ht="21" customHeight="1">
      <c r="A989" s="10" t="inlineStr">
        <is>
          <t>K</t>
        </is>
      </c>
      <c r="B989" s="10" t="inlineStr">
        <is>
          <t>0030810720</t>
        </is>
      </c>
      <c r="C989" s="10" t="inlineStr">
        <is>
          <t>411100 Arbeitskleidung und Arbeitschutzbedarf</t>
        </is>
      </c>
      <c r="D989" s="8" t="n">
        <v>42265.27</v>
      </c>
      <c r="E989" s="8" t="n">
        <v>8</v>
      </c>
      <c r="F989" s="8" t="n">
        <v>187</v>
      </c>
      <c r="G989" s="10" t="n"/>
      <c r="H989" s="10" t="inlineStr">
        <is>
          <t>411100</t>
        </is>
      </c>
    </row>
    <row r="990" ht="21" customHeight="1">
      <c r="A990" s="10" t="inlineStr">
        <is>
          <t>K</t>
        </is>
      </c>
      <c r="B990" s="10" t="inlineStr">
        <is>
          <t>0030810720</t>
        </is>
      </c>
      <c r="C990" s="10" t="inlineStr">
        <is>
          <t>411900 Sonstige Personalkosten</t>
        </is>
      </c>
      <c r="D990" s="8" t="n">
        <v>10113.29</v>
      </c>
      <c r="E990" s="8" t="n">
        <v>8</v>
      </c>
      <c r="F990" s="8" t="n">
        <v>188</v>
      </c>
      <c r="G990" s="10" t="n"/>
      <c r="H990" s="10" t="inlineStr">
        <is>
          <t>411900</t>
        </is>
      </c>
    </row>
    <row r="991" ht="21" customHeight="1">
      <c r="A991" s="10" t="inlineStr">
        <is>
          <t>P</t>
        </is>
      </c>
      <c r="B991" s="10" t="inlineStr">
        <is>
          <t>0030810700</t>
        </is>
      </c>
      <c r="C991" s="10" t="inlineStr">
        <is>
          <t>Summe And.sonst. betriebl. Aufwendungen</t>
        </is>
      </c>
      <c r="D991" s="8" t="n">
        <v>95137.73</v>
      </c>
      <c r="E991" s="8" t="n">
        <v>6</v>
      </c>
      <c r="F991" s="8" t="n">
        <v>189</v>
      </c>
      <c r="G991" s="10" t="b">
        <v>1</v>
      </c>
      <c r="H991" s="10" t="n"/>
    </row>
    <row r="992" ht="21" customHeight="1">
      <c r="A992" s="10" t="inlineStr">
        <is>
          <t>P</t>
        </is>
      </c>
      <c r="B992" s="10" t="inlineStr">
        <is>
          <t>0030810800</t>
        </is>
      </c>
      <c r="C992" s="10" t="inlineStr">
        <is>
          <t>Neutrale Aufwendungen</t>
        </is>
      </c>
      <c r="D992" s="8" t="n">
        <v>0</v>
      </c>
      <c r="E992" s="8" t="n">
        <v>6</v>
      </c>
      <c r="F992" s="8" t="n">
        <v>190</v>
      </c>
      <c r="G992" s="10" t="b">
        <v>0</v>
      </c>
      <c r="H992" s="10" t="n"/>
    </row>
    <row r="993" ht="21" customHeight="1">
      <c r="A993" s="10" t="inlineStr">
        <is>
          <t>P</t>
        </is>
      </c>
      <c r="B993" s="10" t="inlineStr">
        <is>
          <t>0030810850</t>
        </is>
      </c>
      <c r="C993" s="10" t="inlineStr">
        <is>
          <t>periodenfremde Aufwendungen</t>
        </is>
      </c>
      <c r="D993" s="8" t="n">
        <v>0</v>
      </c>
      <c r="E993" s="8" t="n">
        <v>7</v>
      </c>
      <c r="F993" s="8" t="n">
        <v>191</v>
      </c>
      <c r="G993" s="10" t="b">
        <v>0</v>
      </c>
      <c r="H993" s="10" t="n"/>
    </row>
    <row r="994" ht="21" customHeight="1">
      <c r="A994" s="10" t="inlineStr">
        <is>
          <t>K</t>
        </is>
      </c>
      <c r="B994" s="10" t="inlineStr">
        <is>
          <t>0030810850</t>
        </is>
      </c>
      <c r="C994" s="10" t="inlineStr">
        <is>
          <t>201000 Sonstige periodenfremde Aufwendungen</t>
        </is>
      </c>
      <c r="D994" s="8" t="n">
        <v>65318.25</v>
      </c>
      <c r="E994" s="8" t="n">
        <v>8</v>
      </c>
      <c r="F994" s="8" t="n">
        <v>192</v>
      </c>
      <c r="G994" s="10" t="n"/>
      <c r="H994" s="10" t="inlineStr">
        <is>
          <t>201000</t>
        </is>
      </c>
    </row>
    <row r="995" ht="21" customHeight="1">
      <c r="A995" s="10" t="inlineStr">
        <is>
          <t>P</t>
        </is>
      </c>
      <c r="B995" s="10" t="inlineStr">
        <is>
          <t>0030810800</t>
        </is>
      </c>
      <c r="C995" s="10" t="inlineStr">
        <is>
          <t>Summe neutrale Aufwendungen</t>
        </is>
      </c>
      <c r="D995" s="8" t="n">
        <v>65318.25</v>
      </c>
      <c r="E995" s="8" t="n">
        <v>6</v>
      </c>
      <c r="F995" s="8" t="n">
        <v>193</v>
      </c>
      <c r="G995" s="10" t="b">
        <v>1</v>
      </c>
      <c r="H995" s="10" t="n"/>
    </row>
    <row r="996" ht="21" customHeight="1">
      <c r="A996" s="10" t="inlineStr">
        <is>
          <t>P</t>
        </is>
      </c>
      <c r="B996" s="10" t="inlineStr">
        <is>
          <t>0030800000</t>
        </is>
      </c>
      <c r="C996" s="10" t="inlineStr">
        <is>
          <t>Summe Sonst. betriebl. Aufwendungen</t>
        </is>
      </c>
      <c r="D996" s="8" t="n">
        <v>1738357.25</v>
      </c>
      <c r="E996" s="8" t="n">
        <v>5</v>
      </c>
      <c r="F996" s="8" t="n">
        <v>194</v>
      </c>
      <c r="G996" s="10" t="b">
        <v>1</v>
      </c>
      <c r="H996" s="10" t="n"/>
    </row>
    <row r="997" ht="21" customHeight="1">
      <c r="A997" s="10" t="inlineStr">
        <is>
          <t>P</t>
        </is>
      </c>
      <c r="B997" s="10" t="inlineStr">
        <is>
          <t>0040100000</t>
        </is>
      </c>
      <c r="C997" s="10" t="inlineStr">
        <is>
          <t>Finanzergebnis</t>
        </is>
      </c>
      <c r="D997" s="8" t="n">
        <v>0</v>
      </c>
      <c r="E997" s="8" t="n">
        <v>5</v>
      </c>
      <c r="F997" s="8" t="n">
        <v>195</v>
      </c>
      <c r="G997" s="10" t="b">
        <v>0</v>
      </c>
      <c r="H997" s="10" t="n"/>
    </row>
    <row r="998" ht="21" customHeight="1">
      <c r="A998" s="10" t="inlineStr">
        <is>
          <t>P</t>
        </is>
      </c>
      <c r="B998" s="10" t="inlineStr">
        <is>
          <t>0040140000</t>
        </is>
      </c>
      <c r="C998" s="10" t="inlineStr">
        <is>
          <t>Sonstige Zinsen u.ä. Ertraege</t>
        </is>
      </c>
      <c r="D998" s="8" t="n">
        <v>0</v>
      </c>
      <c r="E998" s="8" t="n">
        <v>6</v>
      </c>
      <c r="F998" s="8" t="n">
        <v>196</v>
      </c>
      <c r="G998" s="10" t="b">
        <v>0</v>
      </c>
      <c r="H998" s="10" t="n"/>
    </row>
    <row r="999" ht="21" customHeight="1">
      <c r="A999" s="10" t="inlineStr">
        <is>
          <t>K</t>
        </is>
      </c>
      <c r="B999" s="10" t="inlineStr">
        <is>
          <t>0040140130</t>
        </is>
      </c>
      <c r="C999" s="10" t="inlineStr">
        <is>
          <t>287095 Erträge Zinsen Debitoren</t>
        </is>
      </c>
      <c r="D999" s="8" t="n">
        <v>-0.88</v>
      </c>
      <c r="E999" s="8" t="n">
        <v>9</v>
      </c>
      <c r="F999" s="8" t="n">
        <v>197</v>
      </c>
      <c r="G999" s="10" t="n"/>
      <c r="H999" s="10" t="inlineStr">
        <is>
          <t>287095</t>
        </is>
      </c>
    </row>
    <row r="1000" ht="21" customHeight="1">
      <c r="A1000" s="10" t="inlineStr">
        <is>
          <t>K</t>
        </is>
      </c>
      <c r="B1000" s="10" t="inlineStr">
        <is>
          <t>0040140102</t>
        </is>
      </c>
      <c r="C1000" s="10" t="inlineStr">
        <is>
          <t>265001 Zinsen auf Steuererstattungen</t>
        </is>
      </c>
      <c r="D1000" s="8" t="n">
        <v>-1343.86</v>
      </c>
      <c r="E1000" s="8" t="n">
        <v>8</v>
      </c>
      <c r="F1000" s="8" t="n">
        <v>198</v>
      </c>
      <c r="G1000" s="10" t="n"/>
      <c r="H1000" s="10" t="inlineStr">
        <is>
          <t>265001</t>
        </is>
      </c>
    </row>
    <row r="1001" ht="21" customHeight="1">
      <c r="A1001" s="10" t="inlineStr">
        <is>
          <t>P</t>
        </is>
      </c>
      <c r="B1001" s="10" t="inlineStr">
        <is>
          <t>0040140200</t>
        </is>
      </c>
      <c r="C1001" s="10" t="inlineStr">
        <is>
          <t>Zinserträge verbunde</t>
        </is>
      </c>
      <c r="D1001" s="8" t="n">
        <v>0</v>
      </c>
      <c r="E1001" s="8" t="n">
        <v>7</v>
      </c>
      <c r="F1001" s="8" t="n">
        <v>199</v>
      </c>
      <c r="G1001" s="10" t="b">
        <v>0</v>
      </c>
      <c r="H1001" s="10" t="n"/>
    </row>
    <row r="1002" ht="21" customHeight="1">
      <c r="A1002" s="10" t="inlineStr">
        <is>
          <t>K</t>
        </is>
      </c>
      <c r="B1002" s="10" t="inlineStr">
        <is>
          <t>0040140200</t>
        </is>
      </c>
      <c r="C1002" s="10" t="inlineStr">
        <is>
          <t>265900 Sonstige Zinsen und ähnl. Erträge verb.Unternehmen</t>
        </is>
      </c>
      <c r="D1002" s="8" t="n">
        <v>-192.77</v>
      </c>
      <c r="E1002" s="8" t="n">
        <v>8</v>
      </c>
      <c r="F1002" s="8" t="n">
        <v>200</v>
      </c>
      <c r="G1002" s="10" t="n"/>
      <c r="H1002" s="10" t="inlineStr">
        <is>
          <t>265900</t>
        </is>
      </c>
    </row>
    <row r="1003" ht="21" customHeight="1">
      <c r="A1003" s="10" t="inlineStr">
        <is>
          <t>P</t>
        </is>
      </c>
      <c r="B1003" s="10" t="inlineStr">
        <is>
          <t>0040170000</t>
        </is>
      </c>
      <c r="C1003" s="10" t="inlineStr">
        <is>
          <t>Zinsen u.ä. Aufwendungen</t>
        </is>
      </c>
      <c r="D1003" s="8" t="n">
        <v>0</v>
      </c>
      <c r="E1003" s="8" t="n">
        <v>6</v>
      </c>
      <c r="F1003" s="8" t="n">
        <v>201</v>
      </c>
      <c r="G1003" s="10" t="b">
        <v>0</v>
      </c>
      <c r="H1003" s="10" t="n"/>
    </row>
    <row r="1004" ht="21" customHeight="1">
      <c r="A1004" s="10" t="inlineStr">
        <is>
          <t>K</t>
        </is>
      </c>
      <c r="B1004" s="10" t="inlineStr">
        <is>
          <t>0040170160</t>
        </is>
      </c>
      <c r="C1004" s="10" t="inlineStr">
        <is>
          <t>213101 Zinsen Factoring</t>
        </is>
      </c>
      <c r="D1004" s="8" t="n">
        <v>24231.56</v>
      </c>
      <c r="E1004" s="8" t="n">
        <v>9</v>
      </c>
      <c r="F1004" s="8" t="n">
        <v>202</v>
      </c>
      <c r="G1004" s="10" t="n"/>
      <c r="H1004" s="10" t="inlineStr">
        <is>
          <t>213101</t>
        </is>
      </c>
    </row>
    <row r="1005" ht="21" customHeight="1">
      <c r="A1005" s="10" t="inlineStr">
        <is>
          <t>K</t>
        </is>
      </c>
      <c r="B1005" s="10" t="inlineStr">
        <is>
          <t>0040170170</t>
        </is>
      </c>
      <c r="C1005" s="10" t="inlineStr">
        <is>
          <t>213200 Avalgebühren und -provisionen</t>
        </is>
      </c>
      <c r="D1005" s="8" t="n">
        <v>5819.12</v>
      </c>
      <c r="E1005" s="8" t="n">
        <v>9</v>
      </c>
      <c r="F1005" s="8" t="n">
        <v>203</v>
      </c>
      <c r="G1005" s="10" t="n"/>
      <c r="H1005" s="10" t="inlineStr">
        <is>
          <t>213200</t>
        </is>
      </c>
    </row>
    <row r="1006" ht="21" customHeight="1">
      <c r="A1006" s="10" t="inlineStr">
        <is>
          <t>K</t>
        </is>
      </c>
      <c r="B1006" s="10" t="inlineStr">
        <is>
          <t>0040170190</t>
        </is>
      </c>
      <c r="C1006" s="10" t="inlineStr">
        <is>
          <t>210000 Übrige Zinsen und ähnliche Aufwendungen</t>
        </is>
      </c>
      <c r="D1006" s="8" t="n">
        <v>13.36</v>
      </c>
      <c r="E1006" s="8" t="n">
        <v>9</v>
      </c>
      <c r="F1006" s="8" t="n">
        <v>204</v>
      </c>
      <c r="G1006" s="10" t="n"/>
      <c r="H1006" s="10" t="inlineStr">
        <is>
          <t>210000</t>
        </is>
      </c>
    </row>
    <row r="1007" ht="21" customHeight="1">
      <c r="A1007" s="10" t="inlineStr">
        <is>
          <t>K</t>
        </is>
      </c>
      <c r="B1007" s="10" t="inlineStr">
        <is>
          <t>0040170102</t>
        </is>
      </c>
      <c r="C1007" s="10" t="inlineStr">
        <is>
          <t>210001 Zinsen und Nebenleistungen auf Steuerzahlungen</t>
        </is>
      </c>
      <c r="D1007" s="8" t="n">
        <v>196.95</v>
      </c>
      <c r="E1007" s="8" t="n">
        <v>8</v>
      </c>
      <c r="F1007" s="8" t="n">
        <v>205</v>
      </c>
      <c r="G1007" s="10" t="n"/>
      <c r="H1007" s="10" t="inlineStr">
        <is>
          <t>210001</t>
        </is>
      </c>
    </row>
    <row r="1008" ht="21" customHeight="1">
      <c r="A1008" s="10" t="inlineStr">
        <is>
          <t>P</t>
        </is>
      </c>
      <c r="B1008" s="10" t="inlineStr">
        <is>
          <t>0040170200</t>
        </is>
      </c>
      <c r="C1008" s="10" t="inlineStr">
        <is>
          <t>Zinsaufwand verbundene</t>
        </is>
      </c>
      <c r="D1008" s="8" t="n">
        <v>0</v>
      </c>
      <c r="E1008" s="8" t="n">
        <v>7</v>
      </c>
      <c r="F1008" s="8" t="n">
        <v>206</v>
      </c>
      <c r="G1008" s="10" t="b">
        <v>0</v>
      </c>
      <c r="H1008" s="10" t="n"/>
    </row>
    <row r="1009" ht="21" customHeight="1">
      <c r="A1009" s="10" t="inlineStr">
        <is>
          <t>K</t>
        </is>
      </c>
      <c r="B1009" s="10" t="inlineStr">
        <is>
          <t>0040170200</t>
        </is>
      </c>
      <c r="C1009" s="10" t="inlineStr">
        <is>
          <t>210900 Zinsaufwendungen an verbundene Unternehmen</t>
        </is>
      </c>
      <c r="D1009" s="8" t="n">
        <v>38738.8</v>
      </c>
      <c r="E1009" s="8" t="n">
        <v>8</v>
      </c>
      <c r="F1009" s="8" t="n">
        <v>207</v>
      </c>
      <c r="G1009" s="10" t="n"/>
      <c r="H1009" s="10" t="inlineStr">
        <is>
          <t>210900</t>
        </is>
      </c>
    </row>
    <row r="1010" ht="21" customHeight="1">
      <c r="A1010" s="10" t="inlineStr">
        <is>
          <t>P</t>
        </is>
      </c>
      <c r="B1010" s="10" t="inlineStr">
        <is>
          <t>0040100000</t>
        </is>
      </c>
      <c r="C1010" s="10" t="inlineStr">
        <is>
          <t>Summe Finanzergebnis</t>
        </is>
      </c>
      <c r="D1010" s="8" t="n">
        <v>67462.28</v>
      </c>
      <c r="E1010" s="8" t="n">
        <v>5</v>
      </c>
      <c r="F1010" s="8" t="n">
        <v>208</v>
      </c>
      <c r="G1010" s="10" t="b">
        <v>1</v>
      </c>
      <c r="H1010" s="10" t="n"/>
    </row>
    <row r="1011" ht="21" customHeight="1">
      <c r="A1011" s="10" t="inlineStr">
        <is>
          <t>P</t>
        </is>
      </c>
      <c r="B1011" s="10" t="inlineStr">
        <is>
          <t>0040180000</t>
        </is>
      </c>
      <c r="C1011" s="10" t="inlineStr">
        <is>
          <t>Ergeb. der gewoehnlichen Geschaeftstaetigk.</t>
        </is>
      </c>
      <c r="D1011" s="8" t="n">
        <v>302345.84</v>
      </c>
      <c r="E1011" s="8" t="n">
        <v>4</v>
      </c>
      <c r="F1011" s="8" t="n">
        <v>209</v>
      </c>
      <c r="G1011" s="10" t="b">
        <v>0</v>
      </c>
      <c r="H1011" s="10" t="n"/>
    </row>
    <row r="1012" ht="21" customHeight="1">
      <c r="A1012" s="10" t="inlineStr">
        <is>
          <t>P</t>
        </is>
      </c>
      <c r="B1012" s="10" t="inlineStr">
        <is>
          <t>0060100000</t>
        </is>
      </c>
      <c r="C1012" s="10" t="inlineStr">
        <is>
          <t>Steuern</t>
        </is>
      </c>
      <c r="D1012" s="8" t="n">
        <v>0</v>
      </c>
      <c r="E1012" s="8" t="n">
        <v>4</v>
      </c>
      <c r="F1012" s="8" t="n">
        <v>210</v>
      </c>
      <c r="G1012" s="10" t="b">
        <v>0</v>
      </c>
      <c r="H1012" s="10" t="n"/>
    </row>
    <row r="1013" ht="21" customHeight="1">
      <c r="A1013" s="10" t="inlineStr">
        <is>
          <t>K</t>
        </is>
      </c>
      <c r="B1013" s="10" t="inlineStr">
        <is>
          <t>0060110010</t>
        </is>
      </c>
      <c r="C1013" s="10" t="inlineStr">
        <is>
          <t>277100 Steuernachzahl. E + E Vorjahre</t>
        </is>
      </c>
      <c r="D1013" s="8" t="n">
        <v>66530.2</v>
      </c>
      <c r="E1013" s="8" t="n">
        <v>6</v>
      </c>
      <c r="F1013" s="8" t="n">
        <v>211</v>
      </c>
      <c r="G1013" s="10" t="n"/>
      <c r="H1013" s="10" t="inlineStr">
        <is>
          <t>277100</t>
        </is>
      </c>
    </row>
    <row r="1014" ht="21" customHeight="1">
      <c r="A1014" s="10" t="inlineStr">
        <is>
          <t>K</t>
        </is>
      </c>
      <c r="B1014" s="10" t="inlineStr">
        <is>
          <t>0060110010</t>
        </is>
      </c>
      <c r="C1014" s="10" t="inlineStr">
        <is>
          <t>278100 Steuererstattung E + E Vorjahre</t>
        </is>
      </c>
      <c r="D1014" s="8" t="n">
        <v>-13413.67</v>
      </c>
      <c r="E1014" s="8" t="n">
        <v>6</v>
      </c>
      <c r="F1014" s="8" t="n">
        <v>212</v>
      </c>
      <c r="G1014" s="10" t="n"/>
      <c r="H1014" s="10" t="inlineStr">
        <is>
          <t>278100</t>
        </is>
      </c>
    </row>
    <row r="1015" ht="21" customHeight="1">
      <c r="A1015" s="10" t="inlineStr">
        <is>
          <t>P</t>
        </is>
      </c>
      <c r="B1015" s="10" t="inlineStr">
        <is>
          <t>0060129999</t>
        </is>
      </c>
      <c r="C1015" s="10" t="inlineStr">
        <is>
          <t>Sonstige Steuern</t>
        </is>
      </c>
      <c r="D1015" s="8" t="n">
        <v>0</v>
      </c>
      <c r="E1015" s="8" t="n">
        <v>5</v>
      </c>
      <c r="F1015" s="8" t="n">
        <v>213</v>
      </c>
      <c r="G1015" s="10" t="b">
        <v>0</v>
      </c>
      <c r="H1015" s="10" t="n"/>
    </row>
    <row r="1016" ht="21" customHeight="1">
      <c r="A1016" s="10" t="inlineStr">
        <is>
          <t>P</t>
        </is>
      </c>
      <c r="B1016" s="10" t="inlineStr">
        <is>
          <t>0060130000</t>
        </is>
      </c>
      <c r="C1016" s="10" t="inlineStr">
        <is>
          <t>Sonstige Steuern</t>
        </is>
      </c>
      <c r="D1016" s="8" t="n">
        <v>0</v>
      </c>
      <c r="E1016" s="8" t="n">
        <v>6</v>
      </c>
      <c r="F1016" s="8" t="n">
        <v>214</v>
      </c>
      <c r="G1016" s="10" t="b">
        <v>0</v>
      </c>
      <c r="H1016" s="10" t="n"/>
    </row>
    <row r="1017" ht="21" customHeight="1">
      <c r="A1017" s="10" t="inlineStr">
        <is>
          <t>K</t>
        </is>
      </c>
      <c r="B1017" s="10" t="inlineStr">
        <is>
          <t>0060130000</t>
        </is>
      </c>
      <c r="C1017" s="10" t="inlineStr">
        <is>
          <t>401030 Kfz-Steuern</t>
        </is>
      </c>
      <c r="D1017" s="8" t="n">
        <v>10670.15</v>
      </c>
      <c r="E1017" s="8" t="n">
        <v>7</v>
      </c>
      <c r="F1017" s="8" t="n">
        <v>215</v>
      </c>
      <c r="G1017" s="10" t="n"/>
      <c r="H1017" s="10" t="inlineStr">
        <is>
          <t>401030</t>
        </is>
      </c>
    </row>
    <row r="1018" ht="21" customHeight="1">
      <c r="A1018" s="10" t="inlineStr">
        <is>
          <t>K</t>
        </is>
      </c>
      <c r="B1018" s="10" t="inlineStr">
        <is>
          <t>0060130000</t>
        </is>
      </c>
      <c r="C1018" s="10" t="inlineStr">
        <is>
          <t>430010 Vermögensteuer, Grundsteuer u.a.</t>
        </is>
      </c>
      <c r="D1018" s="8" t="n">
        <v>296.18</v>
      </c>
      <c r="E1018" s="8" t="n">
        <v>7</v>
      </c>
      <c r="F1018" s="8" t="n">
        <v>216</v>
      </c>
      <c r="G1018" s="10" t="n"/>
      <c r="H1018" s="10" t="inlineStr">
        <is>
          <t>430010</t>
        </is>
      </c>
    </row>
    <row r="1019" ht="21" customHeight="1">
      <c r="A1019" s="10" t="inlineStr">
        <is>
          <t>K</t>
        </is>
      </c>
      <c r="B1019" s="10" t="inlineStr">
        <is>
          <t>0060130000</t>
        </is>
      </c>
      <c r="C1019" s="10" t="inlineStr">
        <is>
          <t>430040 Sonstige Steuern</t>
        </is>
      </c>
      <c r="D1019" s="8" t="n">
        <v>-8249.379999999999</v>
      </c>
      <c r="E1019" s="8" t="n">
        <v>7</v>
      </c>
      <c r="F1019" s="8" t="n">
        <v>217</v>
      </c>
      <c r="G1019" s="10" t="n"/>
      <c r="H1019" s="10" t="inlineStr">
        <is>
          <t>430040</t>
        </is>
      </c>
    </row>
    <row r="1020" ht="21" customHeight="1">
      <c r="A1020" s="10" t="inlineStr">
        <is>
          <t>P</t>
        </is>
      </c>
      <c r="B1020" s="10" t="inlineStr">
        <is>
          <t>0060100000</t>
        </is>
      </c>
      <c r="C1020" s="10" t="inlineStr">
        <is>
          <t>Summe Steuern</t>
        </is>
      </c>
      <c r="D1020" s="8" t="n">
        <v>55833.48</v>
      </c>
      <c r="E1020" s="8" t="n">
        <v>4</v>
      </c>
      <c r="F1020" s="8" t="n">
        <v>218</v>
      </c>
      <c r="G1020" s="10" t="b">
        <v>1</v>
      </c>
      <c r="H1020" s="10" t="n"/>
    </row>
    <row r="1021" ht="21" customHeight="1">
      <c r="A1021" s="10" t="inlineStr">
        <is>
          <t>P</t>
        </is>
      </c>
      <c r="B1021" s="10" t="inlineStr">
        <is>
          <t>0060200000</t>
        </is>
      </c>
      <c r="C1021" s="10" t="inlineStr">
        <is>
          <t>Jahresueberschuß / Jahresfehlbetrag</t>
        </is>
      </c>
      <c r="D1021" s="8" t="n">
        <v>358179.32</v>
      </c>
      <c r="E1021" s="8" t="n">
        <v>3</v>
      </c>
      <c r="F1021" s="8" t="n">
        <v>219</v>
      </c>
      <c r="G1021" s="10" t="b">
        <v>0</v>
      </c>
      <c r="H1021" s="10" t="n"/>
    </row>
    <row r="1022" ht="21" customHeight="1">
      <c r="A1022" s="10" t="inlineStr">
        <is>
          <t>P</t>
        </is>
      </c>
      <c r="B1022" s="10" t="inlineStr">
        <is>
          <t>0070000000</t>
        </is>
      </c>
      <c r="C1022" s="10" t="inlineStr">
        <is>
          <t>Ergebnis-Verwendung</t>
        </is>
      </c>
      <c r="D1022" s="8" t="n">
        <v>0</v>
      </c>
      <c r="E1022" s="8" t="n">
        <v>3</v>
      </c>
      <c r="F1022" s="8" t="n">
        <v>220</v>
      </c>
      <c r="G1022" s="10" t="b">
        <v>0</v>
      </c>
      <c r="H1022" s="10" t="n"/>
    </row>
    <row r="1023" ht="21" customHeight="1">
      <c r="A1023" s="10" t="inlineStr">
        <is>
          <t>P</t>
        </is>
      </c>
      <c r="B1023" s="10" t="inlineStr">
        <is>
          <t>0070400000</t>
        </is>
      </c>
      <c r="C1023" s="10" t="inlineStr">
        <is>
          <t>Gewinnvortrag aus dem Vorjahr</t>
        </is>
      </c>
      <c r="D1023" s="8" t="n">
        <v>0</v>
      </c>
      <c r="E1023" s="8" t="n">
        <v>4</v>
      </c>
      <c r="F1023" s="8" t="n">
        <v>221</v>
      </c>
      <c r="G1023" s="10" t="b">
        <v>0</v>
      </c>
      <c r="H1023" s="10" t="n"/>
    </row>
    <row r="1024" ht="21" customHeight="1">
      <c r="A1024" s="10" t="inlineStr">
        <is>
          <t>K</t>
        </is>
      </c>
      <c r="B1024" s="10" t="inlineStr">
        <is>
          <t>0070400000</t>
        </is>
      </c>
      <c r="C1024" s="10" t="inlineStr">
        <is>
          <t>086800 Gewinn- oder Verlustvortrag</t>
        </is>
      </c>
      <c r="D1024" s="8" t="n">
        <v>-3874379.85</v>
      </c>
      <c r="E1024" s="8" t="n">
        <v>5</v>
      </c>
      <c r="F1024" s="8" t="n">
        <v>222</v>
      </c>
      <c r="G1024" s="10" t="n"/>
      <c r="H1024" s="10" t="inlineStr">
        <is>
          <t>86800</t>
        </is>
      </c>
    </row>
    <row r="1025" ht="21" customHeight="1">
      <c r="A1025" s="10" t="inlineStr">
        <is>
          <t>K</t>
        </is>
      </c>
      <c r="B1025" s="10" t="inlineStr">
        <is>
          <t>0070400000</t>
        </is>
      </c>
      <c r="C1025" s="10" t="inlineStr">
        <is>
          <t>086801 Gewinn- oder Verlustvortrag (HGB nur FW Bew.)</t>
        </is>
      </c>
      <c r="D1025" s="8" t="n">
        <v>2702877.8</v>
      </c>
      <c r="E1025" s="8" t="n">
        <v>5</v>
      </c>
      <c r="F1025" s="8" t="n">
        <v>223</v>
      </c>
      <c r="G1025" s="10" t="n"/>
      <c r="H1025" s="10" t="inlineStr">
        <is>
          <t>86801</t>
        </is>
      </c>
    </row>
    <row r="1026" ht="21" customHeight="1">
      <c r="A1026" s="10" t="inlineStr">
        <is>
          <t>P</t>
        </is>
      </c>
      <c r="B1026" s="10" t="inlineStr">
        <is>
          <t>0090000000</t>
        </is>
      </c>
      <c r="C1026" s="10" t="inlineStr">
        <is>
          <t>Anhang</t>
        </is>
      </c>
      <c r="D1026" s="8" t="n">
        <v>0</v>
      </c>
      <c r="E1026" s="8" t="n">
        <v>2</v>
      </c>
      <c r="F1026" s="8" t="n">
        <v>224</v>
      </c>
      <c r="G1026" s="10" t="b">
        <v>0</v>
      </c>
      <c r="H1026" s="10" t="n"/>
    </row>
    <row r="1027" ht="21" customHeight="1">
      <c r="A1027" s="10" t="inlineStr">
        <is>
          <t>P</t>
        </is>
      </c>
      <c r="B1027" s="10" t="inlineStr">
        <is>
          <t>0091300000</t>
        </is>
      </c>
      <c r="C1027" s="10" t="inlineStr">
        <is>
          <t>Konten, die Saldo Null ausweisen muessen</t>
        </is>
      </c>
      <c r="D1027" s="8" t="n">
        <v>0</v>
      </c>
      <c r="E1027" s="8" t="n">
        <v>3</v>
      </c>
      <c r="F1027" s="8" t="n">
        <v>225</v>
      </c>
      <c r="G1027" s="10" t="b">
        <v>0</v>
      </c>
      <c r="H1027" s="10" t="n"/>
    </row>
    <row r="1028" ht="21" customHeight="1">
      <c r="A1028" s="10" t="inlineStr">
        <is>
          <t>K</t>
        </is>
      </c>
      <c r="B1028" s="10" t="inlineStr">
        <is>
          <t>0091300000</t>
        </is>
      </c>
      <c r="C1028" s="10" t="inlineStr">
        <is>
          <t>999920 Übernahme-Konto offene Posten Debitoren</t>
        </is>
      </c>
      <c r="D1028" s="8" t="n">
        <v>7519</v>
      </c>
      <c r="E1028" s="8" t="n">
        <v>4</v>
      </c>
      <c r="F1028" s="8" t="n">
        <v>226</v>
      </c>
      <c r="G1028" s="10" t="n"/>
      <c r="H1028" s="10" t="inlineStr">
        <is>
          <t>999920</t>
        </is>
      </c>
    </row>
    <row r="1029" ht="21" customHeight="1">
      <c r="A1029" s="10" t="inlineStr">
        <is>
          <t>K</t>
        </is>
      </c>
      <c r="B1029" s="10" t="inlineStr">
        <is>
          <t>0091300000</t>
        </is>
      </c>
      <c r="C1029" s="10" t="inlineStr">
        <is>
          <t>999930 Übernahme-Konto offene Posten Kreditoren</t>
        </is>
      </c>
      <c r="D1029" s="8" t="n">
        <v>-7519</v>
      </c>
      <c r="E1029" s="8" t="n">
        <v>4</v>
      </c>
      <c r="F1029" s="8" t="n">
        <v>227</v>
      </c>
      <c r="G1029" s="10" t="n"/>
      <c r="H1029" s="10" t="inlineStr">
        <is>
          <t>999930</t>
        </is>
      </c>
    </row>
    <row r="1030" ht="21" customHeight="1">
      <c r="A1030" s="10" t="inlineStr">
        <is>
          <t>P</t>
        </is>
      </c>
      <c r="B1030" s="10" t="inlineStr">
        <is>
          <t>0091300020</t>
        </is>
      </c>
      <c r="C1030" s="10" t="inlineStr">
        <is>
          <t>IFRS Konten</t>
        </is>
      </c>
      <c r="D1030" s="8" t="n">
        <v>0</v>
      </c>
      <c r="E1030" s="8" t="n">
        <v>3</v>
      </c>
      <c r="F1030" s="8" t="n">
        <v>228</v>
      </c>
      <c r="G1030" s="10" t="b">
        <v>0</v>
      </c>
      <c r="H1030" s="10" t="n"/>
    </row>
    <row r="1031" ht="21" customHeight="1">
      <c r="A1031" s="10" t="inlineStr">
        <is>
          <t>K</t>
        </is>
      </c>
      <c r="B1031" s="10" t="inlineStr">
        <is>
          <t>0091300020</t>
        </is>
      </c>
      <c r="C1031" s="10" t="inlineStr">
        <is>
          <t>F008600 Nutzungsrechte Grund und Boden</t>
        </is>
      </c>
      <c r="D1031" s="8" t="n">
        <v>350020.25</v>
      </c>
      <c r="E1031" s="8" t="n">
        <v>4</v>
      </c>
      <c r="F1031" s="8" t="n">
        <v>229</v>
      </c>
      <c r="G1031" s="10" t="n"/>
      <c r="H1031" s="10" t="inlineStr">
        <is>
          <t>F008600</t>
        </is>
      </c>
    </row>
    <row r="1032" ht="21" customHeight="1">
      <c r="A1032" s="10" t="inlineStr">
        <is>
          <t>K</t>
        </is>
      </c>
      <c r="B1032" s="10" t="inlineStr">
        <is>
          <t>0091300020</t>
        </is>
      </c>
      <c r="C1032" s="10" t="inlineStr">
        <is>
          <t>F009100 Nutzungsrechte Gebaeude</t>
        </is>
      </c>
      <c r="D1032" s="8" t="n">
        <v>226519.48</v>
      </c>
      <c r="E1032" s="8" t="n">
        <v>4</v>
      </c>
      <c r="F1032" s="8" t="n">
        <v>230</v>
      </c>
      <c r="G1032" s="10" t="n"/>
      <c r="H1032" s="10" t="inlineStr">
        <is>
          <t>F009100</t>
        </is>
      </c>
    </row>
    <row r="1033" ht="21" customHeight="1">
      <c r="A1033" s="10" t="inlineStr">
        <is>
          <t>K</t>
        </is>
      </c>
      <c r="B1033" s="10" t="inlineStr">
        <is>
          <t>0091300020</t>
        </is>
      </c>
      <c r="C1033" s="10" t="inlineStr">
        <is>
          <t>F033000 Nutzungsrechte Fahrzeuge</t>
        </is>
      </c>
      <c r="D1033" s="8" t="n">
        <v>577216.4</v>
      </c>
      <c r="E1033" s="8" t="n">
        <v>4</v>
      </c>
      <c r="F1033" s="8" t="n">
        <v>231</v>
      </c>
      <c r="G1033" s="10" t="n"/>
      <c r="H1033" s="10" t="inlineStr">
        <is>
          <t>F033000</t>
        </is>
      </c>
    </row>
    <row r="1034" ht="21" customHeight="1">
      <c r="A1034" s="10" t="inlineStr">
        <is>
          <t>K</t>
        </is>
      </c>
      <c r="B1034" s="10" t="inlineStr">
        <is>
          <t>0091300020</t>
        </is>
      </c>
      <c r="C1034" s="10" t="inlineStr">
        <is>
          <t>F049002 Nutzungsrechte sonstige BGA</t>
        </is>
      </c>
      <c r="D1034" s="8" t="n">
        <v>139153.41</v>
      </c>
      <c r="E1034" s="8" t="n">
        <v>4</v>
      </c>
      <c r="F1034" s="8" t="n">
        <v>232</v>
      </c>
      <c r="G1034" s="10" t="n"/>
      <c r="H1034" s="10" t="inlineStr">
        <is>
          <t>F049002</t>
        </is>
      </c>
    </row>
    <row r="1035" ht="21" customHeight="1">
      <c r="A1035" s="10" t="inlineStr">
        <is>
          <t>K</t>
        </is>
      </c>
      <c r="B1035" s="10" t="inlineStr">
        <is>
          <t>0091300020</t>
        </is>
      </c>
      <c r="C1035" s="10" t="inlineStr">
        <is>
          <t>F049951 Bestände unfertige Erzeugnisse</t>
        </is>
      </c>
      <c r="D1035" s="8" t="n">
        <v>-3770560.69</v>
      </c>
      <c r="E1035" s="8" t="n">
        <v>4</v>
      </c>
      <c r="F1035" s="8" t="n">
        <v>233</v>
      </c>
      <c r="G1035" s="10" t="n"/>
      <c r="H1035" s="10" t="inlineStr">
        <is>
          <t>F049951</t>
        </is>
      </c>
    </row>
    <row r="1036" ht="21" customHeight="1">
      <c r="A1036" s="10" t="inlineStr">
        <is>
          <t>K</t>
        </is>
      </c>
      <c r="B1036" s="10" t="inlineStr">
        <is>
          <t>0091300020</t>
        </is>
      </c>
      <c r="C1036" s="10" t="inlineStr">
        <is>
          <t>F049956 WB Bestände unfertige Erzeugnisse</t>
        </is>
      </c>
      <c r="D1036" s="8" t="n">
        <v>1612745.46</v>
      </c>
      <c r="E1036" s="8" t="n">
        <v>4</v>
      </c>
      <c r="F1036" s="8" t="n">
        <v>234</v>
      </c>
      <c r="G1036" s="10" t="n"/>
      <c r="H1036" s="10" t="inlineStr">
        <is>
          <t>F049956</t>
        </is>
      </c>
    </row>
    <row r="1037" ht="21" customHeight="1">
      <c r="A1037" s="10" t="inlineStr">
        <is>
          <t>K</t>
        </is>
      </c>
      <c r="B1037" s="10" t="inlineStr">
        <is>
          <t>0091300020</t>
        </is>
      </c>
      <c r="C1037" s="10" t="inlineStr">
        <is>
          <t>F085500 Andere Gewinnrücklagen</t>
        </is>
      </c>
      <c r="D1037" s="8" t="n">
        <v>-173000</v>
      </c>
      <c r="E1037" s="8" t="n">
        <v>4</v>
      </c>
      <c r="F1037" s="8" t="n">
        <v>235</v>
      </c>
      <c r="G1037" s="10" t="n"/>
      <c r="H1037" s="10" t="inlineStr">
        <is>
          <t>F085500</t>
        </is>
      </c>
    </row>
    <row r="1038" ht="21" customHeight="1">
      <c r="A1038" s="10" t="inlineStr">
        <is>
          <t>K</t>
        </is>
      </c>
      <c r="B1038" s="10" t="inlineStr">
        <is>
          <t>0091300020</t>
        </is>
      </c>
      <c r="C1038" s="10" t="inlineStr">
        <is>
          <t>F086800 Gewinn- oder Verlustvortrag (IFRS)</t>
        </is>
      </c>
      <c r="D1038" s="8" t="n">
        <v>2699066.61</v>
      </c>
      <c r="E1038" s="8" t="n">
        <v>4</v>
      </c>
      <c r="F1038" s="8" t="n">
        <v>236</v>
      </c>
      <c r="G1038" s="10" t="n"/>
      <c r="H1038" s="10" t="inlineStr">
        <is>
          <t>F086800</t>
        </is>
      </c>
    </row>
    <row r="1039" ht="21" customHeight="1">
      <c r="A1039" s="10" t="inlineStr">
        <is>
          <t>K</t>
        </is>
      </c>
      <c r="B1039" s="10" t="inlineStr">
        <is>
          <t>0091300020</t>
        </is>
      </c>
      <c r="C1039" s="10" t="inlineStr">
        <is>
          <t>F095550 Rückstellung latente Steuern &gt; 1 Jahr</t>
        </is>
      </c>
      <c r="D1039" s="8" t="n">
        <v>-509383</v>
      </c>
      <c r="E1039" s="8" t="n">
        <v>4</v>
      </c>
      <c r="F1039" s="8" t="n">
        <v>237</v>
      </c>
      <c r="G1039" s="10" t="n"/>
      <c r="H1039" s="10" t="inlineStr">
        <is>
          <t>F095550</t>
        </is>
      </c>
    </row>
    <row r="1040" ht="21" customHeight="1">
      <c r="A1040" s="10" t="inlineStr">
        <is>
          <t>K</t>
        </is>
      </c>
      <c r="B1040" s="10" t="inlineStr">
        <is>
          <t>0091300020</t>
        </is>
      </c>
      <c r="C1040" s="10" t="inlineStr">
        <is>
          <t>F098100 Akt. Latente Steuern</t>
        </is>
      </c>
      <c r="D1040" s="8" t="n">
        <v>644443</v>
      </c>
      <c r="E1040" s="8" t="n">
        <v>4</v>
      </c>
      <c r="F1040" s="8" t="n">
        <v>238</v>
      </c>
      <c r="G1040" s="10" t="n"/>
      <c r="H1040" s="10" t="inlineStr">
        <is>
          <t>F098100</t>
        </is>
      </c>
    </row>
    <row r="1041" ht="21" customHeight="1">
      <c r="A1041" s="10" t="inlineStr">
        <is>
          <t>K</t>
        </is>
      </c>
      <c r="B1041" s="10" t="inlineStr">
        <is>
          <t>0091300020</t>
        </is>
      </c>
      <c r="C1041" s="10" t="inlineStr">
        <is>
          <t>F098110 Aktive latente Steuern auf Verlustvorträge</t>
        </is>
      </c>
      <c r="D1041" s="8" t="n">
        <v>105330</v>
      </c>
      <c r="E1041" s="8" t="n">
        <v>4</v>
      </c>
      <c r="F1041" s="8" t="n">
        <v>239</v>
      </c>
      <c r="G1041" s="10" t="n"/>
      <c r="H1041" s="10" t="inlineStr">
        <is>
          <t>F098110</t>
        </is>
      </c>
    </row>
    <row r="1042" ht="21" customHeight="1">
      <c r="A1042" s="10" t="inlineStr">
        <is>
          <t>K</t>
        </is>
      </c>
      <c r="B1042" s="10" t="inlineStr">
        <is>
          <t>0091300020</t>
        </is>
      </c>
      <c r="C1042" s="10" t="inlineStr">
        <is>
          <t>F099610 ECL auf Vertragsvermögenswerte</t>
        </is>
      </c>
      <c r="D1042" s="8" t="n">
        <v>-19038.19</v>
      </c>
      <c r="E1042" s="8" t="n">
        <v>4</v>
      </c>
      <c r="F1042" s="8" t="n">
        <v>240</v>
      </c>
      <c r="G1042" s="10" t="n"/>
      <c r="H1042" s="10" t="inlineStr">
        <is>
          <t>F099610</t>
        </is>
      </c>
    </row>
    <row r="1043" ht="21" customHeight="1">
      <c r="A1043" s="10" t="inlineStr">
        <is>
          <t>K</t>
        </is>
      </c>
      <c r="B1043" s="10" t="inlineStr">
        <is>
          <t>0091300020</t>
        </is>
      </c>
      <c r="C1043" s="10" t="inlineStr">
        <is>
          <t>F153905 Forderungen aus POC-Aufträgen &lt; 1 Jahr</t>
        </is>
      </c>
      <c r="D1043" s="8" t="n">
        <v>1797400</v>
      </c>
      <c r="E1043" s="8" t="n">
        <v>4</v>
      </c>
      <c r="F1043" s="8" t="n">
        <v>241</v>
      </c>
      <c r="G1043" s="10" t="n"/>
      <c r="H1043" s="10" t="inlineStr">
        <is>
          <t>F153905</t>
        </is>
      </c>
    </row>
    <row r="1044" ht="21" customHeight="1">
      <c r="A1044" s="10" t="inlineStr">
        <is>
          <t>K</t>
        </is>
      </c>
      <c r="B1044" s="10" t="inlineStr">
        <is>
          <t>0091300020</t>
        </is>
      </c>
      <c r="C1044" s="10" t="inlineStr">
        <is>
          <t>F170202 Verbindlichkeiten aus Leasing RLZ &lt; 1 Jahr</t>
        </is>
      </c>
      <c r="D1044" s="8" t="n">
        <v>-1252734.93</v>
      </c>
      <c r="E1044" s="8" t="n">
        <v>4</v>
      </c>
      <c r="F1044" s="8" t="n">
        <v>242</v>
      </c>
      <c r="G1044" s="10" t="n"/>
      <c r="H1044" s="10" t="inlineStr">
        <is>
          <t>F170202</t>
        </is>
      </c>
    </row>
    <row r="1045" ht="21" customHeight="1">
      <c r="A1045" s="10" t="inlineStr">
        <is>
          <t>K</t>
        </is>
      </c>
      <c r="B1045" s="10" t="inlineStr">
        <is>
          <t>0091300020</t>
        </is>
      </c>
      <c r="C1045" s="10" t="inlineStr">
        <is>
          <t>F170593 Verbindlichkeiten aus POC-Aufträgen &lt; 1 Jahr</t>
        </is>
      </c>
      <c r="D1045" s="8" t="n">
        <v>-84700</v>
      </c>
      <c r="E1045" s="8" t="n">
        <v>4</v>
      </c>
      <c r="F1045" s="8" t="n">
        <v>243</v>
      </c>
      <c r="G1045" s="10" t="n"/>
      <c r="H1045" s="10" t="inlineStr">
        <is>
          <t>F170593</t>
        </is>
      </c>
    </row>
    <row r="1046" ht="21" customHeight="1">
      <c r="A1046" s="10" t="inlineStr">
        <is>
          <t>K</t>
        </is>
      </c>
      <c r="B1046" s="10" t="inlineStr">
        <is>
          <t>0091300020</t>
        </is>
      </c>
      <c r="C1046" s="10" t="inlineStr">
        <is>
          <t>F900026 Forderungen L+L ( RLZ &gt; 1Jahr )</t>
        </is>
      </c>
      <c r="D1046" s="8" t="n">
        <v>360400</v>
      </c>
      <c r="E1046" s="8" t="n">
        <v>4</v>
      </c>
      <c r="F1046" s="8" t="n">
        <v>244</v>
      </c>
      <c r="G1046" s="10" t="n"/>
      <c r="H1046" s="10" t="inlineStr">
        <is>
          <t>F900026</t>
        </is>
      </c>
    </row>
    <row r="1047" ht="21" customHeight="1">
      <c r="A1047" s="10" t="inlineStr">
        <is>
          <t>K</t>
        </is>
      </c>
      <c r="B1047" s="10" t="inlineStr">
        <is>
          <t>0091300020</t>
        </is>
      </c>
      <c r="C1047" s="10" t="inlineStr">
        <is>
          <t>F900108 Mietkaufverbindlichkeiten (Korrekturkonto)</t>
        </is>
      </c>
      <c r="D1047" s="8" t="n">
        <v>844597.14</v>
      </c>
      <c r="E1047" s="8" t="n">
        <v>4</v>
      </c>
      <c r="F1047" s="8" t="n">
        <v>245</v>
      </c>
      <c r="G1047" s="10" t="n"/>
      <c r="H1047" s="10" t="inlineStr">
        <is>
          <t>F900108</t>
        </is>
      </c>
    </row>
    <row r="1048" ht="21" customHeight="1">
      <c r="A1048" s="10" t="inlineStr">
        <is>
          <t>K</t>
        </is>
      </c>
      <c r="B1048" s="10" t="inlineStr">
        <is>
          <t>0091300020</t>
        </is>
      </c>
      <c r="C1048" s="10" t="inlineStr">
        <is>
          <t>F900109 Mietkaufverbindlichkeiten  (RLZ 1-5 Jahre)</t>
        </is>
      </c>
      <c r="D1048" s="8" t="n">
        <v>-668169.13</v>
      </c>
      <c r="E1048" s="8" t="n">
        <v>4</v>
      </c>
      <c r="F1048" s="8" t="n">
        <v>246</v>
      </c>
      <c r="G1048" s="10" t="n"/>
      <c r="H1048" s="10" t="inlineStr">
        <is>
          <t>F900109</t>
        </is>
      </c>
    </row>
    <row r="1049" ht="21" customHeight="1">
      <c r="A1049" s="10" t="inlineStr">
        <is>
          <t>K</t>
        </is>
      </c>
      <c r="B1049" s="10" t="inlineStr">
        <is>
          <t>0091300020</t>
        </is>
      </c>
      <c r="C1049" s="10" t="inlineStr">
        <is>
          <t>F900110 Mietkaufverbindlichkeiten (RLZ &gt; 5 Jahre)</t>
        </is>
      </c>
      <c r="D1049" s="8" t="n">
        <v>-176428.01</v>
      </c>
      <c r="E1049" s="8" t="n">
        <v>4</v>
      </c>
      <c r="F1049" s="8" t="n">
        <v>247</v>
      </c>
      <c r="G1049" s="10" t="n"/>
      <c r="H1049" s="10" t="inlineStr">
        <is>
          <t>F900110</t>
        </is>
      </c>
    </row>
    <row r="1050" ht="21" customHeight="1">
      <c r="A1050" s="10" t="inlineStr">
        <is>
          <t>K</t>
        </is>
      </c>
      <c r="B1050" s="10" t="inlineStr">
        <is>
          <t>0091300020</t>
        </is>
      </c>
      <c r="C1050" s="10" t="inlineStr">
        <is>
          <t>F999910 Übernahmekonto Salden Sachkonten</t>
        </is>
      </c>
      <c r="D1050" s="8" t="n">
        <v>-2702877.8</v>
      </c>
      <c r="E1050" s="8" t="n">
        <v>4</v>
      </c>
      <c r="F1050" s="8" t="n">
        <v>248</v>
      </c>
      <c r="G1050" s="10" t="n"/>
      <c r="H1050" s="10" t="inlineStr">
        <is>
          <t>F999910</t>
        </is>
      </c>
    </row>
    <row r="1051" ht="21" customHeight="1">
      <c r="A1051" s="10" t="inlineStr">
        <is>
          <t>P</t>
        </is>
      </c>
      <c r="B1051" s="10" t="inlineStr">
        <is>
          <t>0091300020</t>
        </is>
      </c>
      <c r="C1051" s="10" t="inlineStr">
        <is>
          <t>Summe IFRS Konten</t>
        </is>
      </c>
      <c r="D1051" s="8" t="n">
        <v>0</v>
      </c>
      <c r="E1051" s="8" t="n">
        <v>3</v>
      </c>
      <c r="F1051" s="8" t="n">
        <v>249</v>
      </c>
      <c r="G1051" s="10" t="b">
        <v>1</v>
      </c>
      <c r="H1051" s="10" t="n"/>
    </row>
    <row r="1052" ht="21" customHeight="1">
      <c r="A1052" s="10" t="inlineStr">
        <is>
          <t>P</t>
        </is>
      </c>
      <c r="B1052" s="10" t="inlineStr">
        <is>
          <t>0090000000</t>
        </is>
      </c>
      <c r="C1052" s="10" t="inlineStr">
        <is>
          <t>Summe Anhang</t>
        </is>
      </c>
      <c r="D1052" s="8" t="n">
        <v>0</v>
      </c>
      <c r="E1052" s="8" t="n">
        <v>2</v>
      </c>
      <c r="F1052" s="8" t="n">
        <v>250</v>
      </c>
      <c r="G1052" s="10" t="b">
        <v>1</v>
      </c>
      <c r="H1052" s="10" t="n"/>
    </row>
    <row r="1056" ht="24" customHeight="1">
      <c r="A1056" s="58" t="inlineStr">
        <is>
          <t>v_monat_ampel</t>
        </is>
      </c>
    </row>
    <row r="1057" ht="36" customHeight="1">
      <c r="A1057" s="3" t="inlineStr">
        <is>
          <t>jahr</t>
        </is>
      </c>
      <c r="B1057" s="3" t="inlineStr">
        <is>
          <t>monat</t>
        </is>
      </c>
      <c r="C1057" s="3" t="inlineStr">
        <is>
          <t>belege</t>
        </is>
      </c>
      <c r="D1057" s="3" t="inlineStr">
        <is>
          <t>fuellgrad</t>
        </is>
      </c>
      <c r="E1057" s="3" t="inlineStr">
        <is>
          <t>lohn_gebucht</t>
        </is>
      </c>
      <c r="F1057" s="3" t="inlineStr">
        <is>
          <t>co_gebucht</t>
        </is>
      </c>
      <c r="G1057" s="3" t="inlineStr">
        <is>
          <t>freigabe</t>
        </is>
      </c>
      <c r="H1057" s="3" t="inlineStr">
        <is>
          <t>belastbar_effektiv</t>
        </is>
      </c>
      <c r="I1057" s="3" t="inlineStr">
        <is>
          <t>umsatz</t>
        </is>
      </c>
      <c r="J1057" s="3" t="inlineStr">
        <is>
          <t>bestand</t>
        </is>
      </c>
      <c r="K1057" s="3" t="inlineStr">
        <is>
          <t>personal</t>
        </is>
      </c>
      <c r="L1057" s="3" t="inlineStr">
        <is>
          <t>ergebnis</t>
        </is>
      </c>
      <c r="M1057" s="3" t="inlineStr">
        <is>
          <t>sap_bericht</t>
        </is>
      </c>
      <c r="N1057" s="3" t="inlineStr">
        <is>
          <t>abweichend</t>
        </is>
      </c>
      <c r="O1057" s="3" t="inlineStr">
        <is>
          <t>max_differenz</t>
        </is>
      </c>
      <c r="P1057" s="3" t="inlineStr">
        <is>
          <t>ampel</t>
        </is>
      </c>
      <c r="Q1057" s="3" t="inlineStr">
        <is>
          <t>hinweis</t>
        </is>
      </c>
      <c r="R1057" s="3" t="inlineStr">
        <is>
          <t>quelle</t>
        </is>
      </c>
      <c r="S1057" s="3" t="inlineStr">
        <is>
          <t>belege_journal</t>
        </is>
      </c>
      <c r="T1057" s="3" t="inlineStr">
        <is>
          <t>belege_fi</t>
        </is>
      </c>
      <c r="U1057" s="3" t="inlineStr">
        <is>
          <t>belege_sap</t>
        </is>
      </c>
    </row>
    <row r="1058" ht="21" customHeight="1">
      <c r="A1058" s="7" t="n">
        <v>2026</v>
      </c>
      <c r="B1058" s="7" t="n">
        <v>1</v>
      </c>
      <c r="C1058" s="7" t="n">
        <v>4079</v>
      </c>
      <c r="D1058" s="8" t="n">
        <v>83</v>
      </c>
      <c r="E1058" s="10" t="b">
        <v>1</v>
      </c>
      <c r="F1058" s="10" t="b">
        <v>1</v>
      </c>
      <c r="G1058" s="10" t="b">
        <v>1</v>
      </c>
      <c r="H1058" s="10" t="b">
        <v>1</v>
      </c>
      <c r="I1058" s="8" t="n">
        <v>639565.45</v>
      </c>
      <c r="J1058" s="8" t="n">
        <v>1280847.26</v>
      </c>
      <c r="K1058" s="8" t="n">
        <v>-338608.8</v>
      </c>
      <c r="L1058" s="8" t="n">
        <v>274732.25</v>
      </c>
      <c r="M1058" s="10" t="b">
        <v>1</v>
      </c>
      <c r="N1058" s="8" t="n">
        <v>2</v>
      </c>
      <c r="O1058" s="8" t="n">
        <v>23951.51</v>
      </c>
      <c r="P1058" s="10" t="inlineStr">
        <is>
          <t>GELB</t>
        </is>
      </c>
      <c r="Q1058" s="10" t="inlineStr">
        <is>
          <t>manuell freigegeben · 2 Gruppe/n weichen ab (max 24 T€)</t>
        </is>
      </c>
      <c r="R1058" s="10" t="inlineStr">
        <is>
          <t>CO</t>
        </is>
      </c>
      <c r="S1058" s="7" t="n">
        <v>1454</v>
      </c>
      <c r="T1058" s="7" t="n">
        <v>4079</v>
      </c>
      <c r="U1058" s="7" t="n">
        <v>2029</v>
      </c>
    </row>
    <row r="1059" ht="21" customHeight="1">
      <c r="A1059" s="7" t="n">
        <v>2026</v>
      </c>
      <c r="B1059" s="7" t="n">
        <v>2</v>
      </c>
      <c r="C1059" s="7" t="n">
        <v>4768</v>
      </c>
      <c r="D1059" s="8" t="n">
        <v>97</v>
      </c>
      <c r="E1059" s="10" t="b">
        <v>1</v>
      </c>
      <c r="F1059" s="10" t="b">
        <v>1</v>
      </c>
      <c r="G1059" s="10" t="b">
        <v>1</v>
      </c>
      <c r="H1059" s="10" t="b">
        <v>1</v>
      </c>
      <c r="I1059" s="8" t="n">
        <v>2777244.65</v>
      </c>
      <c r="J1059" s="8" t="n">
        <v>-200176.92</v>
      </c>
      <c r="K1059" s="8" t="n">
        <v>-363244</v>
      </c>
      <c r="L1059" s="8" t="n">
        <v>298238.23</v>
      </c>
      <c r="M1059" s="10" t="b">
        <v>1</v>
      </c>
      <c r="N1059" s="8" t="n">
        <v>2</v>
      </c>
      <c r="O1059" s="8" t="n">
        <v>48702.63</v>
      </c>
      <c r="P1059" s="10" t="inlineStr">
        <is>
          <t>GELB</t>
        </is>
      </c>
      <c r="Q1059" s="10" t="inlineStr">
        <is>
          <t>manuell freigegeben · 2 Gruppe/n weichen ab (max 49 T€)</t>
        </is>
      </c>
      <c r="R1059" s="10" t="inlineStr">
        <is>
          <t>CO</t>
        </is>
      </c>
      <c r="S1059" s="7" t="n">
        <v>1847</v>
      </c>
      <c r="T1059" s="7" t="n">
        <v>4768</v>
      </c>
      <c r="U1059" s="7" t="n">
        <v>2483</v>
      </c>
    </row>
    <row r="1060" ht="21" customHeight="1">
      <c r="A1060" s="7" t="n">
        <v>2026</v>
      </c>
      <c r="B1060" s="7" t="n">
        <v>3</v>
      </c>
      <c r="C1060" s="7" t="n">
        <v>5430</v>
      </c>
      <c r="D1060" s="8" t="n">
        <v>111</v>
      </c>
      <c r="E1060" s="10" t="b">
        <v>1</v>
      </c>
      <c r="F1060" s="10" t="b">
        <v>1</v>
      </c>
      <c r="G1060" s="10" t="b">
        <v>1</v>
      </c>
      <c r="H1060" s="10" t="b">
        <v>1</v>
      </c>
      <c r="I1060" s="8" t="n">
        <v>1213541.38</v>
      </c>
      <c r="J1060" s="8" t="n">
        <v>1198671.49</v>
      </c>
      <c r="K1060" s="8" t="n">
        <v>-383792.43</v>
      </c>
      <c r="L1060" s="8" t="n">
        <v>-8831.02</v>
      </c>
      <c r="M1060" s="10" t="b">
        <v>1</v>
      </c>
      <c r="N1060" s="8" t="n">
        <v>2</v>
      </c>
      <c r="O1060" s="8" t="n">
        <v>74192.06</v>
      </c>
      <c r="P1060" s="10" t="inlineStr">
        <is>
          <t>GELB</t>
        </is>
      </c>
      <c r="Q1060" s="10" t="inlineStr">
        <is>
          <t>manuell freigegeben · 2 Gruppe/n weichen ab (max 74 T€)</t>
        </is>
      </c>
      <c r="R1060" s="10" t="inlineStr">
        <is>
          <t>CO</t>
        </is>
      </c>
      <c r="S1060" s="7" t="n">
        <v>2085</v>
      </c>
      <c r="T1060" s="7" t="n">
        <v>5430</v>
      </c>
      <c r="U1060" s="7" t="n">
        <v>2844</v>
      </c>
    </row>
    <row r="1061" ht="21" customHeight="1">
      <c r="A1061" s="7" t="n">
        <v>2026</v>
      </c>
      <c r="B1061" s="7" t="n">
        <v>4</v>
      </c>
      <c r="C1061" s="7" t="n">
        <v>5281</v>
      </c>
      <c r="D1061" s="8" t="n">
        <v>108</v>
      </c>
      <c r="E1061" s="10" t="b">
        <v>1</v>
      </c>
      <c r="F1061" s="10" t="b">
        <v>1</v>
      </c>
      <c r="G1061" s="10" t="b">
        <v>1</v>
      </c>
      <c r="H1061" s="10" t="b">
        <v>1</v>
      </c>
      <c r="I1061" s="8" t="n">
        <v>678343.59</v>
      </c>
      <c r="J1061" s="8" t="n">
        <v>1261219.89</v>
      </c>
      <c r="K1061" s="8" t="n">
        <v>-383705.5</v>
      </c>
      <c r="L1061" s="8" t="n">
        <v>-202827.31</v>
      </c>
      <c r="M1061" s="10" t="b">
        <v>1</v>
      </c>
      <c r="N1061" s="8" t="n">
        <v>2</v>
      </c>
      <c r="O1061" s="8" t="n">
        <v>100746.67</v>
      </c>
      <c r="P1061" s="10" t="inlineStr">
        <is>
          <t>GELB</t>
        </is>
      </c>
      <c r="Q1061" s="10" t="inlineStr">
        <is>
          <t>manuell freigegeben · 2 Gruppe/n weichen ab (max 101 T€)</t>
        </is>
      </c>
      <c r="R1061" s="10" t="inlineStr">
        <is>
          <t>CO</t>
        </is>
      </c>
      <c r="S1061" s="7" t="n">
        <v>2054</v>
      </c>
      <c r="T1061" s="7" t="n">
        <v>5281</v>
      </c>
      <c r="U1061" s="7" t="n">
        <v>2674</v>
      </c>
    </row>
    <row r="1062" ht="21" customHeight="1">
      <c r="A1062" s="7" t="n">
        <v>2026</v>
      </c>
      <c r="B1062" s="7" t="n">
        <v>5</v>
      </c>
      <c r="C1062" s="7" t="n">
        <v>4878</v>
      </c>
      <c r="D1062" s="8" t="n">
        <v>99</v>
      </c>
      <c r="E1062" s="10" t="b">
        <v>1</v>
      </c>
      <c r="F1062" s="10" t="b">
        <v>1</v>
      </c>
      <c r="G1062" s="10" t="b">
        <v>1</v>
      </c>
      <c r="H1062" s="10" t="b">
        <v>1</v>
      </c>
      <c r="I1062" s="8" t="n">
        <v>1347585.48</v>
      </c>
      <c r="J1062" s="8" t="n">
        <v>-263604.09</v>
      </c>
      <c r="K1062" s="8" t="n">
        <v>-432453.34</v>
      </c>
      <c r="L1062" s="8" t="n">
        <v>-169050.97</v>
      </c>
      <c r="M1062" s="10" t="b">
        <v>1</v>
      </c>
      <c r="N1062" s="8" t="n">
        <v>2</v>
      </c>
      <c r="O1062" s="8" t="n">
        <v>130151.66</v>
      </c>
      <c r="P1062" s="10" t="inlineStr">
        <is>
          <t>GELB</t>
        </is>
      </c>
      <c r="Q1062" s="10" t="inlineStr">
        <is>
          <t>manuell freigegeben · 2 Gruppe/n weichen ab (max 130 T€)</t>
        </is>
      </c>
      <c r="R1062" s="10" t="inlineStr">
        <is>
          <t>CO</t>
        </is>
      </c>
      <c r="S1062" s="7" t="n">
        <v>1912</v>
      </c>
      <c r="T1062" s="7" t="n">
        <v>4878</v>
      </c>
      <c r="U1062" s="7" t="n">
        <v>2476</v>
      </c>
    </row>
    <row r="1063" ht="21" customHeight="1">
      <c r="A1063" s="7" t="n">
        <v>2026</v>
      </c>
      <c r="B1063" s="7" t="n">
        <v>6</v>
      </c>
      <c r="C1063" s="7" t="n">
        <v>5044</v>
      </c>
      <c r="D1063" s="8" t="n">
        <v>103</v>
      </c>
      <c r="E1063" s="10" t="b">
        <v>1</v>
      </c>
      <c r="F1063" s="10" t="b">
        <v>1</v>
      </c>
      <c r="G1063" s="10" t="b">
        <v>1</v>
      </c>
      <c r="H1063" s="10" t="b">
        <v>1</v>
      </c>
      <c r="I1063" s="8" t="n">
        <v>2470042.1</v>
      </c>
      <c r="J1063" s="8" t="n">
        <v>314645.23</v>
      </c>
      <c r="K1063" s="8" t="n">
        <v>-378900.06</v>
      </c>
      <c r="L1063" s="8" t="n">
        <v>36677.58</v>
      </c>
      <c r="M1063" s="10" t="b">
        <v>1</v>
      </c>
      <c r="N1063" s="8" t="n">
        <v>2</v>
      </c>
      <c r="O1063" s="8" t="n">
        <v>155194.77</v>
      </c>
      <c r="P1063" s="10" t="inlineStr">
        <is>
          <t>GELB</t>
        </is>
      </c>
      <c r="Q1063" s="10" t="inlineStr">
        <is>
          <t>manuell freigegeben · 2 Gruppe/n weichen ab (max 155 T€)</t>
        </is>
      </c>
      <c r="R1063" s="10" t="inlineStr">
        <is>
          <t>CO</t>
        </is>
      </c>
      <c r="S1063" s="7" t="n">
        <v>2057</v>
      </c>
      <c r="T1063" s="7" t="n">
        <v>5044</v>
      </c>
      <c r="U1063" s="7" t="n">
        <v>2517</v>
      </c>
    </row>
    <row r="1064" ht="21" customHeight="1">
      <c r="A1064" s="7" t="n">
        <v>2026</v>
      </c>
      <c r="B1064" s="7" t="n">
        <v>7</v>
      </c>
      <c r="C1064" s="7" t="n">
        <v>5450</v>
      </c>
      <c r="D1064" s="8" t="n">
        <v>111</v>
      </c>
      <c r="E1064" s="10" t="b">
        <v>1</v>
      </c>
      <c r="F1064" s="10" t="b">
        <v>1</v>
      </c>
      <c r="G1064" s="10" t="b">
        <v>1</v>
      </c>
      <c r="H1064" s="10" t="b">
        <v>1</v>
      </c>
      <c r="I1064" s="8" t="n">
        <v>1323928.2</v>
      </c>
      <c r="J1064" s="8" t="n">
        <v>294716.46</v>
      </c>
      <c r="K1064" s="8" t="n">
        <v>-390395</v>
      </c>
      <c r="L1064" s="8" t="n">
        <v>-531284.6</v>
      </c>
      <c r="M1064" s="10" t="b">
        <v>1</v>
      </c>
      <c r="N1064" s="8" t="n">
        <v>0</v>
      </c>
      <c r="O1064" s="8" t="n">
        <v>0</v>
      </c>
      <c r="P1064" s="10" t="inlineStr">
        <is>
          <t>GRUEN</t>
        </is>
      </c>
      <c r="Q1064" s="10" t="inlineStr">
        <is>
          <t>manuell freigegeben · SAP-Abgleich stimmt</t>
        </is>
      </c>
      <c r="R1064" s="10" t="inlineStr">
        <is>
          <t>CO</t>
        </is>
      </c>
      <c r="S1064" s="7" t="n">
        <v>1982</v>
      </c>
      <c r="T1064" s="7" t="n">
        <v>5450</v>
      </c>
      <c r="U1064" s="7" t="n">
        <v>2773</v>
      </c>
    </row>
    <row r="1065" ht="21" customHeight="1">
      <c r="A1065" s="7" t="n">
        <v>2026</v>
      </c>
      <c r="B1065" s="7" t="n">
        <v>8</v>
      </c>
      <c r="C1065" s="7" t="n">
        <v>4907</v>
      </c>
      <c r="D1065" s="8" t="n">
        <v>100</v>
      </c>
      <c r="E1065" s="10" t="b">
        <v>1</v>
      </c>
      <c r="F1065" s="10" t="b">
        <v>1</v>
      </c>
      <c r="G1065" s="10" t="b">
        <v>1</v>
      </c>
      <c r="H1065" s="10" t="b">
        <v>1</v>
      </c>
      <c r="I1065" s="8" t="n">
        <v>854339.84</v>
      </c>
      <c r="J1065" s="8" t="n">
        <v>1022525.14</v>
      </c>
      <c r="K1065" s="8" t="n">
        <v>-399129.54</v>
      </c>
      <c r="L1065" s="8" t="n">
        <v>-158285.49</v>
      </c>
      <c r="M1065" s="10" t="b">
        <v>1</v>
      </c>
      <c r="N1065" s="8" t="n">
        <v>4</v>
      </c>
      <c r="O1065" s="8" t="n">
        <v>127500</v>
      </c>
      <c r="P1065" s="10" t="inlineStr">
        <is>
          <t>GELB</t>
        </is>
      </c>
      <c r="Q1065" s="10" t="inlineStr">
        <is>
          <t>GuV aus FI-Konten (CO-Export unvollständig – Projektsicht wartet) · manuell freigegeben · 4 Gruppe/n weichen ab (max 128 T€)</t>
        </is>
      </c>
      <c r="R1065" s="10" t="inlineStr">
        <is>
          <t>FI</t>
        </is>
      </c>
      <c r="S1065" s="7" t="n">
        <v>1114</v>
      </c>
      <c r="T1065" s="7" t="n">
        <v>4907</v>
      </c>
      <c r="U1065" s="7" t="n">
        <v>468</v>
      </c>
    </row>
    <row r="1066" ht="21" customHeight="1">
      <c r="A1066" s="7" t="n">
        <v>2026</v>
      </c>
      <c r="B1066" s="7" t="n">
        <v>9</v>
      </c>
      <c r="C1066" s="7" t="n">
        <v>3575</v>
      </c>
      <c r="D1066" s="8" t="n">
        <v>73</v>
      </c>
      <c r="E1066" s="10" t="b">
        <v>1</v>
      </c>
      <c r="F1066" s="10" t="b">
        <v>1</v>
      </c>
      <c r="G1066" s="10" t="n"/>
      <c r="H1066" s="10" t="b">
        <v>0</v>
      </c>
      <c r="I1066" s="8" t="n">
        <v>885382.71</v>
      </c>
      <c r="J1066" s="8" t="n"/>
      <c r="K1066" s="8" t="n">
        <v>-356776.51</v>
      </c>
      <c r="L1066" s="8" t="n">
        <v>-1141051.22</v>
      </c>
      <c r="M1066" s="10" t="b">
        <v>0</v>
      </c>
      <c r="N1066" s="8" t="n"/>
      <c r="O1066" s="8" t="n"/>
      <c r="P1066" s="10" t="inlineStr">
        <is>
          <t>GELB</t>
        </is>
      </c>
      <c r="Q1066" s="10" t="inlineStr">
        <is>
          <t>FI geladen, Monat bleibt Forecast bis zur Freigabe · SAP-Bericht nicht geladen</t>
        </is>
      </c>
      <c r="R1066" s="10" t="inlineStr">
        <is>
          <t>FI</t>
        </is>
      </c>
      <c r="S1066" s="7" t="n">
        <v>839</v>
      </c>
      <c r="T1066" s="7" t="n">
        <v>3575</v>
      </c>
      <c r="U1066" s="7" t="n">
        <v>320</v>
      </c>
    </row>
    <row r="1070" ht="24" customHeight="1">
      <c r="A1070" s="58" t="inlineStr">
        <is>
          <t>v_guv_abgleich_sap</t>
        </is>
      </c>
    </row>
    <row r="1071" ht="36" customHeight="1">
      <c r="A1071" s="3" t="inlineStr">
        <is>
          <t>jahr</t>
        </is>
      </c>
      <c r="B1071" s="3" t="inlineStr">
        <is>
          <t>periode</t>
        </is>
      </c>
      <c r="C1071" s="3" t="inlineStr">
        <is>
          <t>sortierung</t>
        </is>
      </c>
      <c r="D1071" s="3" t="inlineStr">
        <is>
          <t>guv_gruppe</t>
        </is>
      </c>
      <c r="E1071" s="3" t="inlineStr">
        <is>
          <t>sap_monat</t>
        </is>
      </c>
      <c r="F1071" s="3" t="inlineStr">
        <is>
          <t>staffel_monat</t>
        </is>
      </c>
      <c r="G1071" s="3" t="inlineStr">
        <is>
          <t>differenz</t>
        </is>
      </c>
      <c r="H1071" s="3" t="inlineStr">
        <is>
          <t>sap_ytd</t>
        </is>
      </c>
      <c r="I1071" s="3" t="inlineStr">
        <is>
          <t>staffel_ytd</t>
        </is>
      </c>
      <c r="J1071" s="3" t="inlineStr">
        <is>
          <t>stimmt</t>
        </is>
      </c>
    </row>
    <row r="1072" ht="21" customHeight="1">
      <c r="A1072" s="7" t="n">
        <v>2026</v>
      </c>
      <c r="B1072" s="8" t="n">
        <v>1</v>
      </c>
      <c r="C1072" s="7" t="n">
        <v>10</v>
      </c>
      <c r="D1072" s="10" t="inlineStr">
        <is>
          <t>1 Umsatzerlöse</t>
        </is>
      </c>
      <c r="E1072" s="7" t="n"/>
      <c r="F1072" s="7" t="n">
        <v>639565.45</v>
      </c>
      <c r="G1072" s="8" t="n">
        <v>0</v>
      </c>
      <c r="H1072" s="8" t="n">
        <v>639565.45</v>
      </c>
      <c r="I1072" s="8" t="n">
        <v>639565.45</v>
      </c>
      <c r="J1072" s="10" t="b">
        <v>1</v>
      </c>
    </row>
    <row r="1073" ht="21" customHeight="1">
      <c r="A1073" s="7" t="n">
        <v>2026</v>
      </c>
      <c r="B1073" s="8" t="n">
        <v>1</v>
      </c>
      <c r="C1073" s="7" t="n">
        <v>20</v>
      </c>
      <c r="D1073" s="10" t="inlineStr">
        <is>
          <t>2 Bestandsveränderungen</t>
        </is>
      </c>
      <c r="E1073" s="7" t="n"/>
      <c r="F1073" s="7" t="n">
        <v>1280847.26</v>
      </c>
      <c r="G1073" s="8" t="n">
        <v>0</v>
      </c>
      <c r="H1073" s="8" t="n">
        <v>1280847.26</v>
      </c>
      <c r="I1073" s="8" t="n">
        <v>1280847.26</v>
      </c>
      <c r="J1073" s="10" t="b">
        <v>1</v>
      </c>
    </row>
    <row r="1074" ht="21" customHeight="1">
      <c r="A1074" s="7" t="n">
        <v>2026</v>
      </c>
      <c r="B1074" s="8" t="n">
        <v>1</v>
      </c>
      <c r="C1074" s="7" t="n">
        <v>30</v>
      </c>
      <c r="D1074" s="10" t="inlineStr">
        <is>
          <t>3 Sonstige betriebliche Erträge</t>
        </is>
      </c>
      <c r="E1074" s="7" t="n"/>
      <c r="F1074" s="7" t="n">
        <v>12030.21</v>
      </c>
      <c r="G1074" s="8" t="n">
        <v>0</v>
      </c>
      <c r="H1074" s="8" t="n">
        <v>12030.21</v>
      </c>
      <c r="I1074" s="8" t="n">
        <v>12030.21</v>
      </c>
      <c r="J1074" s="10" t="b">
        <v>1</v>
      </c>
    </row>
    <row r="1075" ht="21" customHeight="1">
      <c r="A1075" s="7" t="n">
        <v>2026</v>
      </c>
      <c r="B1075" s="8" t="n">
        <v>1</v>
      </c>
      <c r="C1075" s="7" t="n">
        <v>40</v>
      </c>
      <c r="D1075" s="10" t="inlineStr">
        <is>
          <t>4 Materialaufwand</t>
        </is>
      </c>
      <c r="E1075" s="7" t="n"/>
      <c r="F1075" s="7" t="n">
        <v>-1080421</v>
      </c>
      <c r="G1075" s="8" t="n">
        <v>0</v>
      </c>
      <c r="H1075" s="8" t="n">
        <v>-1080421</v>
      </c>
      <c r="I1075" s="8" t="n">
        <v>-1080421</v>
      </c>
      <c r="J1075" s="10" t="b">
        <v>1</v>
      </c>
    </row>
    <row r="1076" ht="21" customHeight="1">
      <c r="A1076" s="7" t="n">
        <v>2026</v>
      </c>
      <c r="B1076" s="8" t="n">
        <v>1</v>
      </c>
      <c r="C1076" s="7" t="n">
        <v>50</v>
      </c>
      <c r="D1076" s="10" t="inlineStr">
        <is>
          <t>5 Personalaufwand</t>
        </is>
      </c>
      <c r="E1076" s="7" t="n"/>
      <c r="F1076" s="7" t="n">
        <v>-338608.8</v>
      </c>
      <c r="G1076" s="8" t="n">
        <v>-23951.51</v>
      </c>
      <c r="H1076" s="8" t="n">
        <v>-314657.29</v>
      </c>
      <c r="I1076" s="8" t="n">
        <v>-338608.8</v>
      </c>
      <c r="J1076" s="10" t="b">
        <v>0</v>
      </c>
    </row>
    <row r="1077" ht="21" customHeight="1">
      <c r="A1077" s="7" t="n">
        <v>2026</v>
      </c>
      <c r="B1077" s="8" t="n">
        <v>1</v>
      </c>
      <c r="C1077" s="7" t="n">
        <v>60</v>
      </c>
      <c r="D1077" s="10" t="inlineStr">
        <is>
          <t>6 Abschreibungen</t>
        </is>
      </c>
      <c r="E1077" s="7" t="n"/>
      <c r="F1077" s="7" t="n">
        <v>-9645.450000000001</v>
      </c>
      <c r="G1077" s="8" t="n">
        <v>0</v>
      </c>
      <c r="H1077" s="8" t="n">
        <v>-9645.450000000001</v>
      </c>
      <c r="I1077" s="8" t="n">
        <v>-9645.450000000001</v>
      </c>
      <c r="J1077" s="10" t="b">
        <v>1</v>
      </c>
    </row>
    <row r="1078" ht="21" customHeight="1">
      <c r="A1078" s="7" t="n">
        <v>2026</v>
      </c>
      <c r="B1078" s="8" t="n">
        <v>1</v>
      </c>
      <c r="C1078" s="7" t="n">
        <v>70</v>
      </c>
      <c r="D1078" s="10" t="inlineStr">
        <is>
          <t>7 Sonstige betriebliche Aufwendungen</t>
        </is>
      </c>
      <c r="E1078" s="7" t="n"/>
      <c r="F1078" s="7" t="n">
        <v>-223180.95</v>
      </c>
      <c r="G1078" s="8" t="n">
        <v>-2360.48</v>
      </c>
      <c r="H1078" s="8" t="n">
        <v>-220820.47</v>
      </c>
      <c r="I1078" s="8" t="n">
        <v>-223180.95</v>
      </c>
      <c r="J1078" s="10" t="b">
        <v>0</v>
      </c>
    </row>
    <row r="1079" ht="21" customHeight="1">
      <c r="A1079" s="7" t="n">
        <v>2026</v>
      </c>
      <c r="B1079" s="8" t="n">
        <v>1</v>
      </c>
      <c r="C1079" s="7" t="n">
        <v>80</v>
      </c>
      <c r="D1079" s="10" t="inlineStr">
        <is>
          <t>8 Finanzergebnis</t>
        </is>
      </c>
      <c r="E1079" s="7" t="n"/>
      <c r="F1079" s="7" t="n">
        <v>-5854.47</v>
      </c>
      <c r="G1079" s="8" t="n">
        <v>0</v>
      </c>
      <c r="H1079" s="8" t="n">
        <v>-5854.47</v>
      </c>
      <c r="I1079" s="8" t="n">
        <v>-5854.47</v>
      </c>
      <c r="J1079" s="10" t="b">
        <v>1</v>
      </c>
    </row>
    <row r="1080" ht="21" customHeight="1">
      <c r="A1080" s="7" t="n">
        <v>2026</v>
      </c>
      <c r="B1080" s="8" t="n">
        <v>2</v>
      </c>
      <c r="C1080" s="7" t="n">
        <v>10</v>
      </c>
      <c r="D1080" s="10" t="inlineStr">
        <is>
          <t>1 Umsatzerlöse</t>
        </is>
      </c>
      <c r="E1080" s="7" t="n">
        <v>2777244.65</v>
      </c>
      <c r="F1080" s="7" t="n">
        <v>2777244.65</v>
      </c>
      <c r="G1080" s="8" t="n">
        <v>0</v>
      </c>
      <c r="H1080" s="8" t="n">
        <v>3416810.1</v>
      </c>
      <c r="I1080" s="8" t="n">
        <v>3416810.1</v>
      </c>
      <c r="J1080" s="10" t="b">
        <v>1</v>
      </c>
    </row>
    <row r="1081" ht="21" customHeight="1">
      <c r="A1081" s="7" t="n">
        <v>2026</v>
      </c>
      <c r="B1081" s="8" t="n">
        <v>2</v>
      </c>
      <c r="C1081" s="7" t="n">
        <v>20</v>
      </c>
      <c r="D1081" s="10" t="inlineStr">
        <is>
          <t>2 Bestandsveränderungen</t>
        </is>
      </c>
      <c r="E1081" s="7" t="n">
        <v>-200176.92</v>
      </c>
      <c r="F1081" s="7" t="n">
        <v>-200176.92</v>
      </c>
      <c r="G1081" s="8" t="n">
        <v>0</v>
      </c>
      <c r="H1081" s="8" t="n">
        <v>1080670.34</v>
      </c>
      <c r="I1081" s="8" t="n">
        <v>1080670.34</v>
      </c>
      <c r="J1081" s="10" t="b">
        <v>1</v>
      </c>
    </row>
    <row r="1082" ht="21" customHeight="1">
      <c r="A1082" s="7" t="n">
        <v>2026</v>
      </c>
      <c r="B1082" s="8" t="n">
        <v>2</v>
      </c>
      <c r="C1082" s="7" t="n">
        <v>30</v>
      </c>
      <c r="D1082" s="10" t="inlineStr">
        <is>
          <t>3 Sonstige betriebliche Erträge</t>
        </is>
      </c>
      <c r="E1082" s="7" t="n">
        <v>22190.76</v>
      </c>
      <c r="F1082" s="7" t="n">
        <v>22190.76</v>
      </c>
      <c r="G1082" s="8" t="n">
        <v>0</v>
      </c>
      <c r="H1082" s="8" t="n">
        <v>34220.97</v>
      </c>
      <c r="I1082" s="8" t="n">
        <v>34220.97</v>
      </c>
      <c r="J1082" s="10" t="b">
        <v>1</v>
      </c>
    </row>
    <row r="1083" ht="21" customHeight="1">
      <c r="A1083" s="7" t="n">
        <v>2026</v>
      </c>
      <c r="B1083" s="8" t="n">
        <v>2</v>
      </c>
      <c r="C1083" s="7" t="n">
        <v>40</v>
      </c>
      <c r="D1083" s="10" t="inlineStr">
        <is>
          <t>4 Materialaufwand</t>
        </is>
      </c>
      <c r="E1083" s="7" t="n">
        <v>-1706242.27</v>
      </c>
      <c r="F1083" s="7" t="n">
        <v>-1706242.27</v>
      </c>
      <c r="G1083" s="8" t="n">
        <v>0</v>
      </c>
      <c r="H1083" s="8" t="n">
        <v>-2786663.27</v>
      </c>
      <c r="I1083" s="8" t="n">
        <v>-2786663.27</v>
      </c>
      <c r="J1083" s="10" t="b">
        <v>1</v>
      </c>
    </row>
    <row r="1084" ht="21" customHeight="1">
      <c r="A1084" s="7" t="n">
        <v>2026</v>
      </c>
      <c r="B1084" s="8" t="n">
        <v>2</v>
      </c>
      <c r="C1084" s="7" t="n">
        <v>50</v>
      </c>
      <c r="D1084" s="10" t="inlineStr">
        <is>
          <t>5 Personalaufwand</t>
        </is>
      </c>
      <c r="E1084" s="7" t="n">
        <v>-338492.88</v>
      </c>
      <c r="F1084" s="7" t="n">
        <v>-363244</v>
      </c>
      <c r="G1084" s="8" t="n">
        <v>-48702.63</v>
      </c>
      <c r="H1084" s="8" t="n">
        <v>-653150.17</v>
      </c>
      <c r="I1084" s="8" t="n">
        <v>-701852.8</v>
      </c>
      <c r="J1084" s="10" t="b">
        <v>0</v>
      </c>
    </row>
    <row r="1085" ht="21" customHeight="1">
      <c r="A1085" s="7" t="n">
        <v>2026</v>
      </c>
      <c r="B1085" s="8" t="n">
        <v>2</v>
      </c>
      <c r="C1085" s="7" t="n">
        <v>60</v>
      </c>
      <c r="D1085" s="10" t="inlineStr">
        <is>
          <t>6 Abschreibungen</t>
        </is>
      </c>
      <c r="E1085" s="7" t="n">
        <v>-9711.51</v>
      </c>
      <c r="F1085" s="7" t="n">
        <v>-9711.51</v>
      </c>
      <c r="G1085" s="8" t="n">
        <v>0</v>
      </c>
      <c r="H1085" s="8" t="n">
        <v>-19356.96</v>
      </c>
      <c r="I1085" s="8" t="n">
        <v>-19356.96</v>
      </c>
      <c r="J1085" s="10" t="b">
        <v>1</v>
      </c>
    </row>
    <row r="1086" ht="21" customHeight="1">
      <c r="A1086" s="7" t="n">
        <v>2026</v>
      </c>
      <c r="B1086" s="8" t="n">
        <v>2</v>
      </c>
      <c r="C1086" s="7" t="n">
        <v>70</v>
      </c>
      <c r="D1086" s="10" t="inlineStr">
        <is>
          <t>7 Sonstige betriebliche Aufwendungen</t>
        </is>
      </c>
      <c r="E1086" s="7" t="n">
        <v>-212416.03</v>
      </c>
      <c r="F1086" s="7" t="n">
        <v>-214918.93</v>
      </c>
      <c r="G1086" s="8" t="n">
        <v>-4863.38</v>
      </c>
      <c r="H1086" s="8" t="n">
        <v>-433236.5</v>
      </c>
      <c r="I1086" s="8" t="n">
        <v>-438099.88</v>
      </c>
      <c r="J1086" s="10" t="b">
        <v>0</v>
      </c>
    </row>
    <row r="1087" ht="21" customHeight="1">
      <c r="A1087" s="7" t="n">
        <v>2026</v>
      </c>
      <c r="B1087" s="8" t="n">
        <v>2</v>
      </c>
      <c r="C1087" s="7" t="n">
        <v>80</v>
      </c>
      <c r="D1087" s="10" t="inlineStr">
        <is>
          <t>8 Finanzergebnis</t>
        </is>
      </c>
      <c r="E1087" s="7" t="n">
        <v>-6903.55</v>
      </c>
      <c r="F1087" s="7" t="n">
        <v>-6903.55</v>
      </c>
      <c r="G1087" s="8" t="n">
        <v>0</v>
      </c>
      <c r="H1087" s="8" t="n">
        <v>-12758.02</v>
      </c>
      <c r="I1087" s="8" t="n">
        <v>-12758.02</v>
      </c>
      <c r="J1087" s="10" t="b">
        <v>1</v>
      </c>
    </row>
    <row r="1088" ht="21" customHeight="1">
      <c r="A1088" s="7" t="n">
        <v>2026</v>
      </c>
      <c r="B1088" s="8" t="n">
        <v>3</v>
      </c>
      <c r="C1088" s="7" t="n">
        <v>10</v>
      </c>
      <c r="D1088" s="10" t="inlineStr">
        <is>
          <t>1 Umsatzerlöse</t>
        </is>
      </c>
      <c r="E1088" s="7" t="n">
        <v>1213541.38</v>
      </c>
      <c r="F1088" s="7" t="n">
        <v>1213541.38</v>
      </c>
      <c r="G1088" s="8" t="n">
        <v>0</v>
      </c>
      <c r="H1088" s="8" t="n">
        <v>4630351.48</v>
      </c>
      <c r="I1088" s="8" t="n">
        <v>4630351.48</v>
      </c>
      <c r="J1088" s="10" t="b">
        <v>1</v>
      </c>
    </row>
    <row r="1089" ht="21" customHeight="1">
      <c r="A1089" s="7" t="n">
        <v>2026</v>
      </c>
      <c r="B1089" s="8" t="n">
        <v>3</v>
      </c>
      <c r="C1089" s="7" t="n">
        <v>20</v>
      </c>
      <c r="D1089" s="10" t="inlineStr">
        <is>
          <t>2 Bestandsveränderungen</t>
        </is>
      </c>
      <c r="E1089" s="7" t="n">
        <v>1198671.49</v>
      </c>
      <c r="F1089" s="7" t="n">
        <v>1198671.49</v>
      </c>
      <c r="G1089" s="8" t="n">
        <v>0</v>
      </c>
      <c r="H1089" s="8" t="n">
        <v>2279341.83</v>
      </c>
      <c r="I1089" s="8" t="n">
        <v>2279341.83</v>
      </c>
      <c r="J1089" s="10" t="b">
        <v>1</v>
      </c>
    </row>
    <row r="1090" ht="21" customHeight="1">
      <c r="A1090" s="7" t="n">
        <v>2026</v>
      </c>
      <c r="B1090" s="8" t="n">
        <v>3</v>
      </c>
      <c r="C1090" s="7" t="n">
        <v>30</v>
      </c>
      <c r="D1090" s="10" t="inlineStr">
        <is>
          <t>3 Sonstige betriebliche Erträge</t>
        </is>
      </c>
      <c r="E1090" s="7" t="n">
        <v>15409.39</v>
      </c>
      <c r="F1090" s="7" t="n">
        <v>15409.39</v>
      </c>
      <c r="G1090" s="8" t="n">
        <v>0</v>
      </c>
      <c r="H1090" s="8" t="n">
        <v>49630.36</v>
      </c>
      <c r="I1090" s="8" t="n">
        <v>49630.36</v>
      </c>
      <c r="J1090" s="10" t="b">
        <v>1</v>
      </c>
    </row>
    <row r="1091" ht="21" customHeight="1">
      <c r="A1091" s="7" t="n">
        <v>2026</v>
      </c>
      <c r="B1091" s="8" t="n">
        <v>3</v>
      </c>
      <c r="C1091" s="7" t="n">
        <v>40</v>
      </c>
      <c r="D1091" s="10" t="inlineStr">
        <is>
          <t>4 Materialaufwand</t>
        </is>
      </c>
      <c r="E1091" s="7" t="n">
        <v>-1746548.03</v>
      </c>
      <c r="F1091" s="7" t="n">
        <v>-1746548.03</v>
      </c>
      <c r="G1091" s="8" t="n">
        <v>0</v>
      </c>
      <c r="H1091" s="8" t="n">
        <v>-4533211.3</v>
      </c>
      <c r="I1091" s="8" t="n">
        <v>-4533211.3</v>
      </c>
      <c r="J1091" s="10" t="b">
        <v>1</v>
      </c>
    </row>
    <row r="1092" ht="21" customHeight="1">
      <c r="A1092" s="7" t="n">
        <v>2026</v>
      </c>
      <c r="B1092" s="8" t="n">
        <v>3</v>
      </c>
      <c r="C1092" s="7" t="n">
        <v>50</v>
      </c>
      <c r="D1092" s="10" t="inlineStr">
        <is>
          <t>5 Personalaufwand</t>
        </is>
      </c>
      <c r="E1092" s="7" t="n">
        <v>-358303</v>
      </c>
      <c r="F1092" s="7" t="n">
        <v>-383792.43</v>
      </c>
      <c r="G1092" s="8" t="n">
        <v>-74192.06</v>
      </c>
      <c r="H1092" s="8" t="n">
        <v>-1011453.17</v>
      </c>
      <c r="I1092" s="8" t="n">
        <v>-1085645.23</v>
      </c>
      <c r="J1092" s="10" t="b">
        <v>0</v>
      </c>
    </row>
    <row r="1093" ht="21" customHeight="1">
      <c r="A1093" s="7" t="n">
        <v>2026</v>
      </c>
      <c r="B1093" s="8" t="n">
        <v>3</v>
      </c>
      <c r="C1093" s="7" t="n">
        <v>60</v>
      </c>
      <c r="D1093" s="10" t="inlineStr">
        <is>
          <t>6 Abschreibungen</t>
        </is>
      </c>
      <c r="E1093" s="7" t="n">
        <v>-9824.139999999999</v>
      </c>
      <c r="F1093" s="7" t="n">
        <v>-9824.139999999999</v>
      </c>
      <c r="G1093" s="8" t="n">
        <v>0</v>
      </c>
      <c r="H1093" s="8" t="n">
        <v>-29181.1</v>
      </c>
      <c r="I1093" s="8" t="n">
        <v>-29181.1</v>
      </c>
      <c r="J1093" s="10" t="b">
        <v>1</v>
      </c>
    </row>
    <row r="1094" ht="21" customHeight="1">
      <c r="A1094" s="7" t="n">
        <v>2026</v>
      </c>
      <c r="B1094" s="8" t="n">
        <v>3</v>
      </c>
      <c r="C1094" s="7" t="n">
        <v>70</v>
      </c>
      <c r="D1094" s="10" t="inlineStr">
        <is>
          <t>7 Sonstige betriebliche Aufwendungen</t>
        </is>
      </c>
      <c r="E1094" s="7" t="n">
        <v>-283572.46</v>
      </c>
      <c r="F1094" s="7" t="n">
        <v>-286856.5</v>
      </c>
      <c r="G1094" s="8" t="n">
        <v>-8147.42</v>
      </c>
      <c r="H1094" s="8" t="n">
        <v>-716808.96</v>
      </c>
      <c r="I1094" s="8" t="n">
        <v>-724956.38</v>
      </c>
      <c r="J1094" s="10" t="b">
        <v>0</v>
      </c>
    </row>
    <row r="1095" ht="21" customHeight="1">
      <c r="A1095" s="7" t="n">
        <v>2026</v>
      </c>
      <c r="B1095" s="8" t="n">
        <v>3</v>
      </c>
      <c r="C1095" s="7" t="n">
        <v>80</v>
      </c>
      <c r="D1095" s="10" t="inlineStr">
        <is>
          <t>8 Finanzergebnis</t>
        </is>
      </c>
      <c r="E1095" s="7" t="n">
        <v>-9432.18</v>
      </c>
      <c r="F1095" s="7" t="n">
        <v>-9432.18</v>
      </c>
      <c r="G1095" s="8" t="n">
        <v>0</v>
      </c>
      <c r="H1095" s="8" t="n">
        <v>-22190.2</v>
      </c>
      <c r="I1095" s="8" t="n">
        <v>-22190.2</v>
      </c>
      <c r="J1095" s="10" t="b">
        <v>1</v>
      </c>
    </row>
    <row r="1096" ht="21" customHeight="1">
      <c r="A1096" s="7" t="n">
        <v>2026</v>
      </c>
      <c r="B1096" s="8" t="n">
        <v>4</v>
      </c>
      <c r="C1096" s="7" t="n">
        <v>10</v>
      </c>
      <c r="D1096" s="10" t="inlineStr">
        <is>
          <t>1 Umsatzerlöse</t>
        </is>
      </c>
      <c r="E1096" s="7" t="n">
        <v>678343.59</v>
      </c>
      <c r="F1096" s="7" t="n">
        <v>678343.59</v>
      </c>
      <c r="G1096" s="8" t="n">
        <v>0</v>
      </c>
      <c r="H1096" s="8" t="n">
        <v>5308695.07</v>
      </c>
      <c r="I1096" s="8" t="n">
        <v>5308695.07</v>
      </c>
      <c r="J1096" s="10" t="b">
        <v>1</v>
      </c>
    </row>
    <row r="1097" ht="21" customHeight="1">
      <c r="A1097" s="7" t="n">
        <v>2026</v>
      </c>
      <c r="B1097" s="8" t="n">
        <v>4</v>
      </c>
      <c r="C1097" s="7" t="n">
        <v>20</v>
      </c>
      <c r="D1097" s="10" t="inlineStr">
        <is>
          <t>2 Bestandsveränderungen</t>
        </is>
      </c>
      <c r="E1097" s="7" t="n">
        <v>1261219.89</v>
      </c>
      <c r="F1097" s="7" t="n">
        <v>1261219.89</v>
      </c>
      <c r="G1097" s="8" t="n">
        <v>0</v>
      </c>
      <c r="H1097" s="8" t="n">
        <v>3540561.72</v>
      </c>
      <c r="I1097" s="8" t="n">
        <v>3540561.72</v>
      </c>
      <c r="J1097" s="10" t="b">
        <v>1</v>
      </c>
    </row>
    <row r="1098" ht="21" customHeight="1">
      <c r="A1098" s="7" t="n">
        <v>2026</v>
      </c>
      <c r="B1098" s="8" t="n">
        <v>4</v>
      </c>
      <c r="C1098" s="7" t="n">
        <v>30</v>
      </c>
      <c r="D1098" s="10" t="inlineStr">
        <is>
          <t>3 Sonstige betriebliche Erträge</t>
        </is>
      </c>
      <c r="E1098" s="7" t="n">
        <v>56063.55</v>
      </c>
      <c r="F1098" s="7" t="n">
        <v>56063.55</v>
      </c>
      <c r="G1098" s="8" t="n">
        <v>0</v>
      </c>
      <c r="H1098" s="8" t="n">
        <v>105693.91</v>
      </c>
      <c r="I1098" s="8" t="n">
        <v>105693.91</v>
      </c>
      <c r="J1098" s="10" t="b">
        <v>1</v>
      </c>
    </row>
    <row r="1099" ht="21" customHeight="1">
      <c r="A1099" s="7" t="n">
        <v>2026</v>
      </c>
      <c r="B1099" s="8" t="n">
        <v>4</v>
      </c>
      <c r="C1099" s="7" t="n">
        <v>40</v>
      </c>
      <c r="D1099" s="10" t="inlineStr">
        <is>
          <t>4 Materialaufwand</t>
        </is>
      </c>
      <c r="E1099" s="7" t="n">
        <v>-1520583.11</v>
      </c>
      <c r="F1099" s="7" t="n">
        <v>-1520583.11</v>
      </c>
      <c r="G1099" s="8" t="n">
        <v>0</v>
      </c>
      <c r="H1099" s="8" t="n">
        <v>-6053794.41</v>
      </c>
      <c r="I1099" s="8" t="n">
        <v>-6053794.41</v>
      </c>
      <c r="J1099" s="10" t="b">
        <v>1</v>
      </c>
    </row>
    <row r="1100" ht="21" customHeight="1">
      <c r="A1100" s="7" t="n">
        <v>2026</v>
      </c>
      <c r="B1100" s="8" t="n">
        <v>4</v>
      </c>
      <c r="C1100" s="7" t="n">
        <v>50</v>
      </c>
      <c r="D1100" s="10" t="inlineStr">
        <is>
          <t>5 Personalaufwand</t>
        </is>
      </c>
      <c r="E1100" s="7" t="n">
        <v>-357150.89</v>
      </c>
      <c r="F1100" s="7" t="n">
        <v>-383705.5</v>
      </c>
      <c r="G1100" s="8" t="n">
        <v>-100746.67</v>
      </c>
      <c r="H1100" s="8" t="n">
        <v>-1368604.06</v>
      </c>
      <c r="I1100" s="8" t="n">
        <v>-1469350.73</v>
      </c>
      <c r="J1100" s="10" t="b">
        <v>0</v>
      </c>
    </row>
    <row r="1101" ht="21" customHeight="1">
      <c r="A1101" s="7" t="n">
        <v>2026</v>
      </c>
      <c r="B1101" s="8" t="n">
        <v>4</v>
      </c>
      <c r="C1101" s="7" t="n">
        <v>60</v>
      </c>
      <c r="D1101" s="10" t="inlineStr">
        <is>
          <t>6 Abschreibungen</t>
        </is>
      </c>
      <c r="E1101" s="7" t="n">
        <v>-9599.860000000001</v>
      </c>
      <c r="F1101" s="7" t="n">
        <v>-9599.860000000001</v>
      </c>
      <c r="G1101" s="8" t="n">
        <v>0</v>
      </c>
      <c r="H1101" s="8" t="n">
        <v>-38780.96</v>
      </c>
      <c r="I1101" s="8" t="n">
        <v>-38780.96</v>
      </c>
      <c r="J1101" s="10" t="b">
        <v>1</v>
      </c>
    </row>
    <row r="1102" ht="21" customHeight="1">
      <c r="A1102" s="7" t="n">
        <v>2026</v>
      </c>
      <c r="B1102" s="8" t="n">
        <v>4</v>
      </c>
      <c r="C1102" s="7" t="n">
        <v>70</v>
      </c>
      <c r="D1102" s="10" t="inlineStr">
        <is>
          <t>7 Sonstige betriebliche Aufwendungen</t>
        </is>
      </c>
      <c r="E1102" s="7" t="n">
        <v>-264828.91</v>
      </c>
      <c r="F1102" s="7" t="n">
        <v>-275785.95</v>
      </c>
      <c r="G1102" s="8" t="n">
        <v>-19104.46</v>
      </c>
      <c r="H1102" s="8" t="n">
        <v>-981637.87</v>
      </c>
      <c r="I1102" s="8" t="n">
        <v>-1000742.33</v>
      </c>
      <c r="J1102" s="10" t="b">
        <v>0</v>
      </c>
    </row>
    <row r="1103" ht="21" customHeight="1">
      <c r="A1103" s="7" t="n">
        <v>2026</v>
      </c>
      <c r="B1103" s="8" t="n">
        <v>4</v>
      </c>
      <c r="C1103" s="7" t="n">
        <v>80</v>
      </c>
      <c r="D1103" s="10" t="inlineStr">
        <is>
          <t>8 Finanzergebnis</t>
        </is>
      </c>
      <c r="E1103" s="7" t="n">
        <v>-8779.92</v>
      </c>
      <c r="F1103" s="7" t="n">
        <v>-8779.92</v>
      </c>
      <c r="G1103" s="8" t="n">
        <v>0</v>
      </c>
      <c r="H1103" s="8" t="n">
        <v>-30970.12</v>
      </c>
      <c r="I1103" s="8" t="n">
        <v>-30970.12</v>
      </c>
      <c r="J1103" s="10" t="b">
        <v>1</v>
      </c>
    </row>
    <row r="1104" ht="21" customHeight="1">
      <c r="A1104" s="7" t="n">
        <v>2026</v>
      </c>
      <c r="B1104" s="8" t="n">
        <v>5</v>
      </c>
      <c r="C1104" s="7" t="n">
        <v>10</v>
      </c>
      <c r="D1104" s="10" t="inlineStr">
        <is>
          <t>1 Umsatzerlöse</t>
        </is>
      </c>
      <c r="E1104" s="7" t="n">
        <v>1347585.48</v>
      </c>
      <c r="F1104" s="7" t="n">
        <v>1347585.48</v>
      </c>
      <c r="G1104" s="8" t="n">
        <v>0</v>
      </c>
      <c r="H1104" s="8" t="n">
        <v>6656280.55</v>
      </c>
      <c r="I1104" s="8" t="n">
        <v>6656280.55</v>
      </c>
      <c r="J1104" s="10" t="b">
        <v>1</v>
      </c>
    </row>
    <row r="1105" ht="21" customHeight="1">
      <c r="A1105" s="7" t="n">
        <v>2026</v>
      </c>
      <c r="B1105" s="8" t="n">
        <v>5</v>
      </c>
      <c r="C1105" s="7" t="n">
        <v>20</v>
      </c>
      <c r="D1105" s="10" t="inlineStr">
        <is>
          <t>2 Bestandsveränderungen</t>
        </is>
      </c>
      <c r="E1105" s="7" t="n">
        <v>-263604.09</v>
      </c>
      <c r="F1105" s="7" t="n">
        <v>-263604.09</v>
      </c>
      <c r="G1105" s="8" t="n">
        <v>0</v>
      </c>
      <c r="H1105" s="8" t="n">
        <v>3276957.63</v>
      </c>
      <c r="I1105" s="8" t="n">
        <v>3276957.63</v>
      </c>
      <c r="J1105" s="10" t="b">
        <v>1</v>
      </c>
    </row>
    <row r="1106" ht="21" customHeight="1">
      <c r="A1106" s="7" t="n">
        <v>2026</v>
      </c>
      <c r="B1106" s="8" t="n">
        <v>5</v>
      </c>
      <c r="C1106" s="7" t="n">
        <v>30</v>
      </c>
      <c r="D1106" s="10" t="inlineStr">
        <is>
          <t>3 Sonstige betriebliche Erträge</t>
        </is>
      </c>
      <c r="E1106" s="7" t="n">
        <v>24678.87</v>
      </c>
      <c r="F1106" s="7" t="n">
        <v>24678.87</v>
      </c>
      <c r="G1106" s="8" t="n">
        <v>0</v>
      </c>
      <c r="H1106" s="8" t="n">
        <v>130372.78</v>
      </c>
      <c r="I1106" s="8" t="n">
        <v>130372.78</v>
      </c>
      <c r="J1106" s="10" t="b">
        <v>1</v>
      </c>
    </row>
    <row r="1107" ht="21" customHeight="1">
      <c r="A1107" s="7" t="n">
        <v>2026</v>
      </c>
      <c r="B1107" s="8" t="n">
        <v>5</v>
      </c>
      <c r="C1107" s="7" t="n">
        <v>40</v>
      </c>
      <c r="D1107" s="10" t="inlineStr">
        <is>
          <t>4 Materialaufwand</t>
        </is>
      </c>
      <c r="E1107" s="7" t="n">
        <v>-582901.1800000001</v>
      </c>
      <c r="F1107" s="7" t="n">
        <v>-582901.1800000001</v>
      </c>
      <c r="G1107" s="8" t="n">
        <v>0</v>
      </c>
      <c r="H1107" s="8" t="n">
        <v>-6636695.59</v>
      </c>
      <c r="I1107" s="8" t="n">
        <v>-6636695.59</v>
      </c>
      <c r="J1107" s="10" t="b">
        <v>1</v>
      </c>
    </row>
    <row r="1108" ht="21" customHeight="1">
      <c r="A1108" s="7" t="n">
        <v>2026</v>
      </c>
      <c r="B1108" s="8" t="n">
        <v>5</v>
      </c>
      <c r="C1108" s="7" t="n">
        <v>50</v>
      </c>
      <c r="D1108" s="10" t="inlineStr">
        <is>
          <t>5 Personalaufwand</t>
        </is>
      </c>
      <c r="E1108" s="7" t="n">
        <v>-403048.35</v>
      </c>
      <c r="F1108" s="7" t="n">
        <v>-432453.34</v>
      </c>
      <c r="G1108" s="8" t="n">
        <v>-130151.66</v>
      </c>
      <c r="H1108" s="8" t="n">
        <v>-1771652.41</v>
      </c>
      <c r="I1108" s="8" t="n">
        <v>-1901804.07</v>
      </c>
      <c r="J1108" s="10" t="b">
        <v>0</v>
      </c>
    </row>
    <row r="1109" ht="21" customHeight="1">
      <c r="A1109" s="7" t="n">
        <v>2026</v>
      </c>
      <c r="B1109" s="8" t="n">
        <v>5</v>
      </c>
      <c r="C1109" s="7" t="n">
        <v>60</v>
      </c>
      <c r="D1109" s="10" t="inlineStr">
        <is>
          <t>6 Abschreibungen</t>
        </is>
      </c>
      <c r="E1109" s="7" t="n">
        <v>-9655.030000000001</v>
      </c>
      <c r="F1109" s="7" t="n">
        <v>-9655.030000000001</v>
      </c>
      <c r="G1109" s="8" t="n">
        <v>0</v>
      </c>
      <c r="H1109" s="8" t="n">
        <v>-48435.99</v>
      </c>
      <c r="I1109" s="8" t="n">
        <v>-48435.99</v>
      </c>
      <c r="J1109" s="10" t="b">
        <v>1</v>
      </c>
    </row>
    <row r="1110" ht="21" customHeight="1">
      <c r="A1110" s="7" t="n">
        <v>2026</v>
      </c>
      <c r="B1110" s="8" t="n">
        <v>5</v>
      </c>
      <c r="C1110" s="7" t="n">
        <v>70</v>
      </c>
      <c r="D1110" s="10" t="inlineStr">
        <is>
          <t>7 Sonstige betriebliche Aufwendungen</t>
        </is>
      </c>
      <c r="E1110" s="7" t="n">
        <v>-234086.27</v>
      </c>
      <c r="F1110" s="7" t="n">
        <v>-237116.93</v>
      </c>
      <c r="G1110" s="8" t="n">
        <v>-22135.12</v>
      </c>
      <c r="H1110" s="8" t="n">
        <v>-1215724.14</v>
      </c>
      <c r="I1110" s="8" t="n">
        <v>-1237859.26</v>
      </c>
      <c r="J1110" s="10" t="b">
        <v>0</v>
      </c>
    </row>
    <row r="1111" ht="21" customHeight="1">
      <c r="A1111" s="7" t="n">
        <v>2026</v>
      </c>
      <c r="B1111" s="8" t="n">
        <v>5</v>
      </c>
      <c r="C1111" s="7" t="n">
        <v>80</v>
      </c>
      <c r="D1111" s="10" t="inlineStr">
        <is>
          <t>8 Finanzergebnis</t>
        </is>
      </c>
      <c r="E1111" s="7" t="n">
        <v>-15584.75</v>
      </c>
      <c r="F1111" s="7" t="n">
        <v>-15584.75</v>
      </c>
      <c r="G1111" s="8" t="n">
        <v>0</v>
      </c>
      <c r="H1111" s="8" t="n">
        <v>-46554.87</v>
      </c>
      <c r="I1111" s="8" t="n">
        <v>-46554.87</v>
      </c>
      <c r="J1111" s="10" t="b">
        <v>1</v>
      </c>
    </row>
    <row r="1112" ht="21" customHeight="1">
      <c r="A1112" s="7" t="n">
        <v>2026</v>
      </c>
      <c r="B1112" s="8" t="n">
        <v>6</v>
      </c>
      <c r="C1112" s="7" t="n">
        <v>10</v>
      </c>
      <c r="D1112" s="10" t="inlineStr">
        <is>
          <t>1 Umsatzerlöse</t>
        </is>
      </c>
      <c r="E1112" s="7" t="n">
        <v>2470042.1</v>
      </c>
      <c r="F1112" s="7" t="n">
        <v>2470042.1</v>
      </c>
      <c r="G1112" s="8" t="n">
        <v>0</v>
      </c>
      <c r="H1112" s="8" t="n">
        <v>9126322.65</v>
      </c>
      <c r="I1112" s="8" t="n">
        <v>9126322.65</v>
      </c>
      <c r="J1112" s="10" t="b">
        <v>1</v>
      </c>
    </row>
    <row r="1113" ht="21" customHeight="1">
      <c r="A1113" s="7" t="n">
        <v>2026</v>
      </c>
      <c r="B1113" s="8" t="n">
        <v>6</v>
      </c>
      <c r="C1113" s="7" t="n">
        <v>20</v>
      </c>
      <c r="D1113" s="10" t="inlineStr">
        <is>
          <t>2 Bestandsveränderungen</t>
        </is>
      </c>
      <c r="E1113" s="7" t="n">
        <v>314645.23</v>
      </c>
      <c r="F1113" s="7" t="n">
        <v>314645.23</v>
      </c>
      <c r="G1113" s="8" t="n">
        <v>0</v>
      </c>
      <c r="H1113" s="8" t="n">
        <v>3591602.86</v>
      </c>
      <c r="I1113" s="8" t="n">
        <v>3591602.86</v>
      </c>
      <c r="J1113" s="10" t="b">
        <v>1</v>
      </c>
    </row>
    <row r="1114" ht="21" customHeight="1">
      <c r="A1114" s="7" t="n">
        <v>2026</v>
      </c>
      <c r="B1114" s="8" t="n">
        <v>6</v>
      </c>
      <c r="C1114" s="7" t="n">
        <v>30</v>
      </c>
      <c r="D1114" s="10" t="inlineStr">
        <is>
          <t>3 Sonstige betriebliche Erträge</t>
        </is>
      </c>
      <c r="E1114" s="7" t="n">
        <v>17068.34</v>
      </c>
      <c r="F1114" s="7" t="n">
        <v>17068.34</v>
      </c>
      <c r="G1114" s="8" t="n">
        <v>0</v>
      </c>
      <c r="H1114" s="8" t="n">
        <v>147441.12</v>
      </c>
      <c r="I1114" s="8" t="n">
        <v>147441.12</v>
      </c>
      <c r="J1114" s="10" t="b">
        <v>1</v>
      </c>
    </row>
    <row r="1115" ht="21" customHeight="1">
      <c r="A1115" s="7" t="n">
        <v>2026</v>
      </c>
      <c r="B1115" s="8" t="n">
        <v>6</v>
      </c>
      <c r="C1115" s="7" t="n">
        <v>40</v>
      </c>
      <c r="D1115" s="10" t="inlineStr">
        <is>
          <t>4 Materialaufwand</t>
        </is>
      </c>
      <c r="E1115" s="7" t="n">
        <v>-2109049.83</v>
      </c>
      <c r="F1115" s="7" t="n">
        <v>-2109049.83</v>
      </c>
      <c r="G1115" s="8" t="n">
        <v>0</v>
      </c>
      <c r="H1115" s="8" t="n">
        <v>-8745745.42</v>
      </c>
      <c r="I1115" s="8" t="n">
        <v>-8745745.42</v>
      </c>
      <c r="J1115" s="10" t="b">
        <v>1</v>
      </c>
    </row>
    <row r="1116" ht="21" customHeight="1">
      <c r="A1116" s="7" t="n">
        <v>2026</v>
      </c>
      <c r="B1116" s="8" t="n">
        <v>6</v>
      </c>
      <c r="C1116" s="7" t="n">
        <v>50</v>
      </c>
      <c r="D1116" s="10" t="inlineStr">
        <is>
          <t>5 Personalaufwand</t>
        </is>
      </c>
      <c r="E1116" s="7" t="n">
        <v>-353856.95</v>
      </c>
      <c r="F1116" s="7" t="n">
        <v>-378900.06</v>
      </c>
      <c r="G1116" s="8" t="n">
        <v>-155194.77</v>
      </c>
      <c r="H1116" s="8" t="n">
        <v>-2125509.36</v>
      </c>
      <c r="I1116" s="8" t="n">
        <v>-2280704.13</v>
      </c>
      <c r="J1116" s="10" t="b">
        <v>0</v>
      </c>
    </row>
    <row r="1117" ht="21" customHeight="1">
      <c r="A1117" s="7" t="n">
        <v>2026</v>
      </c>
      <c r="B1117" s="8" t="n">
        <v>6</v>
      </c>
      <c r="C1117" s="7" t="n">
        <v>60</v>
      </c>
      <c r="D1117" s="10" t="inlineStr">
        <is>
          <t>6 Abschreibungen</t>
        </is>
      </c>
      <c r="E1117" s="7" t="n">
        <v>-9047.959999999999</v>
      </c>
      <c r="F1117" s="7" t="n">
        <v>-9047.959999999999</v>
      </c>
      <c r="G1117" s="8" t="n">
        <v>0</v>
      </c>
      <c r="H1117" s="8" t="n">
        <v>-57483.95</v>
      </c>
      <c r="I1117" s="8" t="n">
        <v>-57483.95</v>
      </c>
      <c r="J1117" s="10" t="b">
        <v>1</v>
      </c>
    </row>
    <row r="1118" ht="21" customHeight="1">
      <c r="A1118" s="7" t="n">
        <v>2026</v>
      </c>
      <c r="B1118" s="8" t="n">
        <v>6</v>
      </c>
      <c r="C1118" s="7" t="n">
        <v>70</v>
      </c>
      <c r="D1118" s="10" t="inlineStr">
        <is>
          <t>7 Sonstige betriebliche Aufwendungen</t>
        </is>
      </c>
      <c r="E1118" s="7" t="n">
        <v>-250482.55</v>
      </c>
      <c r="F1118" s="7" t="n">
        <v>-255251.92</v>
      </c>
      <c r="G1118" s="8" t="n">
        <v>-26904.49</v>
      </c>
      <c r="H1118" s="8" t="n">
        <v>-1466206.69</v>
      </c>
      <c r="I1118" s="8" t="n">
        <v>-1493111.18</v>
      </c>
      <c r="J1118" s="10" t="b">
        <v>0</v>
      </c>
    </row>
    <row r="1119" ht="21" customHeight="1">
      <c r="A1119" s="7" t="n">
        <v>2026</v>
      </c>
      <c r="B1119" s="8" t="n">
        <v>6</v>
      </c>
      <c r="C1119" s="7" t="n">
        <v>80</v>
      </c>
      <c r="D1119" s="10" t="inlineStr">
        <is>
          <t>8 Finanzergebnis</t>
        </is>
      </c>
      <c r="E1119" s="7" t="n">
        <v>-12828.32</v>
      </c>
      <c r="F1119" s="7" t="n">
        <v>-12828.32</v>
      </c>
      <c r="G1119" s="8" t="n">
        <v>0</v>
      </c>
      <c r="H1119" s="8" t="n">
        <v>-59383.19</v>
      </c>
      <c r="I1119" s="8" t="n">
        <v>-59383.19</v>
      </c>
      <c r="J1119" s="10" t="b">
        <v>1</v>
      </c>
    </row>
    <row r="1120" ht="21" customHeight="1">
      <c r="A1120" s="7" t="n">
        <v>2026</v>
      </c>
      <c r="B1120" s="8" t="n">
        <v>7</v>
      </c>
      <c r="C1120" s="7" t="n">
        <v>10</v>
      </c>
      <c r="D1120" s="10" t="inlineStr">
        <is>
          <t>1 Umsatzerlöse</t>
        </is>
      </c>
      <c r="E1120" s="7" t="n">
        <v>1323928.2</v>
      </c>
      <c r="F1120" s="7" t="n">
        <v>1323928.2</v>
      </c>
      <c r="G1120" s="8" t="n">
        <v>0</v>
      </c>
      <c r="H1120" s="8" t="n">
        <v>10450250.85</v>
      </c>
      <c r="I1120" s="8" t="n">
        <v>10450250.85</v>
      </c>
      <c r="J1120" s="10" t="b">
        <v>1</v>
      </c>
    </row>
    <row r="1121" ht="21" customHeight="1">
      <c r="A1121" s="7" t="n">
        <v>2026</v>
      </c>
      <c r="B1121" s="8" t="n">
        <v>7</v>
      </c>
      <c r="C1121" s="7" t="n">
        <v>20</v>
      </c>
      <c r="D1121" s="10" t="inlineStr">
        <is>
          <t>2 Bestandsveränderungen</t>
        </is>
      </c>
      <c r="E1121" s="7" t="n">
        <v>294716.46</v>
      </c>
      <c r="F1121" s="7" t="n">
        <v>294716.46</v>
      </c>
      <c r="G1121" s="8" t="n">
        <v>0</v>
      </c>
      <c r="H1121" s="8" t="n">
        <v>3886319.32</v>
      </c>
      <c r="I1121" s="8" t="n">
        <v>3886319.32</v>
      </c>
      <c r="J1121" s="10" t="b">
        <v>1</v>
      </c>
    </row>
    <row r="1122" ht="21" customHeight="1">
      <c r="A1122" s="7" t="n">
        <v>2026</v>
      </c>
      <c r="B1122" s="8" t="n">
        <v>7</v>
      </c>
      <c r="C1122" s="7" t="n">
        <v>30</v>
      </c>
      <c r="D1122" s="10" t="inlineStr">
        <is>
          <t>3 Sonstige betriebliche Erträge</t>
        </is>
      </c>
      <c r="E1122" s="7" t="n">
        <v>15326.23</v>
      </c>
      <c r="F1122" s="7" t="n">
        <v>15326.23</v>
      </c>
      <c r="G1122" s="8" t="n">
        <v>0</v>
      </c>
      <c r="H1122" s="8" t="n">
        <v>162767.35</v>
      </c>
      <c r="I1122" s="8" t="n">
        <v>162767.35</v>
      </c>
      <c r="J1122" s="10" t="b">
        <v>1</v>
      </c>
    </row>
    <row r="1123" ht="21" customHeight="1">
      <c r="A1123" s="7" t="n">
        <v>2026</v>
      </c>
      <c r="B1123" s="8" t="n">
        <v>7</v>
      </c>
      <c r="C1123" s="7" t="n">
        <v>40</v>
      </c>
      <c r="D1123" s="10" t="inlineStr">
        <is>
          <t>4 Materialaufwand</t>
        </is>
      </c>
      <c r="E1123" s="7" t="n">
        <v>-1512452.36</v>
      </c>
      <c r="F1123" s="7" t="n">
        <v>-1512452.36</v>
      </c>
      <c r="G1123" s="8" t="n">
        <v>0</v>
      </c>
      <c r="H1123" s="8" t="n">
        <v>-10258197.78</v>
      </c>
      <c r="I1123" s="8" t="n">
        <v>-10258197.78</v>
      </c>
      <c r="J1123" s="10" t="b">
        <v>1</v>
      </c>
    </row>
    <row r="1124" ht="21" customHeight="1">
      <c r="A1124" s="7" t="n">
        <v>2026</v>
      </c>
      <c r="B1124" s="8" t="n">
        <v>7</v>
      </c>
      <c r="C1124" s="7" t="n">
        <v>50</v>
      </c>
      <c r="D1124" s="10" t="inlineStr">
        <is>
          <t>5 Personalaufwand</t>
        </is>
      </c>
      <c r="E1124" s="7" t="n">
        <v>-545589.77</v>
      </c>
      <c r="F1124" s="7" t="n">
        <v>-390395</v>
      </c>
      <c r="G1124" s="8" t="n">
        <v>0</v>
      </c>
      <c r="H1124" s="8" t="n">
        <v>-2671099.13</v>
      </c>
      <c r="I1124" s="8" t="n">
        <v>-2671099.13</v>
      </c>
      <c r="J1124" s="10" t="b">
        <v>1</v>
      </c>
    </row>
    <row r="1125" ht="21" customHeight="1">
      <c r="A1125" s="7" t="n">
        <v>2026</v>
      </c>
      <c r="B1125" s="8" t="n">
        <v>7</v>
      </c>
      <c r="C1125" s="7" t="n">
        <v>60</v>
      </c>
      <c r="D1125" s="10" t="inlineStr">
        <is>
          <t>6 Abschreibungen</t>
        </is>
      </c>
      <c r="E1125" s="7" t="n">
        <v>-9082.969999999999</v>
      </c>
      <c r="F1125" s="7" t="n">
        <v>-9082.969999999999</v>
      </c>
      <c r="G1125" s="8" t="n">
        <v>0</v>
      </c>
      <c r="H1125" s="8" t="n">
        <v>-66566.92</v>
      </c>
      <c r="I1125" s="8" t="n">
        <v>-66566.92</v>
      </c>
      <c r="J1125" s="10" t="b">
        <v>1</v>
      </c>
    </row>
    <row r="1126" ht="21" customHeight="1">
      <c r="A1126" s="7" t="n">
        <v>2026</v>
      </c>
      <c r="B1126" s="8" t="n">
        <v>7</v>
      </c>
      <c r="C1126" s="7" t="n">
        <v>70</v>
      </c>
      <c r="D1126" s="10" t="inlineStr">
        <is>
          <t>7 Sonstige betriebliche Aufwendungen</t>
        </is>
      </c>
      <c r="E1126" s="7" t="n">
        <v>-272150.56</v>
      </c>
      <c r="F1126" s="7" t="n">
        <v>-245246.07</v>
      </c>
      <c r="G1126" s="8" t="n">
        <v>0</v>
      </c>
      <c r="H1126" s="8" t="n">
        <v>-1738357.25</v>
      </c>
      <c r="I1126" s="8" t="n">
        <v>-1738357.25</v>
      </c>
      <c r="J1126" s="10" t="b">
        <v>1</v>
      </c>
    </row>
    <row r="1127" ht="21" customHeight="1">
      <c r="A1127" s="7" t="n">
        <v>2026</v>
      </c>
      <c r="B1127" s="8" t="n">
        <v>7</v>
      </c>
      <c r="C1127" s="7" t="n">
        <v>80</v>
      </c>
      <c r="D1127" s="10" t="inlineStr">
        <is>
          <t>8 Finanzergebnis</t>
        </is>
      </c>
      <c r="E1127" s="7" t="n">
        <v>-8079.09</v>
      </c>
      <c r="F1127" s="7" t="n">
        <v>-8079.09</v>
      </c>
      <c r="G1127" s="8" t="n">
        <v>0</v>
      </c>
      <c r="H1127" s="8" t="n">
        <v>-67462.28</v>
      </c>
      <c r="I1127" s="8" t="n">
        <v>-67462.28</v>
      </c>
      <c r="J1127" s="10" t="b">
        <v>1</v>
      </c>
    </row>
    <row r="1128" ht="21" customHeight="1">
      <c r="A1128" s="7" t="n">
        <v>2026</v>
      </c>
      <c r="B1128" s="8" t="n">
        <v>8</v>
      </c>
      <c r="C1128" s="7" t="n">
        <v>10</v>
      </c>
      <c r="D1128" s="10" t="inlineStr">
        <is>
          <t>1 Umsatzerlöse</t>
        </is>
      </c>
      <c r="E1128" s="7" t="n">
        <v>776739.84</v>
      </c>
      <c r="F1128" s="7" t="n">
        <v>854339.84</v>
      </c>
      <c r="G1128" s="8" t="n">
        <v>77600</v>
      </c>
      <c r="H1128" s="8" t="n">
        <v>11226990.69</v>
      </c>
      <c r="I1128" s="8" t="n">
        <v>11304590.69</v>
      </c>
      <c r="J1128" s="10" t="b">
        <v>0</v>
      </c>
    </row>
    <row r="1129" ht="21" customHeight="1">
      <c r="A1129" s="7" t="n">
        <v>2026</v>
      </c>
      <c r="B1129" s="8" t="n">
        <v>8</v>
      </c>
      <c r="C1129" s="7" t="n">
        <v>20</v>
      </c>
      <c r="D1129" s="10" t="inlineStr">
        <is>
          <t>2 Bestandsveränderungen</t>
        </is>
      </c>
      <c r="E1129" s="7" t="n">
        <v>980398.13</v>
      </c>
      <c r="F1129" s="7" t="n">
        <v>1022525.14</v>
      </c>
      <c r="G1129" s="8" t="n">
        <v>42127.01</v>
      </c>
      <c r="H1129" s="8" t="n">
        <v>4866717.45</v>
      </c>
      <c r="I1129" s="8" t="n">
        <v>4908844.46</v>
      </c>
      <c r="J1129" s="10" t="b">
        <v>0</v>
      </c>
    </row>
    <row r="1130" ht="21" customHeight="1">
      <c r="A1130" s="7" t="n">
        <v>2026</v>
      </c>
      <c r="B1130" s="8" t="n">
        <v>8</v>
      </c>
      <c r="C1130" s="7" t="n">
        <v>30</v>
      </c>
      <c r="D1130" s="10" t="inlineStr">
        <is>
          <t>3 Sonstige betriebliche Erträge</t>
        </is>
      </c>
      <c r="E1130" s="7" t="n">
        <v>13477.03</v>
      </c>
      <c r="F1130" s="7" t="n">
        <v>14281.36</v>
      </c>
      <c r="G1130" s="8" t="n">
        <v>804.33</v>
      </c>
      <c r="H1130" s="8" t="n">
        <v>176244.38</v>
      </c>
      <c r="I1130" s="8" t="n">
        <v>177048.71</v>
      </c>
      <c r="J1130" s="10" t="b">
        <v>1</v>
      </c>
    </row>
    <row r="1131" ht="21" customHeight="1">
      <c r="A1131" s="7" t="n">
        <v>2026</v>
      </c>
      <c r="B1131" s="8" t="n">
        <v>8</v>
      </c>
      <c r="C1131" s="7" t="n">
        <v>40</v>
      </c>
      <c r="D1131" s="10" t="inlineStr">
        <is>
          <t>4 Materialaufwand</t>
        </is>
      </c>
      <c r="E1131" s="7" t="n">
        <v>-1564382.3</v>
      </c>
      <c r="F1131" s="7" t="n">
        <v>-1436882.3</v>
      </c>
      <c r="G1131" s="8" t="n">
        <v>127500</v>
      </c>
      <c r="H1131" s="8" t="n">
        <v>-11822580.08</v>
      </c>
      <c r="I1131" s="8" t="n">
        <v>-11695080.08</v>
      </c>
      <c r="J1131" s="10" t="b">
        <v>0</v>
      </c>
    </row>
    <row r="1132" ht="21" customHeight="1">
      <c r="A1132" s="7" t="n">
        <v>2026</v>
      </c>
      <c r="B1132" s="8" t="n">
        <v>8</v>
      </c>
      <c r="C1132" s="7" t="n">
        <v>50</v>
      </c>
      <c r="D1132" s="10" t="inlineStr">
        <is>
          <t>5 Personalaufwand</t>
        </is>
      </c>
      <c r="E1132" s="7" t="n">
        <v>-429864.59</v>
      </c>
      <c r="F1132" s="7" t="n">
        <v>-399129.54</v>
      </c>
      <c r="G1132" s="8" t="n">
        <v>30735.05</v>
      </c>
      <c r="H1132" s="8" t="n">
        <v>-3100963.72</v>
      </c>
      <c r="I1132" s="8" t="n">
        <v>-3070228.67</v>
      </c>
      <c r="J1132" s="10" t="b">
        <v>0</v>
      </c>
    </row>
    <row r="1133" ht="21" customHeight="1">
      <c r="A1133" s="7" t="n">
        <v>2026</v>
      </c>
      <c r="B1133" s="8" t="n">
        <v>8</v>
      </c>
      <c r="C1133" s="7" t="n">
        <v>60</v>
      </c>
      <c r="D1133" s="10" t="inlineStr">
        <is>
          <t>6 Abschreibungen</t>
        </is>
      </c>
      <c r="E1133" s="7" t="n">
        <v>-9109.85</v>
      </c>
      <c r="F1133" s="7" t="n">
        <v>-9109.85</v>
      </c>
      <c r="G1133" s="8" t="n">
        <v>0</v>
      </c>
      <c r="H1133" s="8" t="n">
        <v>-75676.77</v>
      </c>
      <c r="I1133" s="8" t="n">
        <v>-75676.77</v>
      </c>
      <c r="J1133" s="10" t="b">
        <v>1</v>
      </c>
    </row>
    <row r="1134" ht="21" customHeight="1">
      <c r="A1134" s="7" t="n">
        <v>2026</v>
      </c>
      <c r="B1134" s="8" t="n">
        <v>8</v>
      </c>
      <c r="C1134" s="7" t="n">
        <v>70</v>
      </c>
      <c r="D1134" s="10" t="inlineStr">
        <is>
          <t>7 Sonstige betriebliche Aufwendungen</t>
        </is>
      </c>
      <c r="E1134" s="7" t="n">
        <v>-191884.67</v>
      </c>
      <c r="F1134" s="7" t="n">
        <v>-191884.67</v>
      </c>
      <c r="G1134" s="8" t="n">
        <v>0</v>
      </c>
      <c r="H1134" s="8" t="n">
        <v>-1930241.92</v>
      </c>
      <c r="I1134" s="8" t="n">
        <v>-1930241.92</v>
      </c>
      <c r="J1134" s="10" t="b">
        <v>1</v>
      </c>
    </row>
    <row r="1135" ht="21" customHeight="1">
      <c r="A1135" s="7" t="n">
        <v>2026</v>
      </c>
      <c r="B1135" s="8" t="n">
        <v>8</v>
      </c>
      <c r="C1135" s="7" t="n">
        <v>80</v>
      </c>
      <c r="D1135" s="10" t="inlineStr">
        <is>
          <t>8 Finanzergebnis</t>
        </is>
      </c>
      <c r="E1135" s="7" t="n">
        <v>-12425.47</v>
      </c>
      <c r="F1135" s="7" t="n">
        <v>-12425.47</v>
      </c>
      <c r="G1135" s="8" t="n">
        <v>0</v>
      </c>
      <c r="H1135" s="8" t="n">
        <v>-79887.75</v>
      </c>
      <c r="I1135" s="8" t="n">
        <v>-79887.75</v>
      </c>
      <c r="J1135" s="10" t="b">
        <v>1</v>
      </c>
    </row>
    <row r="1139" ht="24" customHeight="1">
      <c r="A1139" s="58" t="inlineStr">
        <is>
          <t>v_abweichung_monat</t>
        </is>
      </c>
    </row>
    <row r="1140" ht="36" customHeight="1">
      <c r="A1140" s="3" t="inlineStr">
        <is>
          <t>jahr</t>
        </is>
      </c>
      <c r="B1140" s="3" t="inlineStr">
        <is>
          <t>monat</t>
        </is>
      </c>
      <c r="C1140" s="3" t="inlineStr">
        <is>
          <t>art</t>
        </is>
      </c>
      <c r="D1140" s="3" t="inlineStr">
        <is>
          <t>ebitda_plan</t>
        </is>
      </c>
      <c r="E1140" s="3" t="inlineStr">
        <is>
          <t>ebitda_wirklich</t>
        </is>
      </c>
      <c r="F1140" s="3" t="inlineStr">
        <is>
          <t>abweichung_gesamt</t>
        </is>
      </c>
      <c r="G1140" s="3" t="inlineStr">
        <is>
          <t>gl_plan</t>
        </is>
      </c>
      <c r="H1140" s="3" t="inlineStr">
        <is>
          <t>gl_wirklich</t>
        </is>
      </c>
      <c r="I1140" s="3" t="inlineStr">
        <is>
          <t>abweichung_leistung</t>
        </is>
      </c>
      <c r="J1140" s="3" t="inlineStr">
        <is>
          <t>umsatz</t>
        </is>
      </c>
      <c r="K1140" s="3" t="inlineStr">
        <is>
          <t>bestand</t>
        </is>
      </c>
      <c r="L1140" s="3" t="inlineStr">
        <is>
          <t>sbe</t>
        </is>
      </c>
      <c r="M1140" s="3" t="inlineStr">
        <is>
          <t>material</t>
        </is>
      </c>
      <c r="N1140" s="3" t="inlineStr">
        <is>
          <t>personal</t>
        </is>
      </c>
      <c r="O1140" s="3" t="inlineStr">
        <is>
          <t>sonstige</t>
        </is>
      </c>
      <c r="P1140" s="3" t="inlineStr">
        <is>
          <t>overhead</t>
        </is>
      </c>
      <c r="Q1140" s="3" t="inlineStr">
        <is>
          <t>bewertung</t>
        </is>
      </c>
    </row>
    <row r="1141" ht="21" customHeight="1">
      <c r="A1141" s="7" t="n">
        <v>2026</v>
      </c>
      <c r="B1141" s="7" t="n">
        <v>1</v>
      </c>
      <c r="C1141" s="10" t="inlineStr">
        <is>
          <t>IST</t>
        </is>
      </c>
      <c r="D1141" s="8" t="n">
        <v>76000</v>
      </c>
      <c r="E1141" s="8" t="n">
        <v>294942.37</v>
      </c>
      <c r="F1141" s="8" t="n">
        <v>218942.37</v>
      </c>
      <c r="G1141" s="8" t="n">
        <v>1416000</v>
      </c>
      <c r="H1141" s="8" t="n">
        <v>1920412.71</v>
      </c>
      <c r="I1141" s="8" t="n">
        <v>504412.71</v>
      </c>
      <c r="J1141" s="8" t="n">
        <v>639565.45</v>
      </c>
      <c r="K1141" s="8" t="n">
        <v>1280847.26</v>
      </c>
      <c r="L1141" s="8" t="n">
        <v>12030.21</v>
      </c>
      <c r="M1141" s="8" t="n">
        <v>-1080421</v>
      </c>
      <c r="N1141" s="8" t="n">
        <v>-338608.8</v>
      </c>
      <c r="O1141" s="8" t="n">
        <v>-223180.95</v>
      </c>
      <c r="P1141" s="8" t="n">
        <v>-89049</v>
      </c>
      <c r="Q1141" s="8" t="n">
        <v>0</v>
      </c>
    </row>
    <row r="1142" ht="21" customHeight="1">
      <c r="A1142" s="7" t="n">
        <v>2026</v>
      </c>
      <c r="B1142" s="7" t="n">
        <v>2</v>
      </c>
      <c r="C1142" s="10" t="inlineStr">
        <is>
          <t>IST</t>
        </is>
      </c>
      <c r="D1142" s="8" t="n">
        <v>25000</v>
      </c>
      <c r="E1142" s="8" t="n">
        <v>318570.76</v>
      </c>
      <c r="F1142" s="8" t="n">
        <v>293570.76</v>
      </c>
      <c r="G1142" s="8" t="n">
        <v>1348000</v>
      </c>
      <c r="H1142" s="8" t="n">
        <v>2577067.73</v>
      </c>
      <c r="I1142" s="8" t="n">
        <v>1229067.73</v>
      </c>
      <c r="J1142" s="8" t="n">
        <v>2777244.65</v>
      </c>
      <c r="K1142" s="8" t="n">
        <v>-200176.92</v>
      </c>
      <c r="L1142" s="8" t="n">
        <v>22190.76</v>
      </c>
      <c r="M1142" s="8" t="n">
        <v>-1706242.27</v>
      </c>
      <c r="N1142" s="8" t="n">
        <v>-363244</v>
      </c>
      <c r="O1142" s="8" t="n">
        <v>-214918.93</v>
      </c>
      <c r="P1142" s="8" t="n">
        <v>-104263</v>
      </c>
      <c r="Q1142" s="8" t="n">
        <v>0</v>
      </c>
    </row>
    <row r="1143" ht="21" customHeight="1">
      <c r="A1143" s="7" t="n">
        <v>2026</v>
      </c>
      <c r="B1143" s="7" t="n">
        <v>3</v>
      </c>
      <c r="C1143" s="10" t="inlineStr">
        <is>
          <t>IST</t>
        </is>
      </c>
      <c r="D1143" s="8" t="n">
        <v>127000</v>
      </c>
      <c r="E1143" s="8" t="n">
        <v>23595.18</v>
      </c>
      <c r="F1143" s="8" t="n">
        <v>-103404.82</v>
      </c>
      <c r="G1143" s="8" t="n">
        <v>1483000</v>
      </c>
      <c r="H1143" s="8" t="n">
        <v>2412212.87</v>
      </c>
      <c r="I1143" s="8" t="n">
        <v>929212.87</v>
      </c>
      <c r="J1143" s="8" t="n">
        <v>1213541.38</v>
      </c>
      <c r="K1143" s="8" t="n">
        <v>1198671.49</v>
      </c>
      <c r="L1143" s="8" t="n">
        <v>15409.39</v>
      </c>
      <c r="M1143" s="8" t="n">
        <v>-1746548.03</v>
      </c>
      <c r="N1143" s="8" t="n">
        <v>-383792.43</v>
      </c>
      <c r="O1143" s="8" t="n">
        <v>-286856.5</v>
      </c>
      <c r="P1143" s="8" t="n">
        <v>-151248</v>
      </c>
      <c r="Q1143" s="8" t="n">
        <v>0</v>
      </c>
    </row>
    <row r="1144" ht="21" customHeight="1">
      <c r="A1144" s="7" t="n">
        <v>2026</v>
      </c>
      <c r="B1144" s="7" t="n">
        <v>4</v>
      </c>
      <c r="C1144" s="10" t="inlineStr">
        <is>
          <t>IST</t>
        </is>
      </c>
      <c r="D1144" s="8" t="n">
        <v>24000</v>
      </c>
      <c r="E1144" s="8" t="n">
        <v>-179274.07</v>
      </c>
      <c r="F1144" s="8" t="n">
        <v>-203274.07</v>
      </c>
      <c r="G1144" s="8" t="n">
        <v>1348000</v>
      </c>
      <c r="H1144" s="8" t="n">
        <v>1939563.48</v>
      </c>
      <c r="I1144" s="8" t="n">
        <v>591563.48</v>
      </c>
      <c r="J1144" s="8" t="n">
        <v>678343.59</v>
      </c>
      <c r="K1144" s="8" t="n">
        <v>1261219.89</v>
      </c>
      <c r="L1144" s="8" t="n">
        <v>56063.55</v>
      </c>
      <c r="M1144" s="8" t="n">
        <v>-1520583.11</v>
      </c>
      <c r="N1144" s="8" t="n">
        <v>-383705.5</v>
      </c>
      <c r="O1144" s="8" t="n">
        <v>-275785.95</v>
      </c>
      <c r="P1144" s="8" t="n">
        <v>-152056</v>
      </c>
      <c r="Q1144" s="8" t="n">
        <v>0</v>
      </c>
    </row>
    <row r="1145" ht="21" customHeight="1">
      <c r="A1145" s="7" t="n">
        <v>2026</v>
      </c>
      <c r="B1145" s="7" t="n">
        <v>5</v>
      </c>
      <c r="C1145" s="10" t="inlineStr">
        <is>
          <t>IST</t>
        </is>
      </c>
      <c r="D1145" s="8" t="n">
        <v>-79000</v>
      </c>
      <c r="E1145" s="8" t="n">
        <v>-141241.9</v>
      </c>
      <c r="F1145" s="8" t="n">
        <v>-62241.9</v>
      </c>
      <c r="G1145" s="8" t="n">
        <v>1213000</v>
      </c>
      <c r="H1145" s="8" t="n">
        <v>1083981.39</v>
      </c>
      <c r="I1145" s="8" t="n">
        <v>-129018.61</v>
      </c>
      <c r="J1145" s="8" t="n">
        <v>1347585.48</v>
      </c>
      <c r="K1145" s="8" t="n">
        <v>-263604.09</v>
      </c>
      <c r="L1145" s="8" t="n">
        <v>24678.87</v>
      </c>
      <c r="M1145" s="8" t="n">
        <v>-582901.1800000001</v>
      </c>
      <c r="N1145" s="8" t="n">
        <v>-432453.34</v>
      </c>
      <c r="O1145" s="8" t="n">
        <v>-237116.93</v>
      </c>
      <c r="P1145" s="8" t="n">
        <v>-163062</v>
      </c>
      <c r="Q1145" s="8" t="n">
        <v>0</v>
      </c>
    </row>
    <row r="1146" ht="21" customHeight="1">
      <c r="A1146" s="7" t="n">
        <v>2026</v>
      </c>
      <c r="B1146" s="7" t="n">
        <v>6</v>
      </c>
      <c r="C1146" s="10" t="inlineStr">
        <is>
          <t>IST</t>
        </is>
      </c>
      <c r="D1146" s="8" t="n">
        <v>126000</v>
      </c>
      <c r="E1146" s="8" t="n">
        <v>58553.86</v>
      </c>
      <c r="F1146" s="8" t="n">
        <v>-67446.14</v>
      </c>
      <c r="G1146" s="8" t="n">
        <v>1483000</v>
      </c>
      <c r="H1146" s="8" t="n">
        <v>2784687.33</v>
      </c>
      <c r="I1146" s="8" t="n">
        <v>1301687.33</v>
      </c>
      <c r="J1146" s="8" t="n">
        <v>2470042.1</v>
      </c>
      <c r="K1146" s="8" t="n">
        <v>314645.23</v>
      </c>
      <c r="L1146" s="8" t="n">
        <v>17068.34</v>
      </c>
      <c r="M1146" s="8" t="n">
        <v>-2109049.83</v>
      </c>
      <c r="N1146" s="8" t="n">
        <v>-378900.06</v>
      </c>
      <c r="O1146" s="8" t="n">
        <v>-255251.92</v>
      </c>
      <c r="P1146" s="8" t="n">
        <v>-148642</v>
      </c>
      <c r="Q1146" s="8" t="n">
        <v>0</v>
      </c>
    </row>
    <row r="1147" ht="21" customHeight="1">
      <c r="A1147" s="7" t="n">
        <v>2026</v>
      </c>
      <c r="B1147" s="7" t="n">
        <v>7</v>
      </c>
      <c r="C1147" s="10" t="inlineStr">
        <is>
          <t>IST</t>
        </is>
      </c>
      <c r="D1147" s="8" t="n">
        <v>178000</v>
      </c>
      <c r="E1147" s="8" t="n">
        <v>-495291.54</v>
      </c>
      <c r="F1147" s="8" t="n">
        <v>-673291.54</v>
      </c>
      <c r="G1147" s="8" t="n">
        <v>1551000</v>
      </c>
      <c r="H1147" s="8" t="n">
        <v>1618644.66</v>
      </c>
      <c r="I1147" s="8" t="n">
        <v>67644.66</v>
      </c>
      <c r="J1147" s="8" t="n">
        <v>1323928.2</v>
      </c>
      <c r="K1147" s="8" t="n">
        <v>294716.46</v>
      </c>
      <c r="L1147" s="8" t="n">
        <v>15326.23</v>
      </c>
      <c r="M1147" s="8" t="n">
        <v>-1512452.36</v>
      </c>
      <c r="N1147" s="8" t="n">
        <v>-390395</v>
      </c>
      <c r="O1147" s="8" t="n">
        <v>-245246.07</v>
      </c>
      <c r="P1147" s="8" t="n">
        <v>-148641</v>
      </c>
      <c r="Q1147" s="8" t="n">
        <v>0</v>
      </c>
    </row>
    <row r="1148" ht="21" customHeight="1">
      <c r="A1148" s="7" t="n">
        <v>2026</v>
      </c>
      <c r="B1148" s="7" t="n">
        <v>8</v>
      </c>
      <c r="C1148" s="10" t="inlineStr">
        <is>
          <t>IST</t>
        </is>
      </c>
      <c r="D1148" s="8" t="n">
        <v>76000</v>
      </c>
      <c r="E1148" s="8" t="n">
        <v>-138242.37</v>
      </c>
      <c r="F1148" s="8" t="n">
        <v>-214242.37</v>
      </c>
      <c r="G1148" s="8" t="n">
        <v>1416000</v>
      </c>
      <c r="H1148" s="8" t="n">
        <v>1876864.98</v>
      </c>
      <c r="I1148" s="8" t="n">
        <v>460864.98</v>
      </c>
      <c r="J1148" s="8" t="n">
        <v>854339.84</v>
      </c>
      <c r="K1148" s="8" t="n">
        <v>1022525.14</v>
      </c>
      <c r="L1148" s="8" t="n">
        <v>14281.36</v>
      </c>
      <c r="M1148" s="8" t="n">
        <v>-1436882.3</v>
      </c>
      <c r="N1148" s="8" t="n">
        <v>-399129.54</v>
      </c>
      <c r="O1148" s="8" t="n">
        <v>-191884.67</v>
      </c>
      <c r="P1148" s="8" t="n">
        <v>-152558</v>
      </c>
      <c r="Q1148" s="8" t="n">
        <v>0</v>
      </c>
    </row>
    <row r="1149" ht="21" customHeight="1">
      <c r="A1149" s="7" t="n">
        <v>2026</v>
      </c>
      <c r="B1149" s="7" t="n">
        <v>9</v>
      </c>
      <c r="C1149" s="10" t="inlineStr">
        <is>
          <t>FC</t>
        </is>
      </c>
      <c r="D1149" s="8" t="n">
        <v>125000</v>
      </c>
      <c r="E1149" s="8" t="n">
        <v>309886</v>
      </c>
      <c r="F1149" s="8" t="n">
        <v>184886</v>
      </c>
      <c r="G1149" s="8" t="n">
        <v>1483000</v>
      </c>
      <c r="H1149" s="8" t="n">
        <v>2604944</v>
      </c>
      <c r="I1149" s="8" t="n">
        <v>1121944</v>
      </c>
      <c r="J1149" s="8" t="n">
        <v>2604944</v>
      </c>
      <c r="K1149" s="8" t="n">
        <v>0</v>
      </c>
      <c r="L1149" s="8" t="n">
        <v>325242.43</v>
      </c>
      <c r="M1149" s="8" t="n">
        <v>-1735737.84</v>
      </c>
      <c r="N1149" s="8" t="n">
        <v>-356776.51</v>
      </c>
      <c r="O1149" s="8" t="n">
        <v>-258426.01</v>
      </c>
      <c r="P1149" s="8" t="n">
        <v>-158558</v>
      </c>
      <c r="Q1149" s="8" t="n">
        <v>0</v>
      </c>
    </row>
    <row r="1150" ht="21" customHeight="1">
      <c r="A1150" s="7" t="n">
        <v>2026</v>
      </c>
      <c r="B1150" s="7" t="n">
        <v>10</v>
      </c>
      <c r="C1150" s="10" t="inlineStr">
        <is>
          <t>FC</t>
        </is>
      </c>
      <c r="D1150" s="8" t="n">
        <v>125000</v>
      </c>
      <c r="E1150" s="8" t="n">
        <v>118692</v>
      </c>
      <c r="F1150" s="8" t="n">
        <v>-6308</v>
      </c>
      <c r="G1150" s="8" t="n">
        <v>1483000</v>
      </c>
      <c r="H1150" s="8" t="n">
        <v>1333000</v>
      </c>
      <c r="I1150" s="8" t="n">
        <v>-150000</v>
      </c>
      <c r="J1150" s="8" t="n">
        <v>1333000</v>
      </c>
      <c r="K1150" s="8" t="n">
        <v>0</v>
      </c>
      <c r="L1150" s="8" t="n"/>
      <c r="M1150" s="8" t="n"/>
      <c r="N1150" s="8" t="n"/>
      <c r="O1150" s="8" t="n"/>
      <c r="P1150" s="8" t="n">
        <v>-142558</v>
      </c>
      <c r="Q1150" s="8" t="n">
        <v>0</v>
      </c>
    </row>
    <row r="1151" ht="21" customHeight="1">
      <c r="A1151" s="7" t="n">
        <v>2026</v>
      </c>
      <c r="B1151" s="7" t="n">
        <v>11</v>
      </c>
      <c r="C1151" s="10" t="inlineStr">
        <is>
          <t>FC</t>
        </is>
      </c>
      <c r="D1151" s="8" t="n">
        <v>73000</v>
      </c>
      <c r="E1151" s="8" t="n">
        <v>380092</v>
      </c>
      <c r="F1151" s="8" t="n">
        <v>307092</v>
      </c>
      <c r="G1151" s="8" t="n">
        <v>1416000</v>
      </c>
      <c r="H1151" s="8" t="n">
        <v>1775000</v>
      </c>
      <c r="I1151" s="8" t="n">
        <v>359000</v>
      </c>
      <c r="J1151" s="8" t="n">
        <v>1775000</v>
      </c>
      <c r="K1151" s="8" t="n">
        <v>0</v>
      </c>
      <c r="L1151" s="8" t="n"/>
      <c r="M1151" s="8" t="n"/>
      <c r="N1151" s="8" t="n"/>
      <c r="O1151" s="8" t="n"/>
      <c r="P1151" s="8" t="n">
        <v>-136558</v>
      </c>
      <c r="Q1151" s="8" t="n">
        <v>0</v>
      </c>
    </row>
    <row r="1152" ht="21" customHeight="1">
      <c r="A1152" s="7" t="n">
        <v>2026</v>
      </c>
      <c r="B1152" s="7" t="n">
        <v>12</v>
      </c>
      <c r="C1152" s="10" t="inlineStr">
        <is>
          <t>FC</t>
        </is>
      </c>
      <c r="D1152" s="8" t="n">
        <v>124000</v>
      </c>
      <c r="E1152" s="8" t="n">
        <v>-110405</v>
      </c>
      <c r="F1152" s="8" t="n">
        <v>-234405</v>
      </c>
      <c r="G1152" s="8" t="n">
        <v>1483000</v>
      </c>
      <c r="H1152" s="8" t="n">
        <v>1073000</v>
      </c>
      <c r="I1152" s="8" t="n">
        <v>-410000</v>
      </c>
      <c r="J1152" s="8" t="n">
        <v>1073000</v>
      </c>
      <c r="K1152" s="8" t="n">
        <v>0</v>
      </c>
      <c r="L1152" s="8" t="n"/>
      <c r="M1152" s="8" t="n"/>
      <c r="N1152" s="8" t="n"/>
      <c r="O1152" s="8" t="n"/>
      <c r="P1152" s="8" t="n">
        <v>-136558</v>
      </c>
      <c r="Q1152" s="8" t="n">
        <v>0</v>
      </c>
    </row>
    <row r="1156" ht="24" customHeight="1">
      <c r="A1156" s="58" t="inlineStr">
        <is>
          <t>v_plan_position_monat</t>
        </is>
      </c>
    </row>
    <row r="1157" ht="36" customHeight="1">
      <c r="A1157" s="3" t="inlineStr">
        <is>
          <t>jahr</t>
        </is>
      </c>
      <c r="B1157" s="3" t="inlineStr">
        <is>
          <t>monat</t>
        </is>
      </c>
      <c r="C1157" s="3" t="inlineStr">
        <is>
          <t>guv_position</t>
        </is>
      </c>
      <c r="D1157" s="3" t="inlineStr">
        <is>
          <t>kostenblock</t>
        </is>
      </c>
      <c r="E1157" s="3" t="inlineStr">
        <is>
          <t>plan_monat</t>
        </is>
      </c>
      <c r="F1157" s="3" t="inlineStr">
        <is>
          <t>jahr_wert</t>
        </is>
      </c>
    </row>
    <row r="1158" ht="21" customHeight="1">
      <c r="A1158" s="7" t="n">
        <v>2029</v>
      </c>
      <c r="B1158" s="7" t="n">
        <v>1</v>
      </c>
      <c r="C1158" s="10" t="inlineStr">
        <is>
          <t>Sonderz. Prämie</t>
        </is>
      </c>
      <c r="D1158" s="10" t="inlineStr">
        <is>
          <t>Personalaufwand</t>
        </is>
      </c>
      <c r="E1158" s="7" t="n">
        <v>23292.21</v>
      </c>
      <c r="F1158" s="7" t="n">
        <v>279506.56</v>
      </c>
    </row>
    <row r="1159" ht="21" customHeight="1">
      <c r="A1159" s="7" t="n">
        <v>2030</v>
      </c>
      <c r="B1159" s="7" t="n">
        <v>1</v>
      </c>
      <c r="C1159" s="10" t="inlineStr">
        <is>
          <t>sonst Personalk</t>
        </is>
      </c>
      <c r="D1159" s="10" t="inlineStr">
        <is>
          <t>Personalaufwand</t>
        </is>
      </c>
      <c r="E1159" s="7" t="n">
        <v>15558.93</v>
      </c>
      <c r="F1159" s="7" t="n">
        <v>186707.19</v>
      </c>
    </row>
    <row r="1160" ht="21" customHeight="1">
      <c r="A1160" s="7" t="n">
        <v>2031</v>
      </c>
      <c r="B1160" s="7" t="n">
        <v>1</v>
      </c>
      <c r="C1160" s="10" t="inlineStr">
        <is>
          <t>Ankauf Rohstoff</t>
        </is>
      </c>
      <c r="D1160" s="10" t="inlineStr">
        <is>
          <t>Vorleistungen</t>
        </is>
      </c>
      <c r="E1160" s="7" t="n">
        <v>1489.65</v>
      </c>
      <c r="F1160" s="7" t="n">
        <v>17875.76</v>
      </c>
    </row>
    <row r="1161" ht="21" customHeight="1">
      <c r="A1161" s="7" t="n">
        <v>2029</v>
      </c>
      <c r="B1161" s="7" t="n">
        <v>1</v>
      </c>
      <c r="C1161" s="10" t="inlineStr">
        <is>
          <t>Weiterber. Frem</t>
        </is>
      </c>
      <c r="D1161" s="10" t="inlineStr">
        <is>
          <t>Vorleistungen</t>
        </is>
      </c>
      <c r="E1161" s="7" t="n">
        <v>0</v>
      </c>
      <c r="F1161" s="7" t="n">
        <v>0</v>
      </c>
    </row>
    <row r="1162" ht="21" customHeight="1">
      <c r="A1162" s="7" t="n">
        <v>2031</v>
      </c>
      <c r="B1162" s="7" t="n">
        <v>1</v>
      </c>
      <c r="C1162" s="10" t="inlineStr">
        <is>
          <t>Sonstige Steuer</t>
        </is>
      </c>
      <c r="D1162" s="10" t="inlineStr">
        <is>
          <t>Fuhrparkkosten</t>
        </is>
      </c>
      <c r="E1162" s="7" t="n">
        <v>1890.32</v>
      </c>
      <c r="F1162" s="7" t="n">
        <v>22683.81</v>
      </c>
    </row>
    <row r="1163" ht="21" customHeight="1">
      <c r="A1163" s="7" t="n">
        <v>2030</v>
      </c>
      <c r="B1163" s="7" t="n">
        <v>1</v>
      </c>
      <c r="C1163" s="10" t="inlineStr">
        <is>
          <t>Bestandsveraend</t>
        </is>
      </c>
      <c r="D1163" s="10" t="inlineStr">
        <is>
          <t>Gesamtleistung</t>
        </is>
      </c>
      <c r="E1163" s="7" t="n">
        <v>0</v>
      </c>
      <c r="F1163" s="7" t="n">
        <v>0</v>
      </c>
    </row>
    <row r="1164" ht="21" customHeight="1">
      <c r="A1164" s="7" t="n">
        <v>2031</v>
      </c>
      <c r="B1164" s="7" t="n">
        <v>1</v>
      </c>
      <c r="C1164" s="10" t="inlineStr">
        <is>
          <t>Erl. so. DL Dt.</t>
        </is>
      </c>
      <c r="D1164" s="10" t="inlineStr">
        <is>
          <t>Gesamtleistung</t>
        </is>
      </c>
      <c r="E1164" s="7" t="n">
        <v>2428139.11</v>
      </c>
      <c r="F1164" s="7" t="n">
        <v>29137669.32</v>
      </c>
    </row>
    <row r="1165" ht="21" customHeight="1">
      <c r="A1165" s="7" t="n">
        <v>2030</v>
      </c>
      <c r="B1165" s="7" t="n">
        <v>1</v>
      </c>
      <c r="C1165" s="10" t="inlineStr">
        <is>
          <t>Sonstige Steuer</t>
        </is>
      </c>
      <c r="D1165" s="10" t="inlineStr">
        <is>
          <t>Fuhrparkkosten</t>
        </is>
      </c>
      <c r="E1165" s="7" t="n">
        <v>1783.32</v>
      </c>
      <c r="F1165" s="7" t="n">
        <v>21399.82</v>
      </c>
    </row>
    <row r="1166" ht="21" customHeight="1">
      <c r="A1166" s="7" t="n">
        <v>2030</v>
      </c>
      <c r="B1166" s="7" t="n">
        <v>1</v>
      </c>
      <c r="C1166" s="10" t="inlineStr">
        <is>
          <t>Sonderz. Prämie</t>
        </is>
      </c>
      <c r="D1166" s="10" t="inlineStr">
        <is>
          <t>Personalaufwand</t>
        </is>
      </c>
      <c r="E1166" s="7" t="n">
        <v>25004.1</v>
      </c>
      <c r="F1166" s="7" t="n">
        <v>300049.14</v>
      </c>
    </row>
    <row r="1167" ht="21" customHeight="1">
      <c r="A1167" s="7" t="n">
        <v>2029</v>
      </c>
      <c r="B1167" s="7" t="n">
        <v>1</v>
      </c>
      <c r="C1167" s="10" t="inlineStr">
        <is>
          <t>Soziale Abgaben</t>
        </is>
      </c>
      <c r="D1167" s="10" t="inlineStr">
        <is>
          <t>Personalaufwand</t>
        </is>
      </c>
      <c r="E1167" s="7" t="n">
        <v>94488.11</v>
      </c>
      <c r="F1167" s="7" t="n">
        <v>1133857.35</v>
      </c>
    </row>
    <row r="1168" ht="21" customHeight="1">
      <c r="A1168" s="7" t="n">
        <v>2031</v>
      </c>
      <c r="B1168" s="7" t="n">
        <v>1</v>
      </c>
      <c r="C1168" s="10" t="inlineStr">
        <is>
          <t>So. betr. Aufwa</t>
        </is>
      </c>
      <c r="D1168" s="10" t="inlineStr">
        <is>
          <t>Verwaltungskosten</t>
        </is>
      </c>
      <c r="E1168" s="7" t="n">
        <v>735.47</v>
      </c>
      <c r="F1168" s="7" t="n">
        <v>8825.639999999999</v>
      </c>
    </row>
    <row r="1169" ht="21" customHeight="1">
      <c r="A1169" s="7" t="n">
        <v>2027</v>
      </c>
      <c r="B1169" s="7" t="n">
        <v>1</v>
      </c>
      <c r="C1169" s="10" t="inlineStr">
        <is>
          <t>Lohn + Gehalt</t>
        </is>
      </c>
      <c r="D1169" s="10" t="inlineStr">
        <is>
          <t>Personalaufwand</t>
        </is>
      </c>
      <c r="E1169" s="7" t="n">
        <v>287946.36</v>
      </c>
      <c r="F1169" s="7" t="n">
        <v>3455356.33</v>
      </c>
    </row>
    <row r="1170" ht="21" customHeight="1">
      <c r="A1170" s="7" t="n">
        <v>2027</v>
      </c>
      <c r="B1170" s="7" t="n">
        <v>1</v>
      </c>
      <c r="C1170" s="10" t="inlineStr">
        <is>
          <t>So. betr. Aufwa</t>
        </is>
      </c>
      <c r="D1170" s="10" t="inlineStr">
        <is>
          <t>Verwaltungskosten</t>
        </is>
      </c>
      <c r="E1170" s="7" t="n">
        <v>653.45</v>
      </c>
      <c r="F1170" s="7" t="n">
        <v>7841.45</v>
      </c>
    </row>
    <row r="1171" ht="21" customHeight="1">
      <c r="A1171" s="7" t="n">
        <v>2028</v>
      </c>
      <c r="B1171" s="7" t="n">
        <v>1</v>
      </c>
      <c r="C1171" s="10" t="inlineStr">
        <is>
          <t>Ueb Lohn-Gehalt</t>
        </is>
      </c>
      <c r="D1171" s="10" t="inlineStr">
        <is>
          <t>Personalaufwand</t>
        </is>
      </c>
      <c r="E1171" s="7" t="n">
        <v>34332.83</v>
      </c>
      <c r="F1171" s="7" t="n">
        <v>411993.96</v>
      </c>
    </row>
    <row r="1172" ht="21" customHeight="1">
      <c r="A1172" s="7" t="n">
        <v>2027</v>
      </c>
      <c r="B1172" s="7" t="n">
        <v>1</v>
      </c>
      <c r="C1172" s="10" t="inlineStr">
        <is>
          <t>Verwaltungskost</t>
        </is>
      </c>
      <c r="D1172" s="10" t="inlineStr">
        <is>
          <t>Verwaltungskosten</t>
        </is>
      </c>
      <c r="E1172" s="7" t="n">
        <v>6691.47</v>
      </c>
      <c r="F1172" s="7" t="n">
        <v>80297.62</v>
      </c>
    </row>
    <row r="1173" ht="21" customHeight="1">
      <c r="A1173" s="7" t="n">
        <v>2030</v>
      </c>
      <c r="B1173" s="7" t="n">
        <v>1</v>
      </c>
      <c r="C1173" s="10" t="inlineStr">
        <is>
          <t>Aufw. Heizmat.</t>
        </is>
      </c>
      <c r="D1173" s="10" t="inlineStr">
        <is>
          <t>Vorleistungen</t>
        </is>
      </c>
      <c r="E1173" s="7" t="n">
        <v>230.4</v>
      </c>
      <c r="F1173" s="7" t="n">
        <v>2764.82</v>
      </c>
    </row>
    <row r="1174" ht="21" customHeight="1">
      <c r="A1174" s="7" t="n">
        <v>2027</v>
      </c>
      <c r="B1174" s="7" t="n">
        <v>1</v>
      </c>
      <c r="C1174" s="10" t="inlineStr">
        <is>
          <t>Versicherungskosten</t>
        </is>
      </c>
      <c r="D1174" s="10" t="inlineStr">
        <is>
          <t>Verwaltungskosten</t>
        </is>
      </c>
      <c r="E1174" s="7" t="n">
        <v>10789.61</v>
      </c>
      <c r="F1174" s="7" t="n">
        <v>129475.37</v>
      </c>
    </row>
    <row r="1175" ht="21" customHeight="1">
      <c r="A1175" s="7" t="n">
        <v>2031</v>
      </c>
      <c r="B1175" s="7" t="n">
        <v>1</v>
      </c>
      <c r="C1175" s="10" t="inlineStr">
        <is>
          <t>Instandh. BGA</t>
        </is>
      </c>
      <c r="D1175" s="10" t="inlineStr">
        <is>
          <t>Instandh. Betriebsausstattung</t>
        </is>
      </c>
      <c r="E1175" s="7" t="n">
        <v>5124.63</v>
      </c>
      <c r="F1175" s="7" t="n">
        <v>61495.58</v>
      </c>
    </row>
    <row r="1176" ht="21" customHeight="1">
      <c r="A1176" s="7" t="n">
        <v>2029</v>
      </c>
      <c r="B1176" s="7" t="n">
        <v>1</v>
      </c>
      <c r="C1176" s="10" t="inlineStr">
        <is>
          <t>Treibstoffe, Oe</t>
        </is>
      </c>
      <c r="D1176" s="10" t="inlineStr">
        <is>
          <t>Fuhrparkkosten</t>
        </is>
      </c>
      <c r="E1176" s="7" t="n">
        <v>32242.68</v>
      </c>
      <c r="F1176" s="7" t="n">
        <v>386912.19</v>
      </c>
    </row>
    <row r="1177" ht="21" customHeight="1">
      <c r="A1177" s="7" t="n">
        <v>2027</v>
      </c>
      <c r="B1177" s="7" t="n">
        <v>1</v>
      </c>
      <c r="C1177" s="10" t="inlineStr">
        <is>
          <t>Instandh. BGA</t>
        </is>
      </c>
      <c r="D1177" s="10" t="inlineStr">
        <is>
          <t>Instandh. Betriebsausstattung</t>
        </is>
      </c>
      <c r="E1177" s="7" t="n">
        <v>4216.05</v>
      </c>
      <c r="F1177" s="7" t="n">
        <v>50592.58</v>
      </c>
    </row>
    <row r="1178" ht="21" customHeight="1">
      <c r="A1178" s="7" t="n">
        <v>2029</v>
      </c>
      <c r="B1178" s="7" t="n">
        <v>1</v>
      </c>
      <c r="C1178" s="10" t="inlineStr">
        <is>
          <t>Ueb Lohn-Gehalt</t>
        </is>
      </c>
      <c r="D1178" s="10" t="inlineStr">
        <is>
          <t>Personalaufwand</t>
        </is>
      </c>
      <c r="E1178" s="7" t="n">
        <v>37989.9</v>
      </c>
      <c r="F1178" s="7" t="n">
        <v>455878.84</v>
      </c>
    </row>
    <row r="1179" ht="21" customHeight="1">
      <c r="A1179" s="7" t="n">
        <v>2031</v>
      </c>
      <c r="B1179" s="7" t="n">
        <v>1</v>
      </c>
      <c r="C1179" s="10" t="inlineStr">
        <is>
          <t>Erl. Waren Dt.</t>
        </is>
      </c>
      <c r="D1179" s="10" t="inlineStr">
        <is>
          <t>Gesamtleistung</t>
        </is>
      </c>
      <c r="E1179" s="7" t="n">
        <v>50865.59</v>
      </c>
      <c r="F1179" s="7" t="n">
        <v>610387.05</v>
      </c>
    </row>
    <row r="1180" ht="21" customHeight="1">
      <c r="A1180" s="7" t="n">
        <v>2027</v>
      </c>
      <c r="B1180" s="7" t="n">
        <v>1</v>
      </c>
      <c r="C1180" s="10" t="inlineStr">
        <is>
          <t>Fremdl. Persona</t>
        </is>
      </c>
      <c r="D1180" s="10" t="inlineStr">
        <is>
          <t>Vorleistungen</t>
        </is>
      </c>
      <c r="E1180" s="7" t="n">
        <v>61.31</v>
      </c>
      <c r="F1180" s="7" t="n">
        <v>735.66</v>
      </c>
    </row>
    <row r="1181" ht="21" customHeight="1">
      <c r="A1181" s="7" t="n">
        <v>2027</v>
      </c>
      <c r="B1181" s="7" t="n">
        <v>1</v>
      </c>
      <c r="C1181" s="10" t="inlineStr">
        <is>
          <t>Aufwand Umlage</t>
        </is>
      </c>
      <c r="D1181" s="10" t="inlineStr">
        <is>
          <t>Verwaltungskosten</t>
        </is>
      </c>
      <c r="E1181" s="7" t="n">
        <v>3383.24</v>
      </c>
      <c r="F1181" s="7" t="n">
        <v>40598.91</v>
      </c>
    </row>
    <row r="1182" ht="21" customHeight="1">
      <c r="A1182" s="7" t="n">
        <v>2031</v>
      </c>
      <c r="B1182" s="7" t="n">
        <v>1</v>
      </c>
      <c r="C1182" s="10" t="inlineStr">
        <is>
          <t>Ueb Lohn-Gehalt</t>
        </is>
      </c>
      <c r="D1182" s="10" t="inlineStr">
        <is>
          <t>Personalaufwand</t>
        </is>
      </c>
      <c r="E1182" s="7" t="n">
        <v>45675.82</v>
      </c>
      <c r="F1182" s="7" t="n">
        <v>548109.79</v>
      </c>
    </row>
    <row r="1183" ht="21" customHeight="1">
      <c r="A1183" s="7" t="n">
        <v>2027</v>
      </c>
      <c r="B1183" s="7" t="n">
        <v>1</v>
      </c>
      <c r="C1183" s="10" t="inlineStr">
        <is>
          <t>Rechts- u. Beratungs</t>
        </is>
      </c>
      <c r="D1183" s="10" t="inlineStr">
        <is>
          <t>Verwaltungskosten</t>
        </is>
      </c>
      <c r="E1183" s="7" t="n">
        <v>25635.99</v>
      </c>
      <c r="F1183" s="7" t="n">
        <v>307631.89</v>
      </c>
    </row>
    <row r="1184" ht="21" customHeight="1">
      <c r="A1184" s="7" t="n">
        <v>2028</v>
      </c>
      <c r="B1184" s="7" t="n">
        <v>1</v>
      </c>
      <c r="C1184" s="10" t="inlineStr">
        <is>
          <t>Verwaltungskost</t>
        </is>
      </c>
      <c r="D1184" s="10" t="inlineStr">
        <is>
          <t>Verwaltungskosten</t>
        </is>
      </c>
      <c r="E1184" s="7" t="n">
        <v>6892.21</v>
      </c>
      <c r="F1184" s="7" t="n">
        <v>82706.56</v>
      </c>
    </row>
    <row r="1185" ht="21" customHeight="1">
      <c r="A1185" s="7" t="n">
        <v>2028</v>
      </c>
      <c r="B1185" s="7" t="n">
        <v>1</v>
      </c>
      <c r="C1185" s="10" t="inlineStr">
        <is>
          <t>Ueb. bezog.Leis</t>
        </is>
      </c>
      <c r="D1185" s="10" t="inlineStr">
        <is>
          <t>Vorleistungen</t>
        </is>
      </c>
      <c r="E1185" s="7" t="n">
        <v>1342498.67</v>
      </c>
      <c r="F1185" s="7" t="n">
        <v>16109983.99</v>
      </c>
    </row>
    <row r="1186" ht="21" customHeight="1">
      <c r="A1186" s="7" t="n">
        <v>2028</v>
      </c>
      <c r="B1186" s="7" t="n">
        <v>1</v>
      </c>
      <c r="C1186" s="10" t="inlineStr">
        <is>
          <t>Ankauf Rohstoff</t>
        </is>
      </c>
      <c r="D1186" s="10" t="inlineStr">
        <is>
          <t>Vorleistungen</t>
        </is>
      </c>
      <c r="E1186" s="7" t="n">
        <v>1457.38</v>
      </c>
      <c r="F1186" s="7" t="n">
        <v>17488.61</v>
      </c>
    </row>
    <row r="1187" ht="21" customHeight="1">
      <c r="A1187" s="7" t="n">
        <v>2029</v>
      </c>
      <c r="B1187" s="7" t="n">
        <v>1</v>
      </c>
      <c r="C1187" s="10" t="inlineStr">
        <is>
          <t>Erloesschmaeler</t>
        </is>
      </c>
      <c r="D1187" s="10" t="inlineStr">
        <is>
          <t>Gesamtleistung</t>
        </is>
      </c>
      <c r="E1187" s="7" t="n">
        <v>-9048.01</v>
      </c>
      <c r="F1187" s="7" t="n">
        <v>-108576.08</v>
      </c>
    </row>
    <row r="1188" ht="21" customHeight="1">
      <c r="A1188" s="7" t="n">
        <v>2029</v>
      </c>
      <c r="B1188" s="7" t="n">
        <v>1</v>
      </c>
      <c r="C1188" s="10" t="inlineStr">
        <is>
          <t>Leasing PKW</t>
        </is>
      </c>
      <c r="D1188" s="10" t="inlineStr">
        <is>
          <t>Fuhrparkkosten</t>
        </is>
      </c>
      <c r="E1188" s="7" t="n">
        <v>24652.26</v>
      </c>
      <c r="F1188" s="7" t="n">
        <v>295827.14</v>
      </c>
    </row>
    <row r="1189" ht="21" customHeight="1">
      <c r="A1189" s="7" t="n">
        <v>2029</v>
      </c>
      <c r="B1189" s="7" t="n">
        <v>1</v>
      </c>
      <c r="C1189" s="10" t="inlineStr">
        <is>
          <t>Fremdl. Persona</t>
        </is>
      </c>
      <c r="D1189" s="10" t="inlineStr">
        <is>
          <t>Vorleistungen</t>
        </is>
      </c>
      <c r="E1189" s="7" t="n">
        <v>73.3</v>
      </c>
      <c r="F1189" s="7" t="n">
        <v>879.54</v>
      </c>
    </row>
    <row r="1190" ht="21" customHeight="1">
      <c r="A1190" s="7" t="n">
        <v>2028</v>
      </c>
      <c r="B1190" s="7" t="n">
        <v>1</v>
      </c>
      <c r="C1190" s="10" t="inlineStr">
        <is>
          <t>Aufwand Umlage</t>
        </is>
      </c>
      <c r="D1190" s="10" t="inlineStr">
        <is>
          <t>Verwaltungskosten</t>
        </is>
      </c>
      <c r="E1190" s="7" t="n">
        <v>3484.74</v>
      </c>
      <c r="F1190" s="7" t="n">
        <v>41816.88</v>
      </c>
    </row>
    <row r="1191" ht="21" customHeight="1">
      <c r="A1191" s="7" t="n">
        <v>2027</v>
      </c>
      <c r="B1191" s="7" t="n">
        <v>1</v>
      </c>
      <c r="C1191" s="10" t="inlineStr">
        <is>
          <t>Ankauf Rohstoff</t>
        </is>
      </c>
      <c r="D1191" s="10" t="inlineStr">
        <is>
          <t>Vorleistungen</t>
        </is>
      </c>
      <c r="E1191" s="7" t="n">
        <v>1408.24</v>
      </c>
      <c r="F1191" s="7" t="n">
        <v>16898.9</v>
      </c>
    </row>
    <row r="1192" ht="21" customHeight="1">
      <c r="A1192" s="7" t="n">
        <v>2030</v>
      </c>
      <c r="B1192" s="7" t="n">
        <v>1</v>
      </c>
      <c r="C1192" s="10" t="inlineStr">
        <is>
          <t>Erloesschmaeler</t>
        </is>
      </c>
      <c r="D1192" s="10" t="inlineStr">
        <is>
          <t>Gesamtleistung</t>
        </is>
      </c>
      <c r="E1192" s="7" t="n">
        <v>-9690.75</v>
      </c>
      <c r="F1192" s="7" t="n">
        <v>-116289.05</v>
      </c>
    </row>
    <row r="1193" ht="21" customHeight="1">
      <c r="A1193" s="7" t="n">
        <v>2029</v>
      </c>
      <c r="B1193" s="7" t="n">
        <v>1</v>
      </c>
      <c r="C1193" s="10" t="inlineStr">
        <is>
          <t>Sonst Fuhrparkkosten</t>
        </is>
      </c>
      <c r="D1193" s="10" t="inlineStr">
        <is>
          <t>Fuhrparkkosten</t>
        </is>
      </c>
      <c r="E1193" s="7" t="n">
        <v>5605.91</v>
      </c>
      <c r="F1193" s="7" t="n">
        <v>67270.89</v>
      </c>
    </row>
    <row r="1194" ht="21" customHeight="1">
      <c r="A1194" s="7" t="n">
        <v>2027</v>
      </c>
      <c r="B1194" s="7" t="n">
        <v>1</v>
      </c>
      <c r="C1194" s="10" t="inlineStr">
        <is>
          <t>Soziale Abgaben</t>
        </is>
      </c>
      <c r="D1194" s="10" t="inlineStr">
        <is>
          <t>Personalaufwand</t>
        </is>
      </c>
      <c r="E1194" s="7" t="n">
        <v>75903.69</v>
      </c>
      <c r="F1194" s="7" t="n">
        <v>910844.28</v>
      </c>
    </row>
    <row r="1195" ht="21" customHeight="1">
      <c r="A1195" s="7" t="n">
        <v>2031</v>
      </c>
      <c r="B1195" s="7" t="n">
        <v>1</v>
      </c>
      <c r="C1195" s="10" t="inlineStr">
        <is>
          <t>Erloesschmaeler</t>
        </is>
      </c>
      <c r="D1195" s="10" t="inlineStr">
        <is>
          <t>Gesamtleistung</t>
        </is>
      </c>
      <c r="E1195" s="7" t="n">
        <v>-10347.15</v>
      </c>
      <c r="F1195" s="7" t="n">
        <v>-124165.81</v>
      </c>
    </row>
    <row r="1196" ht="21" customHeight="1">
      <c r="A1196" s="7" t="n">
        <v>2029</v>
      </c>
      <c r="B1196" s="7" t="n">
        <v>1</v>
      </c>
      <c r="C1196" s="10" t="inlineStr">
        <is>
          <t>Ertr. weiterber</t>
        </is>
      </c>
      <c r="D1196" s="10" t="inlineStr">
        <is>
          <t>Gesamtleistung</t>
        </is>
      </c>
      <c r="E1196" s="7" t="n">
        <v>1036.39</v>
      </c>
      <c r="F1196" s="7" t="n">
        <v>12436.69</v>
      </c>
    </row>
    <row r="1197" ht="21" customHeight="1">
      <c r="A1197" s="7" t="n">
        <v>2027</v>
      </c>
      <c r="B1197" s="7" t="n">
        <v>1</v>
      </c>
      <c r="C1197" s="10" t="inlineStr">
        <is>
          <t>Sonderz. Prämie</t>
        </is>
      </c>
      <c r="D1197" s="10" t="inlineStr">
        <is>
          <t>Personalaufwand</t>
        </is>
      </c>
      <c r="E1197" s="7" t="n">
        <v>19636.08</v>
      </c>
      <c r="F1197" s="7" t="n">
        <v>235633</v>
      </c>
    </row>
    <row r="1198" ht="21" customHeight="1">
      <c r="A1198" s="7" t="n">
        <v>2027</v>
      </c>
      <c r="B1198" s="7" t="n">
        <v>1</v>
      </c>
      <c r="C1198" s="10" t="inlineStr">
        <is>
          <t>Miete Behälter</t>
        </is>
      </c>
      <c r="D1198" s="10" t="inlineStr">
        <is>
          <t>Instandh. Betriebsausstattung</t>
        </is>
      </c>
      <c r="E1198" s="7" t="n">
        <v>22.94</v>
      </c>
      <c r="F1198" s="7" t="n">
        <v>275.23</v>
      </c>
    </row>
    <row r="1199" ht="21" customHeight="1">
      <c r="A1199" s="7" t="n">
        <v>2031</v>
      </c>
      <c r="B1199" s="7" t="n">
        <v>1</v>
      </c>
      <c r="C1199" s="10" t="inlineStr">
        <is>
          <t>Versicherungskosten</t>
        </is>
      </c>
      <c r="D1199" s="10" t="inlineStr">
        <is>
          <t>Verwaltungskosten</t>
        </is>
      </c>
      <c r="E1199" s="7" t="n">
        <v>12143.81</v>
      </c>
      <c r="F1199" s="7" t="n">
        <v>145725.66</v>
      </c>
    </row>
    <row r="1200" ht="21" customHeight="1">
      <c r="A1200" s="7" t="n">
        <v>2029</v>
      </c>
      <c r="B1200" s="7" t="n">
        <v>1</v>
      </c>
      <c r="C1200" s="10" t="inlineStr">
        <is>
          <t>Rechts- u. Beratungs</t>
        </is>
      </c>
      <c r="D1200" s="10" t="inlineStr">
        <is>
          <t>Verwaltungskosten</t>
        </is>
      </c>
      <c r="E1200" s="7" t="n">
        <v>27197.22</v>
      </c>
      <c r="F1200" s="7" t="n">
        <v>326366.65</v>
      </c>
    </row>
    <row r="1201" ht="21" customHeight="1">
      <c r="A1201" s="7" t="n">
        <v>2028</v>
      </c>
      <c r="B1201" s="7" t="n">
        <v>1</v>
      </c>
      <c r="C1201" s="10" t="inlineStr">
        <is>
          <t>Instandh.Fuhrp</t>
        </is>
      </c>
      <c r="D1201" s="10" t="inlineStr">
        <is>
          <t>Fuhrparkkosten</t>
        </is>
      </c>
      <c r="E1201" s="7" t="n">
        <v>32180.39</v>
      </c>
      <c r="F1201" s="7" t="n">
        <v>386164.66</v>
      </c>
    </row>
    <row r="1202" ht="21" customHeight="1">
      <c r="A1202" s="7" t="n">
        <v>2030</v>
      </c>
      <c r="B1202" s="7" t="n">
        <v>1</v>
      </c>
      <c r="C1202" s="10" t="inlineStr">
        <is>
          <t>Miete Grdst/Gebäud</t>
        </is>
      </c>
      <c r="D1202" s="10" t="inlineStr">
        <is>
          <t>Raumkosten</t>
        </is>
      </c>
      <c r="E1202" s="7" t="n">
        <v>18603.32</v>
      </c>
      <c r="F1202" s="7" t="n">
        <v>223239.88</v>
      </c>
    </row>
    <row r="1203" ht="21" customHeight="1">
      <c r="A1203" s="7" t="n">
        <v>2027</v>
      </c>
      <c r="B1203" s="7" t="n">
        <v>1</v>
      </c>
      <c r="C1203" s="10" t="inlineStr">
        <is>
          <t>Ueb. bezog.Leis</t>
        </is>
      </c>
      <c r="D1203" s="10" t="inlineStr">
        <is>
          <t>Vorleistungen</t>
        </is>
      </c>
      <c r="E1203" s="7" t="n">
        <v>1319862.34</v>
      </c>
      <c r="F1203" s="7" t="n">
        <v>15838348.13</v>
      </c>
    </row>
    <row r="1204" ht="21" customHeight="1">
      <c r="A1204" s="7" t="n">
        <v>2029</v>
      </c>
      <c r="B1204" s="7" t="n">
        <v>1</v>
      </c>
      <c r="C1204" s="10" t="inlineStr">
        <is>
          <t>Erl. Waren Dt.</t>
        </is>
      </c>
      <c r="D1204" s="10" t="inlineStr">
        <is>
          <t>Gesamtleistung</t>
        </is>
      </c>
      <c r="E1204" s="7" t="n">
        <v>47334.08</v>
      </c>
      <c r="F1204" s="7" t="n">
        <v>568008.92</v>
      </c>
    </row>
    <row r="1205" ht="21" customHeight="1">
      <c r="A1205" s="7" t="n">
        <v>2031</v>
      </c>
      <c r="B1205" s="7" t="n">
        <v>1</v>
      </c>
      <c r="C1205" s="10" t="inlineStr">
        <is>
          <t>Treibstoffe, Oe</t>
        </is>
      </c>
      <c r="D1205" s="10" t="inlineStr">
        <is>
          <t>Fuhrparkkosten</t>
        </is>
      </c>
      <c r="E1205" s="7" t="n">
        <v>36227.88</v>
      </c>
      <c r="F1205" s="7" t="n">
        <v>434734.54</v>
      </c>
    </row>
    <row r="1206" ht="21" customHeight="1">
      <c r="A1206" s="7" t="n">
        <v>2029</v>
      </c>
      <c r="B1206" s="7" t="n">
        <v>1</v>
      </c>
      <c r="C1206" s="10" t="inlineStr">
        <is>
          <t>Miete Behälter</t>
        </is>
      </c>
      <c r="D1206" s="10" t="inlineStr">
        <is>
          <t>Instandh. Betriebsausstattung</t>
        </is>
      </c>
      <c r="E1206" s="7" t="n">
        <v>25.29</v>
      </c>
      <c r="F1206" s="7" t="n">
        <v>303.45</v>
      </c>
    </row>
    <row r="1207" ht="21" customHeight="1">
      <c r="A1207" s="7" t="n">
        <v>2030</v>
      </c>
      <c r="B1207" s="7" t="n">
        <v>1</v>
      </c>
      <c r="C1207" s="10" t="inlineStr">
        <is>
          <t>Instandh. BGA</t>
        </is>
      </c>
      <c r="D1207" s="10" t="inlineStr">
        <is>
          <t>Instandh. Betriebsausstattung</t>
        </is>
      </c>
      <c r="E1207" s="7" t="n">
        <v>4880.6</v>
      </c>
      <c r="F1207" s="7" t="n">
        <v>58567.23</v>
      </c>
    </row>
    <row r="1208" ht="21" customHeight="1">
      <c r="A1208" s="7" t="n">
        <v>2030</v>
      </c>
      <c r="B1208" s="7" t="n">
        <v>1</v>
      </c>
      <c r="C1208" s="10" t="inlineStr">
        <is>
          <t>Lohn + Gehalt</t>
        </is>
      </c>
      <c r="D1208" s="10" t="inlineStr">
        <is>
          <t>Personalaufwand</t>
        </is>
      </c>
      <c r="E1208" s="7" t="n">
        <v>392030.8</v>
      </c>
      <c r="F1208" s="7" t="n">
        <v>4704369.59</v>
      </c>
    </row>
    <row r="1209" ht="21" customHeight="1">
      <c r="A1209" s="7" t="n">
        <v>2027</v>
      </c>
      <c r="B1209" s="7" t="n">
        <v>1</v>
      </c>
      <c r="C1209" s="10" t="inlineStr">
        <is>
          <t>Bestandsveraend</t>
        </is>
      </c>
      <c r="D1209" s="10" t="inlineStr">
        <is>
          <t>Gesamtleistung</t>
        </is>
      </c>
      <c r="E1209" s="7" t="n">
        <v>0</v>
      </c>
      <c r="F1209" s="7" t="n">
        <v>0</v>
      </c>
    </row>
    <row r="1210" ht="21" customHeight="1">
      <c r="A1210" s="7" t="n">
        <v>2027</v>
      </c>
      <c r="B1210" s="7" t="n">
        <v>1</v>
      </c>
      <c r="C1210" s="10" t="inlineStr">
        <is>
          <t>Aufw. so. Hilfs</t>
        </is>
      </c>
      <c r="D1210" s="10" t="inlineStr">
        <is>
          <t>Vorleistungen</t>
        </is>
      </c>
      <c r="E1210" s="7" t="n">
        <v>-16362.04</v>
      </c>
      <c r="F1210" s="7" t="n">
        <v>-196344.47</v>
      </c>
    </row>
    <row r="1211" ht="21" customHeight="1">
      <c r="A1211" s="7" t="n">
        <v>2027</v>
      </c>
      <c r="B1211" s="7" t="n">
        <v>1</v>
      </c>
      <c r="C1211" s="10" t="inlineStr">
        <is>
          <t>Aufw. f. Alters</t>
        </is>
      </c>
      <c r="D1211" s="10" t="inlineStr">
        <is>
          <t>Personalaufwand</t>
        </is>
      </c>
      <c r="E1211" s="7" t="n">
        <v>1234.77</v>
      </c>
      <c r="F1211" s="7" t="n">
        <v>14817.29</v>
      </c>
    </row>
    <row r="1212" ht="21" customHeight="1">
      <c r="A1212" s="7" t="n">
        <v>2027</v>
      </c>
      <c r="B1212" s="7" t="n">
        <v>1</v>
      </c>
      <c r="C1212" s="10" t="inlineStr">
        <is>
          <t>Vertriebskosten</t>
        </is>
      </c>
      <c r="D1212" s="10" t="inlineStr">
        <is>
          <t>Vertriebskosten</t>
        </is>
      </c>
      <c r="E1212" s="7" t="n">
        <v>10833.33</v>
      </c>
      <c r="F1212" s="7" t="n">
        <v>130000</v>
      </c>
    </row>
    <row r="1213" ht="21" customHeight="1">
      <c r="A1213" s="7" t="n">
        <v>2027</v>
      </c>
      <c r="B1213" s="7" t="n">
        <v>1</v>
      </c>
      <c r="C1213" s="10" t="inlineStr">
        <is>
          <t>Ertrag KFZ-Nutz</t>
        </is>
      </c>
      <c r="D1213" s="10" t="inlineStr">
        <is>
          <t>Gesamtleistung</t>
        </is>
      </c>
      <c r="E1213" s="7" t="n">
        <v>8029.69</v>
      </c>
      <c r="F1213" s="7" t="n">
        <v>96356.3</v>
      </c>
    </row>
    <row r="1214" ht="21" customHeight="1">
      <c r="A1214" s="7" t="n">
        <v>2031</v>
      </c>
      <c r="B1214" s="7" t="n">
        <v>1</v>
      </c>
      <c r="C1214" s="10" t="inlineStr">
        <is>
          <t>Lohn + Gehalt</t>
        </is>
      </c>
      <c r="D1214" s="10" t="inlineStr">
        <is>
          <t>Personalaufwand</t>
        </is>
      </c>
      <c r="E1214" s="7" t="n">
        <v>428257.62</v>
      </c>
      <c r="F1214" s="7" t="n">
        <v>5139091.39</v>
      </c>
    </row>
    <row r="1215" ht="21" customHeight="1">
      <c r="A1215" s="7" t="n">
        <v>2031</v>
      </c>
      <c r="B1215" s="7" t="n">
        <v>1</v>
      </c>
      <c r="C1215" s="10" t="inlineStr">
        <is>
          <t>Soziale Abgaben</t>
        </is>
      </c>
      <c r="D1215" s="10" t="inlineStr">
        <is>
          <t>Personalaufwand</t>
        </is>
      </c>
      <c r="E1215" s="7" t="n">
        <v>113909.76</v>
      </c>
      <c r="F1215" s="7" t="n">
        <v>1366917.09</v>
      </c>
    </row>
    <row r="1216" ht="21" customHeight="1">
      <c r="A1216" s="7" t="n">
        <v>2031</v>
      </c>
      <c r="B1216" s="7" t="n">
        <v>1</v>
      </c>
      <c r="C1216" s="10" t="inlineStr">
        <is>
          <t>Sonst Fuhrparkkosten</t>
        </is>
      </c>
      <c r="D1216" s="10" t="inlineStr">
        <is>
          <t>Fuhrparkkosten</t>
        </is>
      </c>
      <c r="E1216" s="7" t="n">
        <v>6298.8</v>
      </c>
      <c r="F1216" s="7" t="n">
        <v>75585.56</v>
      </c>
    </row>
    <row r="1217" ht="21" customHeight="1">
      <c r="A1217" s="7" t="n">
        <v>2030</v>
      </c>
      <c r="B1217" s="7" t="n">
        <v>1</v>
      </c>
      <c r="C1217" s="10" t="inlineStr">
        <is>
          <t>Miete Behälter</t>
        </is>
      </c>
      <c r="D1217" s="10" t="inlineStr">
        <is>
          <t>Instandh. Betriebsausstattung</t>
        </is>
      </c>
      <c r="E1217" s="7" t="n">
        <v>26.55</v>
      </c>
      <c r="F1217" s="7" t="n">
        <v>318.62</v>
      </c>
    </row>
    <row r="1218" ht="21" customHeight="1">
      <c r="A1218" s="7" t="n">
        <v>2028</v>
      </c>
      <c r="B1218" s="7" t="n">
        <v>1</v>
      </c>
      <c r="C1218" s="10" t="inlineStr">
        <is>
          <t>Miete PKW</t>
        </is>
      </c>
      <c r="D1218" s="10" t="inlineStr">
        <is>
          <t>Fuhrparkkosten</t>
        </is>
      </c>
      <c r="E1218" s="7" t="n">
        <v>4890.62</v>
      </c>
      <c r="F1218" s="7" t="n">
        <v>58687.43</v>
      </c>
    </row>
    <row r="1219" ht="21" customHeight="1">
      <c r="A1219" s="7" t="n">
        <v>2030</v>
      </c>
      <c r="B1219" s="7" t="n">
        <v>1</v>
      </c>
      <c r="C1219" s="10" t="inlineStr">
        <is>
          <t>Aufwand Umlage</t>
        </is>
      </c>
      <c r="D1219" s="10" t="inlineStr">
        <is>
          <t>Verwaltungskosten</t>
        </is>
      </c>
      <c r="E1219" s="7" t="n">
        <v>3696.96</v>
      </c>
      <c r="F1219" s="7" t="n">
        <v>44363.53</v>
      </c>
    </row>
    <row r="1220" ht="21" customHeight="1">
      <c r="A1220" s="7" t="n">
        <v>2030</v>
      </c>
      <c r="B1220" s="7" t="n">
        <v>1</v>
      </c>
      <c r="C1220" s="10" t="inlineStr">
        <is>
          <t>So. betr. Aufwa</t>
        </is>
      </c>
      <c r="D1220" s="10" t="inlineStr">
        <is>
          <t>Verwaltungskosten</t>
        </is>
      </c>
      <c r="E1220" s="7" t="n">
        <v>714.05</v>
      </c>
      <c r="F1220" s="7" t="n">
        <v>8568.57</v>
      </c>
    </row>
    <row r="1221" ht="21" customHeight="1">
      <c r="A1221" s="7" t="n">
        <v>2029</v>
      </c>
      <c r="B1221" s="7" t="n">
        <v>1</v>
      </c>
      <c r="C1221" s="10" t="inlineStr">
        <is>
          <t>Versicherungskosten</t>
        </is>
      </c>
      <c r="D1221" s="10" t="inlineStr">
        <is>
          <t>Verwaltungskosten</t>
        </is>
      </c>
      <c r="E1221" s="7" t="n">
        <v>11446.7</v>
      </c>
      <c r="F1221" s="7" t="n">
        <v>137360.42</v>
      </c>
    </row>
    <row r="1222" ht="21" customHeight="1">
      <c r="A1222" s="7" t="n">
        <v>2027</v>
      </c>
      <c r="B1222" s="7" t="n">
        <v>1</v>
      </c>
      <c r="C1222" s="10" t="inlineStr">
        <is>
          <t>Sonstige Steuer</t>
        </is>
      </c>
      <c r="D1222" s="10" t="inlineStr">
        <is>
          <t>Fuhrparkkosten</t>
        </is>
      </c>
      <c r="E1222" s="7" t="n">
        <v>1497.31</v>
      </c>
      <c r="F1222" s="7" t="n">
        <v>17967.71</v>
      </c>
    </row>
    <row r="1223" ht="21" customHeight="1">
      <c r="A1223" s="7" t="n">
        <v>2031</v>
      </c>
      <c r="B1223" s="7" t="n">
        <v>1</v>
      </c>
      <c r="C1223" s="10" t="inlineStr">
        <is>
          <t>Leasing LKW</t>
        </is>
      </c>
      <c r="D1223" s="10" t="inlineStr">
        <is>
          <t>Fuhrparkkosten</t>
        </is>
      </c>
      <c r="E1223" s="7" t="n">
        <v>2910.36</v>
      </c>
      <c r="F1223" s="7" t="n">
        <v>34924.28</v>
      </c>
    </row>
    <row r="1224" ht="21" customHeight="1">
      <c r="A1224" s="7" t="n">
        <v>2029</v>
      </c>
      <c r="B1224" s="7" t="n">
        <v>1</v>
      </c>
      <c r="C1224" s="10" t="inlineStr">
        <is>
          <t>Leasing LKW</t>
        </is>
      </c>
      <c r="D1224" s="10" t="inlineStr">
        <is>
          <t>Fuhrparkkosten</t>
        </is>
      </c>
      <c r="E1224" s="7" t="n">
        <v>2590.21</v>
      </c>
      <c r="F1224" s="7" t="n">
        <v>31082.49</v>
      </c>
    </row>
    <row r="1225" ht="21" customHeight="1">
      <c r="A1225" s="7" t="n">
        <v>2027</v>
      </c>
      <c r="B1225" s="7" t="n">
        <v>1</v>
      </c>
      <c r="C1225" s="10" t="inlineStr">
        <is>
          <t>Instandh.Fuhrp</t>
        </is>
      </c>
      <c r="D1225" s="10" t="inlineStr">
        <is>
          <t>Fuhrparkkosten</t>
        </is>
      </c>
      <c r="E1225" s="7" t="n">
        <v>30358.86</v>
      </c>
      <c r="F1225" s="7" t="n">
        <v>364306.28</v>
      </c>
    </row>
    <row r="1226" ht="21" customHeight="1">
      <c r="A1226" s="7" t="n">
        <v>2029</v>
      </c>
      <c r="B1226" s="7" t="n">
        <v>1</v>
      </c>
      <c r="C1226" s="10" t="inlineStr">
        <is>
          <t>Vertriebskosten</t>
        </is>
      </c>
      <c r="D1226" s="10" t="inlineStr">
        <is>
          <t>Vertriebskosten</t>
        </is>
      </c>
      <c r="E1226" s="7" t="n">
        <v>11943.75</v>
      </c>
      <c r="F1226" s="7" t="n">
        <v>143325</v>
      </c>
    </row>
    <row r="1227" ht="21" customHeight="1">
      <c r="A1227" s="7" t="n">
        <v>2031</v>
      </c>
      <c r="B1227" s="7" t="n">
        <v>1</v>
      </c>
      <c r="C1227" s="10" t="inlineStr">
        <is>
          <t>Miete Grdst/Gebäud</t>
        </is>
      </c>
      <c r="D1227" s="10" t="inlineStr">
        <is>
          <t>Raumkosten</t>
        </is>
      </c>
      <c r="E1227" s="7" t="n">
        <v>18975.39</v>
      </c>
      <c r="F1227" s="7" t="n">
        <v>227704.65</v>
      </c>
    </row>
    <row r="1228" ht="21" customHeight="1">
      <c r="A1228" s="7" t="n">
        <v>2029</v>
      </c>
      <c r="B1228" s="7" t="n">
        <v>1</v>
      </c>
      <c r="C1228" s="10" t="inlineStr">
        <is>
          <t>Uebr.neutr. Ert</t>
        </is>
      </c>
      <c r="D1228" s="10" t="inlineStr">
        <is>
          <t>Gesamtleistung</t>
        </is>
      </c>
      <c r="E1228" s="7" t="n">
        <v>189.9</v>
      </c>
      <c r="F1228" s="7" t="n">
        <v>2278.85</v>
      </c>
    </row>
    <row r="1229" ht="21" customHeight="1">
      <c r="A1229" s="7" t="n">
        <v>2030</v>
      </c>
      <c r="B1229" s="7" t="n">
        <v>1</v>
      </c>
      <c r="C1229" s="10" t="inlineStr">
        <is>
          <t>Behaelterkosten</t>
        </is>
      </c>
      <c r="D1229" s="10" t="inlineStr">
        <is>
          <t>Instandh. Betriebsausstattung</t>
        </is>
      </c>
      <c r="E1229" s="7" t="n">
        <v>12.75</v>
      </c>
      <c r="F1229" s="7" t="n">
        <v>153.03</v>
      </c>
    </row>
    <row r="1230" ht="21" customHeight="1">
      <c r="A1230" s="7" t="n">
        <v>2029</v>
      </c>
      <c r="B1230" s="7" t="n">
        <v>1</v>
      </c>
      <c r="C1230" s="10" t="inlineStr">
        <is>
          <t>IT-Aufwendungen</t>
        </is>
      </c>
      <c r="D1230" s="10" t="inlineStr">
        <is>
          <t>Verwaltungskosten</t>
        </is>
      </c>
      <c r="E1230" s="7" t="n">
        <v>12302.44</v>
      </c>
      <c r="F1230" s="7" t="n">
        <v>147629.28</v>
      </c>
    </row>
    <row r="1231" ht="21" customHeight="1">
      <c r="A1231" s="7" t="n">
        <v>2028</v>
      </c>
      <c r="B1231" s="7" t="n">
        <v>1</v>
      </c>
      <c r="C1231" s="10" t="inlineStr">
        <is>
          <t>Instandh. BGA</t>
        </is>
      </c>
      <c r="D1231" s="10" t="inlineStr">
        <is>
          <t>Instandh. Betriebsausstattung</t>
        </is>
      </c>
      <c r="E1231" s="7" t="n">
        <v>4426.85</v>
      </c>
      <c r="F1231" s="7" t="n">
        <v>53122.2</v>
      </c>
    </row>
    <row r="1232" ht="21" customHeight="1">
      <c r="A1232" s="7" t="n">
        <v>2029</v>
      </c>
      <c r="B1232" s="7" t="n">
        <v>1</v>
      </c>
      <c r="C1232" s="10" t="inlineStr">
        <is>
          <t>Instandh.Fuhrp</t>
        </is>
      </c>
      <c r="D1232" s="10" t="inlineStr">
        <is>
          <t>Fuhrparkkosten</t>
        </is>
      </c>
      <c r="E1232" s="7" t="n">
        <v>34111.21</v>
      </c>
      <c r="F1232" s="7" t="n">
        <v>409334.56</v>
      </c>
    </row>
    <row r="1233" ht="21" customHeight="1">
      <c r="A1233" s="7" t="n">
        <v>2031</v>
      </c>
      <c r="B1233" s="7" t="n">
        <v>1</v>
      </c>
      <c r="C1233" s="10" t="inlineStr">
        <is>
          <t>Rechts- u. Beratungs</t>
        </is>
      </c>
      <c r="D1233" s="10" t="inlineStr">
        <is>
          <t>Verwaltungskosten</t>
        </is>
      </c>
      <c r="E1233" s="7" t="n">
        <v>28853.53</v>
      </c>
      <c r="F1233" s="7" t="n">
        <v>346242.38</v>
      </c>
    </row>
    <row r="1234" ht="21" customHeight="1">
      <c r="A1234" s="7" t="n">
        <v>2029</v>
      </c>
      <c r="B1234" s="7" t="n">
        <v>1</v>
      </c>
      <c r="C1234" s="10" t="inlineStr">
        <is>
          <t>Ertrag KFZ-Nutz</t>
        </is>
      </c>
      <c r="D1234" s="10" t="inlineStr">
        <is>
          <t>Gesamtleistung</t>
        </is>
      </c>
      <c r="E1234" s="7" t="n">
        <v>8815.82</v>
      </c>
      <c r="F1234" s="7" t="n">
        <v>105789.86</v>
      </c>
    </row>
    <row r="1235" ht="21" customHeight="1">
      <c r="A1235" s="7" t="n">
        <v>2030</v>
      </c>
      <c r="B1235" s="7" t="n">
        <v>1</v>
      </c>
      <c r="C1235" s="10" t="inlineStr">
        <is>
          <t>Ertr. weiterber</t>
        </is>
      </c>
      <c r="D1235" s="10" t="inlineStr">
        <is>
          <t>Gesamtleistung</t>
        </is>
      </c>
      <c r="E1235" s="7" t="n">
        <v>1104.47</v>
      </c>
      <c r="F1235" s="7" t="n">
        <v>13253.67</v>
      </c>
    </row>
    <row r="1236" ht="21" customHeight="1">
      <c r="A1236" s="7" t="n">
        <v>2028</v>
      </c>
      <c r="B1236" s="7" t="n">
        <v>1</v>
      </c>
      <c r="C1236" s="10" t="inlineStr">
        <is>
          <t>Leasing PKW</t>
        </is>
      </c>
      <c r="D1236" s="10" t="inlineStr">
        <is>
          <t>Fuhrparkkosten</t>
        </is>
      </c>
      <c r="E1236" s="7" t="n">
        <v>23256.85</v>
      </c>
      <c r="F1236" s="7" t="n">
        <v>279082.22</v>
      </c>
    </row>
    <row r="1237" ht="21" customHeight="1">
      <c r="A1237" s="7" t="n">
        <v>2028</v>
      </c>
      <c r="B1237" s="7" t="n">
        <v>1</v>
      </c>
      <c r="C1237" s="10" t="inlineStr">
        <is>
          <t>Treibstoffe, Oe</t>
        </is>
      </c>
      <c r="D1237" s="10" t="inlineStr">
        <is>
          <t>Fuhrparkkosten</t>
        </is>
      </c>
      <c r="E1237" s="7" t="n">
        <v>30417.62</v>
      </c>
      <c r="F1237" s="7" t="n">
        <v>365011.49</v>
      </c>
    </row>
    <row r="1238" ht="21" customHeight="1">
      <c r="A1238" s="7" t="n">
        <v>2029</v>
      </c>
      <c r="B1238" s="7" t="n">
        <v>1</v>
      </c>
      <c r="C1238" s="10" t="inlineStr">
        <is>
          <t>Miete PKW</t>
        </is>
      </c>
      <c r="D1238" s="10" t="inlineStr">
        <is>
          <t>Fuhrparkkosten</t>
        </is>
      </c>
      <c r="E1238" s="7" t="n">
        <v>5184.06</v>
      </c>
      <c r="F1238" s="7" t="n">
        <v>62208.67</v>
      </c>
    </row>
    <row r="1239" ht="21" customHeight="1">
      <c r="A1239" s="7" t="n">
        <v>2028</v>
      </c>
      <c r="B1239" s="7" t="n">
        <v>1</v>
      </c>
      <c r="C1239" s="10" t="inlineStr">
        <is>
          <t>Ertr. weiterber</t>
        </is>
      </c>
      <c r="D1239" s="10" t="inlineStr">
        <is>
          <t>Gesamtleistung</t>
        </is>
      </c>
      <c r="E1239" s="7" t="n">
        <v>980.91</v>
      </c>
      <c r="F1239" s="7" t="n">
        <v>11770.87</v>
      </c>
    </row>
    <row r="1240" ht="21" customHeight="1">
      <c r="A1240" s="7" t="n">
        <v>2029</v>
      </c>
      <c r="B1240" s="7" t="n">
        <v>1</v>
      </c>
      <c r="C1240" s="10" t="inlineStr">
        <is>
          <t>Instandh. BGA</t>
        </is>
      </c>
      <c r="D1240" s="10" t="inlineStr">
        <is>
          <t>Instandh. Betriebsausstattung</t>
        </is>
      </c>
      <c r="E1240" s="7" t="n">
        <v>4648.19</v>
      </c>
      <c r="F1240" s="7" t="n">
        <v>55778.31</v>
      </c>
    </row>
    <row r="1241" ht="21" customHeight="1">
      <c r="A1241" s="7" t="n">
        <v>2028</v>
      </c>
      <c r="B1241" s="7" t="n">
        <v>1</v>
      </c>
      <c r="C1241" s="10" t="inlineStr">
        <is>
          <t>Erl. so. DL Dt.</t>
        </is>
      </c>
      <c r="D1241" s="10" t="inlineStr">
        <is>
          <t>Gesamtleistung</t>
        </is>
      </c>
      <c r="E1241" s="7" t="n">
        <v>2095866.37</v>
      </c>
      <c r="F1241" s="7" t="n">
        <v>25150396.49</v>
      </c>
    </row>
    <row r="1242" ht="21" customHeight="1">
      <c r="A1242" s="7" t="n">
        <v>2028</v>
      </c>
      <c r="B1242" s="7" t="n">
        <v>1</v>
      </c>
      <c r="C1242" s="10" t="inlineStr">
        <is>
          <t>IT-Aufwendungen</t>
        </is>
      </c>
      <c r="D1242" s="10" t="inlineStr">
        <is>
          <t>Verwaltungskosten</t>
        </is>
      </c>
      <c r="E1242" s="7" t="n">
        <v>11944.12</v>
      </c>
      <c r="F1242" s="7" t="n">
        <v>143329.39</v>
      </c>
    </row>
    <row r="1243" ht="21" customHeight="1">
      <c r="A1243" s="7" t="n">
        <v>2029</v>
      </c>
      <c r="B1243" s="7" t="n">
        <v>1</v>
      </c>
      <c r="C1243" s="10" t="inlineStr">
        <is>
          <t>Ueb. bezog.Leis</t>
        </is>
      </c>
      <c r="D1243" s="10" t="inlineStr">
        <is>
          <t>Vorleistungen</t>
        </is>
      </c>
      <c r="E1243" s="7" t="n">
        <v>1364260.58</v>
      </c>
      <c r="F1243" s="7" t="n">
        <v>16371126.93</v>
      </c>
    </row>
    <row r="1244" ht="21" customHeight="1">
      <c r="A1244" s="7" t="n">
        <v>2031</v>
      </c>
      <c r="B1244" s="7" t="n">
        <v>1</v>
      </c>
      <c r="C1244" s="10" t="inlineStr">
        <is>
          <t>Sonderz. Prämie</t>
        </is>
      </c>
      <c r="D1244" s="10" t="inlineStr">
        <is>
          <t>Personalaufwand</t>
        </is>
      </c>
      <c r="E1244" s="7" t="n">
        <v>26838.18</v>
      </c>
      <c r="F1244" s="7" t="n">
        <v>322058.2</v>
      </c>
    </row>
    <row r="1245" ht="21" customHeight="1">
      <c r="A1245" s="7" t="n">
        <v>2029</v>
      </c>
      <c r="B1245" s="7" t="n">
        <v>1</v>
      </c>
      <c r="C1245" s="10" t="inlineStr">
        <is>
          <t>Verwaltungskost</t>
        </is>
      </c>
      <c r="D1245" s="10" t="inlineStr">
        <is>
          <t>Verwaltungskosten</t>
        </is>
      </c>
      <c r="E1245" s="7" t="n">
        <v>7098.98</v>
      </c>
      <c r="F1245" s="7" t="n">
        <v>85187.74000000001</v>
      </c>
    </row>
    <row r="1246" ht="21" customHeight="1">
      <c r="A1246" s="7" t="n">
        <v>2028</v>
      </c>
      <c r="B1246" s="7" t="n">
        <v>1</v>
      </c>
      <c r="C1246" s="10" t="inlineStr">
        <is>
          <t>Ertrag KFZ-Nutz</t>
        </is>
      </c>
      <c r="D1246" s="10" t="inlineStr">
        <is>
          <t>Gesamtleistung</t>
        </is>
      </c>
      <c r="E1246" s="7" t="n">
        <v>8405.780000000001</v>
      </c>
      <c r="F1246" s="7" t="n">
        <v>100869.3</v>
      </c>
    </row>
    <row r="1247" ht="21" customHeight="1">
      <c r="A1247" s="7" t="n">
        <v>2030</v>
      </c>
      <c r="B1247" s="7" t="n">
        <v>1</v>
      </c>
      <c r="C1247" s="10" t="inlineStr">
        <is>
          <t>Sonst Fuhrparkkosten</t>
        </is>
      </c>
      <c r="D1247" s="10" t="inlineStr">
        <is>
          <t>Fuhrparkkosten</t>
        </is>
      </c>
      <c r="E1247" s="7" t="n">
        <v>5942.26</v>
      </c>
      <c r="F1247" s="7" t="n">
        <v>71307.13</v>
      </c>
    </row>
    <row r="1248" ht="21" customHeight="1">
      <c r="A1248" s="7" t="n">
        <v>2028</v>
      </c>
      <c r="B1248" s="7" t="n">
        <v>1</v>
      </c>
      <c r="C1248" s="10" t="inlineStr">
        <is>
          <t>Rechts- u. Beratungs</t>
        </is>
      </c>
      <c r="D1248" s="10" t="inlineStr">
        <is>
          <t>Verwaltungskosten</t>
        </is>
      </c>
      <c r="E1248" s="7" t="n">
        <v>26405.07</v>
      </c>
      <c r="F1248" s="7" t="n">
        <v>316860.83</v>
      </c>
    </row>
    <row r="1249" ht="21" customHeight="1">
      <c r="A1249" s="7" t="n">
        <v>2027</v>
      </c>
      <c r="B1249" s="7" t="n">
        <v>1</v>
      </c>
      <c r="C1249" s="10" t="inlineStr">
        <is>
          <t>Leasing LKW</t>
        </is>
      </c>
      <c r="D1249" s="10" t="inlineStr">
        <is>
          <t>Fuhrparkkosten</t>
        </is>
      </c>
      <c r="E1249" s="7" t="n">
        <v>2305.28</v>
      </c>
      <c r="F1249" s="7" t="n">
        <v>27663.3</v>
      </c>
    </row>
    <row r="1250" ht="21" customHeight="1">
      <c r="A1250" s="7" t="n">
        <v>2031</v>
      </c>
      <c r="B1250" s="7" t="n">
        <v>1</v>
      </c>
      <c r="C1250" s="10" t="inlineStr">
        <is>
          <t>Fremdl. Fuhrlei</t>
        </is>
      </c>
      <c r="D1250" s="10" t="inlineStr">
        <is>
          <t>Vorleistungen</t>
        </is>
      </c>
      <c r="E1250" s="7" t="n">
        <v>374.24</v>
      </c>
      <c r="F1250" s="7" t="n">
        <v>4490.84</v>
      </c>
    </row>
    <row r="1251" ht="21" customHeight="1">
      <c r="A1251" s="7" t="n">
        <v>2029</v>
      </c>
      <c r="B1251" s="7" t="n">
        <v>1</v>
      </c>
      <c r="C1251" s="10" t="inlineStr">
        <is>
          <t>Fremdl. Fuhrlei</t>
        </is>
      </c>
      <c r="D1251" s="10" t="inlineStr">
        <is>
          <t>Vorleistungen</t>
        </is>
      </c>
      <c r="E1251" s="7" t="n">
        <v>362.07</v>
      </c>
      <c r="F1251" s="7" t="n">
        <v>4344.88</v>
      </c>
    </row>
    <row r="1252" ht="21" customHeight="1">
      <c r="A1252" s="7" t="n">
        <v>2028</v>
      </c>
      <c r="B1252" s="7" t="n">
        <v>1</v>
      </c>
      <c r="C1252" s="10" t="inlineStr">
        <is>
          <t>Vertriebskosten</t>
        </is>
      </c>
      <c r="D1252" s="10" t="inlineStr">
        <is>
          <t>Vertriebskosten</t>
        </is>
      </c>
      <c r="E1252" s="7" t="n">
        <v>11375</v>
      </c>
      <c r="F1252" s="7" t="n">
        <v>136500</v>
      </c>
    </row>
    <row r="1253" ht="21" customHeight="1">
      <c r="A1253" s="7" t="n">
        <v>2031</v>
      </c>
      <c r="B1253" s="7" t="n">
        <v>1</v>
      </c>
      <c r="C1253" s="10" t="inlineStr">
        <is>
          <t>Aufw. so. Hilfs</t>
        </is>
      </c>
      <c r="D1253" s="10" t="inlineStr">
        <is>
          <t>Vorleistungen</t>
        </is>
      </c>
      <c r="E1253" s="7" t="n">
        <v>-17544.22</v>
      </c>
      <c r="F1253" s="7" t="n">
        <v>-210530.6</v>
      </c>
    </row>
    <row r="1254" ht="21" customHeight="1">
      <c r="A1254" s="7" t="n">
        <v>2029</v>
      </c>
      <c r="B1254" s="7" t="n">
        <v>1</v>
      </c>
      <c r="C1254" s="10" t="inlineStr">
        <is>
          <t>Ankauf Rohstoff</t>
        </is>
      </c>
      <c r="D1254" s="10" t="inlineStr">
        <is>
          <t>Vorleistungen</t>
        </is>
      </c>
      <c r="E1254" s="7" t="n">
        <v>1473.64</v>
      </c>
      <c r="F1254" s="7" t="n">
        <v>17683.65</v>
      </c>
    </row>
    <row r="1255" ht="21" customHeight="1">
      <c r="A1255" s="7" t="n">
        <v>2028</v>
      </c>
      <c r="B1255" s="7" t="n">
        <v>1</v>
      </c>
      <c r="C1255" s="10" t="inlineStr">
        <is>
          <t>Sonstige Steuer</t>
        </is>
      </c>
      <c r="D1255" s="10" t="inlineStr">
        <is>
          <t>Fuhrparkkosten</t>
        </is>
      </c>
      <c r="E1255" s="7" t="n">
        <v>1587.15</v>
      </c>
      <c r="F1255" s="7" t="n">
        <v>19045.76</v>
      </c>
    </row>
    <row r="1256" ht="21" customHeight="1">
      <c r="A1256" s="7" t="n">
        <v>2030</v>
      </c>
      <c r="B1256" s="7" t="n">
        <v>1</v>
      </c>
      <c r="C1256" s="10" t="inlineStr">
        <is>
          <t>Weiterber. Frem</t>
        </is>
      </c>
      <c r="D1256" s="10" t="inlineStr">
        <is>
          <t>Vorleistungen</t>
        </is>
      </c>
      <c r="E1256" s="7" t="n">
        <v>0</v>
      </c>
      <c r="F1256" s="7" t="n">
        <v>0</v>
      </c>
    </row>
    <row r="1257" ht="21" customHeight="1">
      <c r="A1257" s="7" t="n">
        <v>2031</v>
      </c>
      <c r="B1257" s="7" t="n">
        <v>1</v>
      </c>
      <c r="C1257" s="10" t="inlineStr">
        <is>
          <t>Miete Behälter</t>
        </is>
      </c>
      <c r="D1257" s="10" t="inlineStr">
        <is>
          <t>Instandh. Betriebsausstattung</t>
        </is>
      </c>
      <c r="E1257" s="7" t="n">
        <v>27.88</v>
      </c>
      <c r="F1257" s="7" t="n">
        <v>334.55</v>
      </c>
    </row>
    <row r="1258" ht="21" customHeight="1">
      <c r="A1258" s="7" t="n">
        <v>2027</v>
      </c>
      <c r="B1258" s="7" t="n">
        <v>1</v>
      </c>
      <c r="C1258" s="10" t="inlineStr">
        <is>
          <t>Miete Grdst/Gebäud</t>
        </is>
      </c>
      <c r="D1258" s="10" t="inlineStr">
        <is>
          <t>Raumkosten</t>
        </is>
      </c>
      <c r="E1258" s="7" t="n">
        <v>15284.77</v>
      </c>
      <c r="F1258" s="7" t="n">
        <v>183417.26</v>
      </c>
    </row>
    <row r="1259" ht="21" customHeight="1">
      <c r="A1259" s="7" t="n">
        <v>2028</v>
      </c>
      <c r="B1259" s="7" t="n">
        <v>1</v>
      </c>
      <c r="C1259" s="10" t="inlineStr">
        <is>
          <t>Aufw. f. Alters</t>
        </is>
      </c>
      <c r="D1259" s="10" t="inlineStr">
        <is>
          <t>Personalaufwand</t>
        </is>
      </c>
      <c r="E1259" s="7" t="n">
        <v>1290.05</v>
      </c>
      <c r="F1259" s="7" t="n">
        <v>15480.56</v>
      </c>
    </row>
    <row r="1260" ht="21" customHeight="1">
      <c r="A1260" s="7" t="n">
        <v>2028</v>
      </c>
      <c r="B1260" s="7" t="n">
        <v>1</v>
      </c>
      <c r="C1260" s="10" t="inlineStr">
        <is>
          <t>Fremdl. Persona</t>
        </is>
      </c>
      <c r="D1260" s="10" t="inlineStr">
        <is>
          <t>Vorleistungen</t>
        </is>
      </c>
      <c r="E1260" s="7" t="n">
        <v>69.04000000000001</v>
      </c>
      <c r="F1260" s="7" t="n">
        <v>828.42</v>
      </c>
    </row>
    <row r="1261" ht="21" customHeight="1">
      <c r="A1261" s="7" t="n">
        <v>2030</v>
      </c>
      <c r="B1261" s="7" t="n">
        <v>1</v>
      </c>
      <c r="C1261" s="10" t="inlineStr">
        <is>
          <t>Vertriebskosten</t>
        </is>
      </c>
      <c r="D1261" s="10" t="inlineStr">
        <is>
          <t>Vertriebskosten</t>
        </is>
      </c>
      <c r="E1261" s="7" t="n">
        <v>12540.94</v>
      </c>
      <c r="F1261" s="7" t="n">
        <v>150491.26</v>
      </c>
    </row>
    <row r="1262" ht="21" customHeight="1">
      <c r="A1262" s="7" t="n">
        <v>2030</v>
      </c>
      <c r="B1262" s="7" t="n">
        <v>1</v>
      </c>
      <c r="C1262" s="10" t="inlineStr">
        <is>
          <t>Aufw. so. Hilfs</t>
        </is>
      </c>
      <c r="D1262" s="10" t="inlineStr">
        <is>
          <t>Vorleistungen</t>
        </is>
      </c>
      <c r="E1262" s="7" t="n">
        <v>-17197.35</v>
      </c>
      <c r="F1262" s="7" t="n">
        <v>-206368.2</v>
      </c>
    </row>
    <row r="1263" ht="21" customHeight="1">
      <c r="A1263" s="7" t="n">
        <v>2029</v>
      </c>
      <c r="B1263" s="7" t="n">
        <v>1</v>
      </c>
      <c r="C1263" s="10" t="inlineStr">
        <is>
          <t>Aufw. so. Hilfs</t>
        </is>
      </c>
      <c r="D1263" s="10" t="inlineStr">
        <is>
          <t>Vorleistungen</t>
        </is>
      </c>
      <c r="E1263" s="7" t="n">
        <v>-16834.66</v>
      </c>
      <c r="F1263" s="7" t="n">
        <v>-202015.88</v>
      </c>
    </row>
    <row r="1264" ht="21" customHeight="1">
      <c r="A1264" s="7" t="n">
        <v>2027</v>
      </c>
      <c r="B1264" s="7" t="n">
        <v>1</v>
      </c>
      <c r="C1264" s="10" t="inlineStr">
        <is>
          <t>Miete PKW</t>
        </is>
      </c>
      <c r="D1264" s="10" t="inlineStr">
        <is>
          <t>Fuhrparkkosten</t>
        </is>
      </c>
      <c r="E1264" s="7" t="n">
        <v>4613.79</v>
      </c>
      <c r="F1264" s="7" t="n">
        <v>55365.51</v>
      </c>
    </row>
    <row r="1265" ht="21" customHeight="1">
      <c r="A1265" s="7" t="n">
        <v>2030</v>
      </c>
      <c r="B1265" s="7" t="n">
        <v>1</v>
      </c>
      <c r="C1265" s="10" t="inlineStr">
        <is>
          <t>Fremdl. Fuhrlei</t>
        </is>
      </c>
      <c r="D1265" s="10" t="inlineStr">
        <is>
          <t>Vorleistungen</t>
        </is>
      </c>
      <c r="E1265" s="7" t="n">
        <v>368.3</v>
      </c>
      <c r="F1265" s="7" t="n">
        <v>4419.56</v>
      </c>
    </row>
    <row r="1266" ht="21" customHeight="1">
      <c r="A1266" s="7" t="n">
        <v>2030</v>
      </c>
      <c r="B1266" s="7" t="n">
        <v>1</v>
      </c>
      <c r="C1266" s="10" t="inlineStr">
        <is>
          <t>Miete PKW</t>
        </is>
      </c>
      <c r="D1266" s="10" t="inlineStr">
        <is>
          <t>Fuhrparkkosten</t>
        </is>
      </c>
      <c r="E1266" s="7" t="n">
        <v>5495.1</v>
      </c>
      <c r="F1266" s="7" t="n">
        <v>65941.19</v>
      </c>
    </row>
    <row r="1267" ht="21" customHeight="1">
      <c r="A1267" s="7" t="n">
        <v>2027</v>
      </c>
      <c r="B1267" s="7" t="n">
        <v>1</v>
      </c>
      <c r="C1267" s="10" t="inlineStr">
        <is>
          <t>Erl. Waren Dt.</t>
        </is>
      </c>
      <c r="D1267" s="10" t="inlineStr">
        <is>
          <t>Gesamtleistung</t>
        </is>
      </c>
      <c r="E1267" s="7" t="n">
        <v>42246.46</v>
      </c>
      <c r="F1267" s="7" t="n">
        <v>506957.51</v>
      </c>
    </row>
    <row r="1268" ht="21" customHeight="1">
      <c r="A1268" s="7" t="n">
        <v>2029</v>
      </c>
      <c r="B1268" s="7" t="n">
        <v>1</v>
      </c>
      <c r="C1268" s="10" t="inlineStr">
        <is>
          <t>Bestandsveraend</t>
        </is>
      </c>
      <c r="D1268" s="10" t="inlineStr">
        <is>
          <t>Gesamtleistung</t>
        </is>
      </c>
      <c r="E1268" s="7" t="n">
        <v>0</v>
      </c>
      <c r="F1268" s="7" t="n">
        <v>0</v>
      </c>
    </row>
    <row r="1269" ht="21" customHeight="1">
      <c r="A1269" s="7" t="n">
        <v>2031</v>
      </c>
      <c r="B1269" s="7" t="n">
        <v>1</v>
      </c>
      <c r="C1269" s="10" t="inlineStr">
        <is>
          <t>Leasing PKW</t>
        </is>
      </c>
      <c r="D1269" s="10" t="inlineStr">
        <is>
          <t>Fuhrparkkosten</t>
        </is>
      </c>
      <c r="E1269" s="7" t="n">
        <v>27699.28</v>
      </c>
      <c r="F1269" s="7" t="n">
        <v>332391.4</v>
      </c>
    </row>
    <row r="1270" ht="21" customHeight="1">
      <c r="A1270" s="7" t="n">
        <v>2029</v>
      </c>
      <c r="B1270" s="7" t="n">
        <v>1</v>
      </c>
      <c r="C1270" s="10" t="inlineStr">
        <is>
          <t>Behaelterkosten</t>
        </is>
      </c>
      <c r="D1270" s="10" t="inlineStr">
        <is>
          <t>Instandh. Betriebsausstattung</t>
        </is>
      </c>
      <c r="E1270" s="7" t="n">
        <v>12.15</v>
      </c>
      <c r="F1270" s="7" t="n">
        <v>145.74</v>
      </c>
    </row>
    <row r="1271" ht="21" customHeight="1">
      <c r="A1271" s="7" t="n">
        <v>2029</v>
      </c>
      <c r="B1271" s="7" t="n">
        <v>1</v>
      </c>
      <c r="C1271" s="10" t="inlineStr">
        <is>
          <t>Aufwand Umlage</t>
        </is>
      </c>
      <c r="D1271" s="10" t="inlineStr">
        <is>
          <t>Verwaltungskosten</t>
        </is>
      </c>
      <c r="E1271" s="7" t="n">
        <v>3589.28</v>
      </c>
      <c r="F1271" s="7" t="n">
        <v>43071.39</v>
      </c>
    </row>
    <row r="1272" ht="21" customHeight="1">
      <c r="A1272" s="7" t="n">
        <v>2030</v>
      </c>
      <c r="B1272" s="7" t="n">
        <v>1</v>
      </c>
      <c r="C1272" s="10" t="inlineStr">
        <is>
          <t>Instandh.Fuhrp</t>
        </is>
      </c>
      <c r="D1272" s="10" t="inlineStr">
        <is>
          <t>Fuhrparkkosten</t>
        </is>
      </c>
      <c r="E1272" s="7" t="n">
        <v>36157.89</v>
      </c>
      <c r="F1272" s="7" t="n">
        <v>433894.62</v>
      </c>
    </row>
    <row r="1273" ht="21" customHeight="1">
      <c r="A1273" s="7" t="n">
        <v>2028</v>
      </c>
      <c r="B1273" s="7" t="n">
        <v>1</v>
      </c>
      <c r="C1273" s="10" t="inlineStr">
        <is>
          <t>Sonderz. Prämie</t>
        </is>
      </c>
      <c r="D1273" s="10" t="inlineStr">
        <is>
          <t>Personalaufwand</t>
        </is>
      </c>
      <c r="E1273" s="7" t="n">
        <v>21386.26</v>
      </c>
      <c r="F1273" s="7" t="n">
        <v>256635.15</v>
      </c>
    </row>
    <row r="1274" ht="21" customHeight="1">
      <c r="A1274" s="7" t="n">
        <v>2029</v>
      </c>
      <c r="B1274" s="7" t="n">
        <v>1</v>
      </c>
      <c r="C1274" s="10" t="inlineStr">
        <is>
          <t>Aufw. f. Alters</t>
        </is>
      </c>
      <c r="D1274" s="10" t="inlineStr">
        <is>
          <t>Personalaufwand</t>
        </is>
      </c>
      <c r="E1274" s="7" t="n">
        <v>1366.43</v>
      </c>
      <c r="F1274" s="7" t="n">
        <v>16397.15</v>
      </c>
    </row>
    <row r="1275" ht="21" customHeight="1">
      <c r="A1275" s="7" t="n">
        <v>2027</v>
      </c>
      <c r="B1275" s="7" t="n">
        <v>1</v>
      </c>
      <c r="C1275" s="10" t="inlineStr">
        <is>
          <t>Ertr. weiterber</t>
        </is>
      </c>
      <c r="D1275" s="10" t="inlineStr">
        <is>
          <t>Gesamtleistung</t>
        </is>
      </c>
      <c r="E1275" s="7" t="n">
        <v>919.41</v>
      </c>
      <c r="F1275" s="7" t="n">
        <v>11032.96</v>
      </c>
    </row>
    <row r="1276" ht="21" customHeight="1">
      <c r="A1276" s="7" t="n">
        <v>2029</v>
      </c>
      <c r="B1276" s="7" t="n">
        <v>1</v>
      </c>
      <c r="C1276" s="10" t="inlineStr">
        <is>
          <t>So. betr. Aufwa</t>
        </is>
      </c>
      <c r="D1276" s="10" t="inlineStr">
        <is>
          <t>Verwaltungskosten</t>
        </is>
      </c>
      <c r="E1276" s="7" t="n">
        <v>693.25</v>
      </c>
      <c r="F1276" s="7" t="n">
        <v>8319.02</v>
      </c>
    </row>
    <row r="1277" ht="21" customHeight="1">
      <c r="A1277" s="7" t="n">
        <v>2031</v>
      </c>
      <c r="B1277" s="7" t="n">
        <v>1</v>
      </c>
      <c r="C1277" s="10" t="inlineStr">
        <is>
          <t>Ertr. weiterber</t>
        </is>
      </c>
      <c r="D1277" s="10" t="inlineStr">
        <is>
          <t>Gesamtleistung</t>
        </is>
      </c>
      <c r="E1277" s="7" t="n">
        <v>1173.93</v>
      </c>
      <c r="F1277" s="7" t="n">
        <v>14087.11</v>
      </c>
    </row>
    <row r="1278" ht="21" customHeight="1">
      <c r="A1278" s="7" t="n">
        <v>2031</v>
      </c>
      <c r="B1278" s="7" t="n">
        <v>1</v>
      </c>
      <c r="C1278" s="10" t="inlineStr">
        <is>
          <t>Ueb. bezog.Leis</t>
        </is>
      </c>
      <c r="D1278" s="10" t="inlineStr">
        <is>
          <t>Vorleistungen</t>
        </is>
      </c>
      <c r="E1278" s="7" t="n">
        <v>1404446.73</v>
      </c>
      <c r="F1278" s="7" t="n">
        <v>16853360.74</v>
      </c>
    </row>
    <row r="1279" ht="21" customHeight="1">
      <c r="A1279" s="7" t="n">
        <v>2027</v>
      </c>
      <c r="B1279" s="7" t="n">
        <v>1</v>
      </c>
      <c r="C1279" s="10" t="inlineStr">
        <is>
          <t>Fremdl. Fuhrlei</t>
        </is>
      </c>
      <c r="D1279" s="10" t="inlineStr">
        <is>
          <t>Vorleistungen</t>
        </is>
      </c>
      <c r="E1279" s="7" t="n">
        <v>371.09</v>
      </c>
      <c r="F1279" s="7" t="n">
        <v>4453.13</v>
      </c>
    </row>
    <row r="1280" ht="21" customHeight="1">
      <c r="A1280" s="7" t="n">
        <v>2027</v>
      </c>
      <c r="B1280" s="7" t="n">
        <v>1</v>
      </c>
      <c r="C1280" s="10" t="inlineStr">
        <is>
          <t>Behaelterkosten</t>
        </is>
      </c>
      <c r="D1280" s="10" t="inlineStr">
        <is>
          <t>Instandh. Betriebsausstattung</t>
        </is>
      </c>
      <c r="E1280" s="7" t="n">
        <v>11.02</v>
      </c>
      <c r="F1280" s="7" t="n">
        <v>132.19</v>
      </c>
    </row>
    <row r="1281" ht="21" customHeight="1">
      <c r="A1281" s="7" t="n">
        <v>2027</v>
      </c>
      <c r="B1281" s="7" t="n">
        <v>1</v>
      </c>
      <c r="C1281" s="10" t="inlineStr">
        <is>
          <t>Ueb Lohn-Gehalt</t>
        </is>
      </c>
      <c r="D1281" s="10" t="inlineStr">
        <is>
          <t>Personalaufwand</t>
        </is>
      </c>
      <c r="E1281" s="7" t="n">
        <v>30579.25</v>
      </c>
      <c r="F1281" s="7" t="n">
        <v>366951</v>
      </c>
    </row>
    <row r="1282" ht="21" customHeight="1">
      <c r="A1282" s="7" t="n">
        <v>2028</v>
      </c>
      <c r="B1282" s="7" t="n">
        <v>1</v>
      </c>
      <c r="C1282" s="10" t="inlineStr">
        <is>
          <t>Raumkosten</t>
        </is>
      </c>
      <c r="D1282" s="10" t="inlineStr">
        <is>
          <t>Raumkosten</t>
        </is>
      </c>
      <c r="E1282" s="7" t="n">
        <v>7023.98</v>
      </c>
      <c r="F1282" s="7" t="n">
        <v>84287.78</v>
      </c>
    </row>
    <row r="1283" ht="21" customHeight="1">
      <c r="A1283" s="7" t="n">
        <v>2031</v>
      </c>
      <c r="B1283" s="7" t="n">
        <v>1</v>
      </c>
      <c r="C1283" s="10" t="inlineStr">
        <is>
          <t>Bestandsveraend</t>
        </is>
      </c>
      <c r="D1283" s="10" t="inlineStr">
        <is>
          <t>Gesamtleistung</t>
        </is>
      </c>
      <c r="E1283" s="7" t="n">
        <v>0</v>
      </c>
      <c r="F1283" s="7" t="n">
        <v>0</v>
      </c>
    </row>
    <row r="1284" ht="21" customHeight="1">
      <c r="A1284" s="7" t="n">
        <v>2029</v>
      </c>
      <c r="B1284" s="7" t="n">
        <v>1</v>
      </c>
      <c r="C1284" s="10" t="inlineStr">
        <is>
          <t>Lohn + Gehalt</t>
        </is>
      </c>
      <c r="D1284" s="10" t="inlineStr">
        <is>
          <t>Personalaufwand</t>
        </is>
      </c>
      <c r="E1284" s="7" t="n">
        <v>356250.11</v>
      </c>
      <c r="F1284" s="7" t="n">
        <v>4275001.35</v>
      </c>
    </row>
    <row r="1285" ht="21" customHeight="1">
      <c r="A1285" s="7" t="n">
        <v>2029</v>
      </c>
      <c r="B1285" s="7" t="n">
        <v>1</v>
      </c>
      <c r="C1285" s="10" t="inlineStr">
        <is>
          <t>Aufw. Heizmat.</t>
        </is>
      </c>
      <c r="D1285" s="10" t="inlineStr">
        <is>
          <t>Vorleistungen</t>
        </is>
      </c>
      <c r="E1285" s="7" t="n">
        <v>245.07</v>
      </c>
      <c r="F1285" s="7" t="n">
        <v>2940.88</v>
      </c>
    </row>
    <row r="1286" ht="21" customHeight="1">
      <c r="A1286" s="7" t="n">
        <v>2031</v>
      </c>
      <c r="B1286" s="7" t="n">
        <v>1</v>
      </c>
      <c r="C1286" s="10" t="inlineStr">
        <is>
          <t>Verwaltungskost</t>
        </is>
      </c>
      <c r="D1286" s="10" t="inlineStr">
        <is>
          <t>Verwaltungskosten</t>
        </is>
      </c>
      <c r="E1286" s="7" t="n">
        <v>7531.31</v>
      </c>
      <c r="F1286" s="7" t="n">
        <v>90375.69</v>
      </c>
    </row>
    <row r="1287" ht="21" customHeight="1">
      <c r="A1287" s="7" t="n">
        <v>2028</v>
      </c>
      <c r="B1287" s="7" t="n">
        <v>1</v>
      </c>
      <c r="C1287" s="10" t="inlineStr">
        <is>
          <t>Erl. Waren Dt.</t>
        </is>
      </c>
      <c r="D1287" s="10" t="inlineStr">
        <is>
          <t>Gesamtleistung</t>
        </is>
      </c>
      <c r="E1287" s="7" t="n">
        <v>44950.49</v>
      </c>
      <c r="F1287" s="7" t="n">
        <v>539405.87</v>
      </c>
    </row>
    <row r="1288" ht="21" customHeight="1">
      <c r="A1288" s="7" t="n">
        <v>2030</v>
      </c>
      <c r="B1288" s="7" t="n">
        <v>1</v>
      </c>
      <c r="C1288" s="10" t="inlineStr">
        <is>
          <t>Uebr.neutr. Ert</t>
        </is>
      </c>
      <c r="D1288" s="10" t="inlineStr">
        <is>
          <t>Gesamtleistung</t>
        </is>
      </c>
      <c r="E1288" s="7" t="n">
        <v>207.38</v>
      </c>
      <c r="F1288" s="7" t="n">
        <v>2488.5</v>
      </c>
    </row>
    <row r="1289" ht="21" customHeight="1">
      <c r="A1289" s="7" t="n">
        <v>2030</v>
      </c>
      <c r="B1289" s="7" t="n">
        <v>1</v>
      </c>
      <c r="C1289" s="10" t="inlineStr">
        <is>
          <t>Raumkosten</t>
        </is>
      </c>
      <c r="D1289" s="10" t="inlineStr">
        <is>
          <t>Raumkosten</t>
        </is>
      </c>
      <c r="E1289" s="7" t="n">
        <v>7307.75</v>
      </c>
      <c r="F1289" s="7" t="n">
        <v>87693</v>
      </c>
    </row>
    <row r="1290" ht="21" customHeight="1">
      <c r="A1290" s="7" t="n">
        <v>2030</v>
      </c>
      <c r="B1290" s="7" t="n">
        <v>1</v>
      </c>
      <c r="C1290" s="10" t="inlineStr">
        <is>
          <t>Fremdl. Persona</t>
        </is>
      </c>
      <c r="D1290" s="10" t="inlineStr">
        <is>
          <t>Vorleistungen</t>
        </is>
      </c>
      <c r="E1290" s="7" t="n">
        <v>76.56999999999999</v>
      </c>
      <c r="F1290" s="7" t="n">
        <v>918.79</v>
      </c>
    </row>
    <row r="1291" ht="21" customHeight="1">
      <c r="A1291" s="7" t="n">
        <v>2027</v>
      </c>
      <c r="B1291" s="7" t="n">
        <v>1</v>
      </c>
      <c r="C1291" s="10" t="inlineStr">
        <is>
          <t>Leasing PKW</t>
        </is>
      </c>
      <c r="D1291" s="10" t="inlineStr">
        <is>
          <t>Fuhrparkkosten</t>
        </is>
      </c>
      <c r="E1291" s="7" t="n">
        <v>21940.43</v>
      </c>
      <c r="F1291" s="7" t="n">
        <v>263285.11</v>
      </c>
    </row>
    <row r="1292" ht="21" customHeight="1">
      <c r="A1292" s="7" t="n">
        <v>2030</v>
      </c>
      <c r="B1292" s="7" t="n">
        <v>1</v>
      </c>
      <c r="C1292" s="10" t="inlineStr">
        <is>
          <t>Ertrag KFZ-Nutz</t>
        </is>
      </c>
      <c r="D1292" s="10" t="inlineStr">
        <is>
          <t>Gesamtleistung</t>
        </is>
      </c>
      <c r="E1292" s="7" t="n">
        <v>9193.41</v>
      </c>
      <c r="F1292" s="7" t="n">
        <v>110320.94</v>
      </c>
    </row>
    <row r="1293" ht="21" customHeight="1">
      <c r="A1293" s="7" t="n">
        <v>2028</v>
      </c>
      <c r="B1293" s="7" t="n">
        <v>1</v>
      </c>
      <c r="C1293" s="10" t="inlineStr">
        <is>
          <t>Uebr.neutr. Ert</t>
        </is>
      </c>
      <c r="D1293" s="10" t="inlineStr">
        <is>
          <t>Gesamtleistung</t>
        </is>
      </c>
      <c r="E1293" s="7" t="n">
        <v>151.92</v>
      </c>
      <c r="F1293" s="7" t="n">
        <v>1823.08</v>
      </c>
    </row>
    <row r="1294" ht="21" customHeight="1">
      <c r="A1294" s="7" t="n">
        <v>2030</v>
      </c>
      <c r="B1294" s="7" t="n">
        <v>1</v>
      </c>
      <c r="C1294" s="10" t="inlineStr">
        <is>
          <t>Soziale Abgaben</t>
        </is>
      </c>
      <c r="D1294" s="10" t="inlineStr">
        <is>
          <t>Personalaufwand</t>
        </is>
      </c>
      <c r="E1294" s="7" t="n">
        <v>104141.87</v>
      </c>
      <c r="F1294" s="7" t="n">
        <v>1249702.47</v>
      </c>
    </row>
    <row r="1295" ht="21" customHeight="1">
      <c r="A1295" s="7" t="n">
        <v>2030</v>
      </c>
      <c r="B1295" s="7" t="n">
        <v>1</v>
      </c>
      <c r="C1295" s="10" t="inlineStr">
        <is>
          <t>Ankauf Rohstoff</t>
        </is>
      </c>
      <c r="D1295" s="10" t="inlineStr">
        <is>
          <t>Vorleistungen</t>
        </is>
      </c>
      <c r="E1295" s="7" t="n">
        <v>1483.55</v>
      </c>
      <c r="F1295" s="7" t="n">
        <v>17802.65</v>
      </c>
    </row>
    <row r="1296" ht="21" customHeight="1">
      <c r="A1296" s="7" t="n">
        <v>2031</v>
      </c>
      <c r="B1296" s="7" t="n">
        <v>1</v>
      </c>
      <c r="C1296" s="10" t="inlineStr">
        <is>
          <t>Aufw. Heizmat.</t>
        </is>
      </c>
      <c r="D1296" s="10" t="inlineStr">
        <is>
          <t>Vorleistungen</t>
        </is>
      </c>
      <c r="E1296" s="7" t="n">
        <v>216.16</v>
      </c>
      <c r="F1296" s="7" t="n">
        <v>2593.97</v>
      </c>
    </row>
    <row r="1297" ht="21" customHeight="1">
      <c r="A1297" s="7" t="n">
        <v>2030</v>
      </c>
      <c r="B1297" s="7" t="n">
        <v>1</v>
      </c>
      <c r="C1297" s="10" t="inlineStr">
        <is>
          <t>IT-Aufwendungen</t>
        </is>
      </c>
      <c r="D1297" s="10" t="inlineStr">
        <is>
          <t>Verwaltungskosten</t>
        </is>
      </c>
      <c r="E1297" s="7" t="n">
        <v>12671.51</v>
      </c>
      <c r="F1297" s="7" t="n">
        <v>152058.16</v>
      </c>
    </row>
    <row r="1298" ht="21" customHeight="1">
      <c r="A1298" s="7" t="n">
        <v>2027</v>
      </c>
      <c r="B1298" s="7" t="n">
        <v>1</v>
      </c>
      <c r="C1298" s="10" t="inlineStr">
        <is>
          <t>Treibstoffe, Oe</t>
        </is>
      </c>
      <c r="D1298" s="10" t="inlineStr">
        <is>
          <t>Fuhrparkkosten</t>
        </is>
      </c>
      <c r="E1298" s="7" t="n">
        <v>28695.87</v>
      </c>
      <c r="F1298" s="7" t="n">
        <v>344350.48</v>
      </c>
    </row>
    <row r="1299" ht="21" customHeight="1">
      <c r="A1299" s="7" t="n">
        <v>2028</v>
      </c>
      <c r="B1299" s="7" t="n">
        <v>1</v>
      </c>
      <c r="C1299" s="10" t="inlineStr">
        <is>
          <t>Aufw. Heizmat.</t>
        </is>
      </c>
      <c r="D1299" s="10" t="inlineStr">
        <is>
          <t>Vorleistungen</t>
        </is>
      </c>
      <c r="E1299" s="7" t="n">
        <v>260.43</v>
      </c>
      <c r="F1299" s="7" t="n">
        <v>3125.13</v>
      </c>
    </row>
    <row r="1300" ht="21" customHeight="1">
      <c r="A1300" s="7" t="n">
        <v>2031</v>
      </c>
      <c r="B1300" s="7" t="n">
        <v>1</v>
      </c>
      <c r="C1300" s="10" t="inlineStr">
        <is>
          <t>Ertrag KFZ-Nutz</t>
        </is>
      </c>
      <c r="D1300" s="10" t="inlineStr">
        <is>
          <t>Gesamtleistung</t>
        </is>
      </c>
      <c r="E1300" s="7" t="n">
        <v>9597.290000000001</v>
      </c>
      <c r="F1300" s="7" t="n">
        <v>115167.5</v>
      </c>
    </row>
    <row r="1301" ht="21" customHeight="1">
      <c r="A1301" s="7" t="n">
        <v>2027</v>
      </c>
      <c r="B1301" s="7" t="n">
        <v>1</v>
      </c>
      <c r="C1301" s="10" t="inlineStr">
        <is>
          <t>Raumkosten</t>
        </is>
      </c>
      <c r="D1301" s="10" t="inlineStr">
        <is>
          <t>Raumkosten</t>
        </is>
      </c>
      <c r="E1301" s="7" t="n">
        <v>5046.85</v>
      </c>
      <c r="F1301" s="7" t="n">
        <v>60562.14</v>
      </c>
    </row>
    <row r="1302" ht="21" customHeight="1">
      <c r="A1302" s="7" t="n">
        <v>2028</v>
      </c>
      <c r="B1302" s="7" t="n">
        <v>1</v>
      </c>
      <c r="C1302" s="10" t="inlineStr">
        <is>
          <t>Soziale Abgaben</t>
        </is>
      </c>
      <c r="D1302" s="10" t="inlineStr">
        <is>
          <t>Personalaufwand</t>
        </is>
      </c>
      <c r="E1302" s="7" t="n">
        <v>85007.57000000001</v>
      </c>
      <c r="F1302" s="7" t="n">
        <v>1020090.84</v>
      </c>
    </row>
    <row r="1303" ht="21" customHeight="1">
      <c r="A1303" s="7" t="n">
        <v>2029</v>
      </c>
      <c r="B1303" s="7" t="n">
        <v>1</v>
      </c>
      <c r="C1303" s="10" t="inlineStr">
        <is>
          <t>Miete Grdst/Gebäud</t>
        </is>
      </c>
      <c r="D1303" s="10" t="inlineStr">
        <is>
          <t>Raumkosten</t>
        </is>
      </c>
      <c r="E1303" s="7" t="n">
        <v>18238.55</v>
      </c>
      <c r="F1303" s="7" t="n">
        <v>218862.64</v>
      </c>
    </row>
    <row r="1304" ht="21" customHeight="1">
      <c r="A1304" s="7" t="n">
        <v>2031</v>
      </c>
      <c r="B1304" s="7" t="n">
        <v>1</v>
      </c>
      <c r="C1304" s="10" t="inlineStr">
        <is>
          <t>Raumkosten</t>
        </is>
      </c>
      <c r="D1304" s="10" t="inlineStr">
        <is>
          <t>Raumkosten</t>
        </is>
      </c>
      <c r="E1304" s="7" t="n">
        <v>7453.91</v>
      </c>
      <c r="F1304" s="7" t="n">
        <v>89446.89</v>
      </c>
    </row>
    <row r="1305" ht="21" customHeight="1">
      <c r="A1305" s="7" t="n">
        <v>2031</v>
      </c>
      <c r="B1305" s="7" t="n">
        <v>1</v>
      </c>
      <c r="C1305" s="10" t="inlineStr">
        <is>
          <t>Behaelterkosten</t>
        </is>
      </c>
      <c r="D1305" s="10" t="inlineStr">
        <is>
          <t>Instandh. Betriebsausstattung</t>
        </is>
      </c>
      <c r="E1305" s="7" t="n">
        <v>13.39</v>
      </c>
      <c r="F1305" s="7" t="n">
        <v>160.68</v>
      </c>
    </row>
    <row r="1306" ht="21" customHeight="1">
      <c r="A1306" s="7" t="n">
        <v>2031</v>
      </c>
      <c r="B1306" s="7" t="n">
        <v>1</v>
      </c>
      <c r="C1306" s="10" t="inlineStr">
        <is>
          <t>Instandh.Fuhrp</t>
        </is>
      </c>
      <c r="D1306" s="10" t="inlineStr">
        <is>
          <t>Fuhrparkkosten</t>
        </is>
      </c>
      <c r="E1306" s="7" t="n">
        <v>38327.36</v>
      </c>
      <c r="F1306" s="7" t="n">
        <v>459928.28</v>
      </c>
    </row>
    <row r="1307" ht="21" customHeight="1">
      <c r="A1307" s="7" t="n">
        <v>2030</v>
      </c>
      <c r="B1307" s="7" t="n">
        <v>1</v>
      </c>
      <c r="C1307" s="10" t="inlineStr">
        <is>
          <t>Ueb. bezog.Leis</t>
        </is>
      </c>
      <c r="D1307" s="10" t="inlineStr">
        <is>
          <t>Vorleistungen</t>
        </is>
      </c>
      <c r="E1307" s="7" t="n">
        <v>1385029.28</v>
      </c>
      <c r="F1307" s="7" t="n">
        <v>16620351.38</v>
      </c>
    </row>
    <row r="1308" ht="21" customHeight="1">
      <c r="A1308" s="7" t="n">
        <v>2027</v>
      </c>
      <c r="B1308" s="7" t="n">
        <v>1</v>
      </c>
      <c r="C1308" s="10" t="inlineStr">
        <is>
          <t>Miete LKW,Schiffe</t>
        </is>
      </c>
      <c r="D1308" s="10" t="inlineStr">
        <is>
          <t>Fuhrparkkosten</t>
        </is>
      </c>
      <c r="E1308" s="7" t="n">
        <v>36751.61</v>
      </c>
      <c r="F1308" s="7" t="n">
        <v>441019.28</v>
      </c>
    </row>
    <row r="1309" ht="21" customHeight="1">
      <c r="A1309" s="7" t="n">
        <v>2030</v>
      </c>
      <c r="B1309" s="7" t="n">
        <v>1</v>
      </c>
      <c r="C1309" s="10" t="inlineStr">
        <is>
          <t>Leasing LKW</t>
        </is>
      </c>
      <c r="D1309" s="10" t="inlineStr">
        <is>
          <t>Fuhrparkkosten</t>
        </is>
      </c>
      <c r="E1309" s="7" t="n">
        <v>2745.62</v>
      </c>
      <c r="F1309" s="7" t="n">
        <v>32947.44</v>
      </c>
    </row>
    <row r="1310" ht="21" customHeight="1">
      <c r="A1310" s="7" t="n">
        <v>2031</v>
      </c>
      <c r="B1310" s="7" t="n">
        <v>1</v>
      </c>
      <c r="C1310" s="10" t="inlineStr">
        <is>
          <t>Vertriebskosten</t>
        </is>
      </c>
      <c r="D1310" s="10" t="inlineStr">
        <is>
          <t>Vertriebskosten</t>
        </is>
      </c>
      <c r="E1310" s="7" t="n">
        <v>13167.99</v>
      </c>
      <c r="F1310" s="7" t="n">
        <v>158015.82</v>
      </c>
    </row>
    <row r="1311" ht="21" customHeight="1">
      <c r="A1311" s="7" t="n">
        <v>2028</v>
      </c>
      <c r="B1311" s="7" t="n">
        <v>1</v>
      </c>
      <c r="C1311" s="10" t="inlineStr">
        <is>
          <t>Behaelterkosten</t>
        </is>
      </c>
      <c r="D1311" s="10" t="inlineStr">
        <is>
          <t>Instandh. Betriebsausstattung</t>
        </is>
      </c>
      <c r="E1311" s="7" t="n">
        <v>11.57</v>
      </c>
      <c r="F1311" s="7" t="n">
        <v>138.8</v>
      </c>
    </row>
    <row r="1312" ht="21" customHeight="1">
      <c r="A1312" s="7" t="n">
        <v>2030</v>
      </c>
      <c r="B1312" s="7" t="n">
        <v>1</v>
      </c>
      <c r="C1312" s="10" t="inlineStr">
        <is>
          <t>Verwaltungskost</t>
        </is>
      </c>
      <c r="D1312" s="10" t="inlineStr">
        <is>
          <t>Verwaltungskosten</t>
        </is>
      </c>
      <c r="E1312" s="7" t="n">
        <v>7311.95</v>
      </c>
      <c r="F1312" s="7" t="n">
        <v>87743.38</v>
      </c>
    </row>
    <row r="1313" ht="21" customHeight="1">
      <c r="A1313" s="7" t="n">
        <v>2030</v>
      </c>
      <c r="B1313" s="7" t="n">
        <v>1</v>
      </c>
      <c r="C1313" s="10" t="inlineStr">
        <is>
          <t>Rechts- u. Beratungs</t>
        </is>
      </c>
      <c r="D1313" s="10" t="inlineStr">
        <is>
          <t>Verwaltungskosten</t>
        </is>
      </c>
      <c r="E1313" s="7" t="n">
        <v>28013.14</v>
      </c>
      <c r="F1313" s="7" t="n">
        <v>336157.66</v>
      </c>
    </row>
    <row r="1314" ht="21" customHeight="1">
      <c r="A1314" s="7" t="n">
        <v>2028</v>
      </c>
      <c r="B1314" s="7" t="n">
        <v>1</v>
      </c>
      <c r="C1314" s="10" t="inlineStr">
        <is>
          <t>Sonst Fuhrparkkosten</t>
        </is>
      </c>
      <c r="D1314" s="10" t="inlineStr">
        <is>
          <t>Fuhrparkkosten</t>
        </is>
      </c>
      <c r="E1314" s="7" t="n">
        <v>5288.59</v>
      </c>
      <c r="F1314" s="7" t="n">
        <v>63463.1</v>
      </c>
    </row>
    <row r="1315" ht="21" customHeight="1">
      <c r="A1315" s="7" t="n">
        <v>2029</v>
      </c>
      <c r="B1315" s="7" t="n">
        <v>1</v>
      </c>
      <c r="C1315" s="10" t="inlineStr">
        <is>
          <t>Erl. so. DL Dt.</t>
        </is>
      </c>
      <c r="D1315" s="10" t="inlineStr">
        <is>
          <t>Gesamtleistung</t>
        </is>
      </c>
      <c r="E1315" s="7" t="n">
        <v>2200755.15</v>
      </c>
      <c r="F1315" s="7" t="n">
        <v>26409061.76</v>
      </c>
    </row>
    <row r="1316" ht="21" customHeight="1">
      <c r="A1316" s="7" t="n">
        <v>2031</v>
      </c>
      <c r="B1316" s="7" t="n">
        <v>1</v>
      </c>
      <c r="C1316" s="10" t="inlineStr">
        <is>
          <t>Uebr.neutr. Ert</t>
        </is>
      </c>
      <c r="D1316" s="10" t="inlineStr">
        <is>
          <t>Gesamtleistung</t>
        </is>
      </c>
      <c r="E1316" s="7" t="n">
        <v>227.28</v>
      </c>
      <c r="F1316" s="7" t="n">
        <v>2727.33</v>
      </c>
    </row>
    <row r="1317" ht="21" customHeight="1">
      <c r="A1317" s="7" t="n">
        <v>2030</v>
      </c>
      <c r="B1317" s="7" t="n">
        <v>1</v>
      </c>
      <c r="C1317" s="10" t="inlineStr">
        <is>
          <t>Erl. Waren Dt.</t>
        </is>
      </c>
      <c r="D1317" s="10" t="inlineStr">
        <is>
          <t>Gesamtleistung</t>
        </is>
      </c>
      <c r="E1317" s="7" t="n">
        <v>49038.99</v>
      </c>
      <c r="F1317" s="7" t="n">
        <v>588467.85</v>
      </c>
    </row>
    <row r="1318" ht="21" customHeight="1">
      <c r="A1318" s="7" t="n">
        <v>2028</v>
      </c>
      <c r="B1318" s="7" t="n">
        <v>1</v>
      </c>
      <c r="C1318" s="10" t="inlineStr">
        <is>
          <t>Weiterber. Frem</t>
        </is>
      </c>
      <c r="D1318" s="10" t="inlineStr">
        <is>
          <t>Vorleistungen</t>
        </is>
      </c>
      <c r="E1318" s="7" t="n">
        <v>0</v>
      </c>
      <c r="F1318" s="7" t="n">
        <v>0</v>
      </c>
    </row>
    <row r="1319" ht="21" customHeight="1">
      <c r="A1319" s="7" t="n">
        <v>2027</v>
      </c>
      <c r="B1319" s="7" t="n">
        <v>1</v>
      </c>
      <c r="C1319" s="10" t="inlineStr">
        <is>
          <t>IT-Aufwendungen</t>
        </is>
      </c>
      <c r="D1319" s="10" t="inlineStr">
        <is>
          <t>Verwaltungskosten</t>
        </is>
      </c>
      <c r="E1319" s="7" t="n">
        <v>11596.23</v>
      </c>
      <c r="F1319" s="7" t="n">
        <v>139154.76</v>
      </c>
    </row>
    <row r="1320" ht="21" customHeight="1">
      <c r="A1320" s="7" t="n">
        <v>2028</v>
      </c>
      <c r="B1320" s="7" t="n">
        <v>1</v>
      </c>
      <c r="C1320" s="10" t="inlineStr">
        <is>
          <t>Leasing LKW</t>
        </is>
      </c>
      <c r="D1320" s="10" t="inlineStr">
        <is>
          <t>Fuhrparkkosten</t>
        </is>
      </c>
      <c r="E1320" s="7" t="n">
        <v>2443.59</v>
      </c>
      <c r="F1320" s="7" t="n">
        <v>29323.11</v>
      </c>
    </row>
    <row r="1321" ht="21" customHeight="1">
      <c r="A1321" s="7" t="n">
        <v>2031</v>
      </c>
      <c r="B1321" s="7" t="n">
        <v>1</v>
      </c>
      <c r="C1321" s="10" t="inlineStr">
        <is>
          <t>Weiterber. Frem</t>
        </is>
      </c>
      <c r="D1321" s="10" t="inlineStr">
        <is>
          <t>Vorleistungen</t>
        </is>
      </c>
      <c r="E1321" s="7" t="n">
        <v>0</v>
      </c>
      <c r="F1321" s="7" t="n">
        <v>0</v>
      </c>
    </row>
    <row r="1322" ht="21" customHeight="1">
      <c r="A1322" s="7" t="n">
        <v>2028</v>
      </c>
      <c r="B1322" s="7" t="n">
        <v>1</v>
      </c>
      <c r="C1322" s="10" t="inlineStr">
        <is>
          <t>Lohn + Gehalt</t>
        </is>
      </c>
      <c r="D1322" s="10" t="inlineStr">
        <is>
          <t>Personalaufwand</t>
        </is>
      </c>
      <c r="E1322" s="7" t="n">
        <v>321097.26</v>
      </c>
      <c r="F1322" s="7" t="n">
        <v>3853167.13</v>
      </c>
    </row>
    <row r="1323" ht="21" customHeight="1">
      <c r="A1323" s="7" t="n">
        <v>2029</v>
      </c>
      <c r="B1323" s="7" t="n">
        <v>1</v>
      </c>
      <c r="C1323" s="10" t="inlineStr">
        <is>
          <t>Miete LKW,Schiffe</t>
        </is>
      </c>
      <c r="D1323" s="10" t="inlineStr">
        <is>
          <t>Fuhrparkkosten</t>
        </is>
      </c>
      <c r="E1323" s="7" t="n">
        <v>41294.11</v>
      </c>
      <c r="F1323" s="7" t="n">
        <v>495529.28</v>
      </c>
    </row>
    <row r="1324" ht="21" customHeight="1">
      <c r="A1324" s="7" t="n">
        <v>2030</v>
      </c>
      <c r="B1324" s="7" t="n">
        <v>1</v>
      </c>
      <c r="C1324" s="10" t="inlineStr">
        <is>
          <t>Erl. so. DL Dt.</t>
        </is>
      </c>
      <c r="D1324" s="10" t="inlineStr">
        <is>
          <t>Gesamtleistung</t>
        </is>
      </c>
      <c r="E1324" s="7" t="n">
        <v>2311684.01</v>
      </c>
      <c r="F1324" s="7" t="n">
        <v>27740208.09</v>
      </c>
    </row>
    <row r="1325" ht="21" customHeight="1">
      <c r="A1325" s="7" t="n">
        <v>2030</v>
      </c>
      <c r="B1325" s="7" t="n">
        <v>1</v>
      </c>
      <c r="C1325" s="10" t="inlineStr">
        <is>
          <t>Versicherungskosten</t>
        </is>
      </c>
      <c r="D1325" s="10" t="inlineStr">
        <is>
          <t>Verwaltungskosten</t>
        </is>
      </c>
      <c r="E1325" s="7" t="n">
        <v>11790.1</v>
      </c>
      <c r="F1325" s="7" t="n">
        <v>141481.23</v>
      </c>
    </row>
    <row r="1326" ht="21" customHeight="1">
      <c r="A1326" s="7" t="n">
        <v>2029</v>
      </c>
      <c r="B1326" s="7" t="n">
        <v>1</v>
      </c>
      <c r="C1326" s="10" t="inlineStr">
        <is>
          <t>Sonstige Steuer</t>
        </is>
      </c>
      <c r="D1326" s="10" t="inlineStr">
        <is>
          <t>Fuhrparkkosten</t>
        </is>
      </c>
      <c r="E1326" s="7" t="n">
        <v>1682.38</v>
      </c>
      <c r="F1326" s="7" t="n">
        <v>20188.51</v>
      </c>
    </row>
    <row r="1327" ht="21" customHeight="1">
      <c r="A1327" s="7" t="n">
        <v>2027</v>
      </c>
      <c r="B1327" s="7" t="n">
        <v>1</v>
      </c>
      <c r="C1327" s="10" t="inlineStr">
        <is>
          <t>Sonst Fuhrparkkosten</t>
        </is>
      </c>
      <c r="D1327" s="10" t="inlineStr">
        <is>
          <t>Fuhrparkkosten</t>
        </is>
      </c>
      <c r="E1327" s="7" t="n">
        <v>4989.24</v>
      </c>
      <c r="F1327" s="7" t="n">
        <v>59870.86</v>
      </c>
    </row>
    <row r="1328" ht="21" customHeight="1">
      <c r="A1328" s="7" t="n">
        <v>2028</v>
      </c>
      <c r="B1328" s="7" t="n">
        <v>1</v>
      </c>
      <c r="C1328" s="10" t="inlineStr">
        <is>
          <t>Bestandsveraend</t>
        </is>
      </c>
      <c r="D1328" s="10" t="inlineStr">
        <is>
          <t>Gesamtleistung</t>
        </is>
      </c>
      <c r="E1328" s="7" t="n">
        <v>0</v>
      </c>
      <c r="F1328" s="7" t="n">
        <v>0</v>
      </c>
    </row>
    <row r="1329" ht="21" customHeight="1">
      <c r="A1329" s="7" t="n">
        <v>2028</v>
      </c>
      <c r="B1329" s="7" t="n">
        <v>1</v>
      </c>
      <c r="C1329" s="10" t="inlineStr">
        <is>
          <t>So. betr. Aufwa</t>
        </is>
      </c>
      <c r="D1329" s="10" t="inlineStr">
        <is>
          <t>Verwaltungskosten</t>
        </is>
      </c>
      <c r="E1329" s="7" t="n">
        <v>673.0599999999999</v>
      </c>
      <c r="F1329" s="7" t="n">
        <v>8076.71</v>
      </c>
    </row>
    <row r="1330" ht="21" customHeight="1">
      <c r="A1330" s="7" t="n">
        <v>2030</v>
      </c>
      <c r="B1330" s="7" t="n">
        <v>1</v>
      </c>
      <c r="C1330" s="10" t="inlineStr">
        <is>
          <t>Miete LKW,Schiffe</t>
        </is>
      </c>
      <c r="D1330" s="10" t="inlineStr">
        <is>
          <t>Fuhrparkkosten</t>
        </is>
      </c>
      <c r="E1330" s="7" t="n">
        <v>43771.75</v>
      </c>
      <c r="F1330" s="7" t="n">
        <v>525261.04</v>
      </c>
    </row>
    <row r="1331" ht="21" customHeight="1">
      <c r="A1331" s="7" t="n">
        <v>2028</v>
      </c>
      <c r="B1331" s="7" t="n">
        <v>1</v>
      </c>
      <c r="C1331" s="10" t="inlineStr">
        <is>
          <t>Miete LKW,Schiffe</t>
        </is>
      </c>
      <c r="D1331" s="10" t="inlineStr">
        <is>
          <t>Fuhrparkkosten</t>
        </is>
      </c>
      <c r="E1331" s="7" t="n">
        <v>38956.71</v>
      </c>
      <c r="F1331" s="7" t="n">
        <v>467480.47</v>
      </c>
    </row>
    <row r="1332" ht="21" customHeight="1">
      <c r="A1332" s="7" t="n">
        <v>2028</v>
      </c>
      <c r="B1332" s="7" t="n">
        <v>1</v>
      </c>
      <c r="C1332" s="10" t="inlineStr">
        <is>
          <t>sonst Personalk</t>
        </is>
      </c>
      <c r="D1332" s="10" t="inlineStr">
        <is>
          <t>Personalaufwand</t>
        </is>
      </c>
      <c r="E1332" s="7" t="n">
        <v>12597.51</v>
      </c>
      <c r="F1332" s="7" t="n">
        <v>151170.09</v>
      </c>
    </row>
    <row r="1333" ht="21" customHeight="1">
      <c r="A1333" s="7" t="n">
        <v>2030</v>
      </c>
      <c r="B1333" s="7" t="n">
        <v>1</v>
      </c>
      <c r="C1333" s="10" t="inlineStr">
        <is>
          <t>Leasing PKW</t>
        </is>
      </c>
      <c r="D1333" s="10" t="inlineStr">
        <is>
          <t>Fuhrparkkosten</t>
        </is>
      </c>
      <c r="E1333" s="7" t="n">
        <v>26131.4</v>
      </c>
      <c r="F1333" s="7" t="n">
        <v>313576.76</v>
      </c>
    </row>
    <row r="1334" ht="21" customHeight="1">
      <c r="A1334" s="7" t="n">
        <v>2031</v>
      </c>
      <c r="B1334" s="7" t="n">
        <v>1</v>
      </c>
      <c r="C1334" s="10" t="inlineStr">
        <is>
          <t>Aufwand Umlage</t>
        </is>
      </c>
      <c r="D1334" s="10" t="inlineStr">
        <is>
          <t>Verwaltungskosten</t>
        </is>
      </c>
      <c r="E1334" s="7" t="n">
        <v>3807.87</v>
      </c>
      <c r="F1334" s="7" t="n">
        <v>45694.43</v>
      </c>
    </row>
    <row r="1335" ht="21" customHeight="1">
      <c r="A1335" s="7" t="n">
        <v>2031</v>
      </c>
      <c r="B1335" s="7" t="n">
        <v>1</v>
      </c>
      <c r="C1335" s="10" t="inlineStr">
        <is>
          <t>sonst Personalk</t>
        </is>
      </c>
      <c r="D1335" s="10" t="inlineStr">
        <is>
          <t>Personalaufwand</t>
        </is>
      </c>
      <c r="E1335" s="7" t="n">
        <v>17070.54</v>
      </c>
      <c r="F1335" s="7" t="n">
        <v>204846.51</v>
      </c>
    </row>
    <row r="1336" ht="21" customHeight="1">
      <c r="A1336" s="7" t="n">
        <v>2027</v>
      </c>
      <c r="B1336" s="7" t="n">
        <v>1</v>
      </c>
      <c r="C1336" s="10" t="inlineStr">
        <is>
          <t>sonst Personalk</t>
        </is>
      </c>
      <c r="D1336" s="10" t="inlineStr">
        <is>
          <t>Personalaufwand</t>
        </is>
      </c>
      <c r="E1336" s="7" t="n">
        <v>10949.84</v>
      </c>
      <c r="F1336" s="7" t="n">
        <v>131398.1</v>
      </c>
    </row>
    <row r="1337" ht="21" customHeight="1">
      <c r="A1337" s="7" t="n">
        <v>2031</v>
      </c>
      <c r="B1337" s="7" t="n">
        <v>1</v>
      </c>
      <c r="C1337" s="10" t="inlineStr">
        <is>
          <t>Miete PKW</t>
        </is>
      </c>
      <c r="D1337" s="10" t="inlineStr">
        <is>
          <t>Fuhrparkkosten</t>
        </is>
      </c>
      <c r="E1337" s="7" t="n">
        <v>5824.81</v>
      </c>
      <c r="F1337" s="7" t="n">
        <v>69897.67</v>
      </c>
    </row>
    <row r="1338" ht="21" customHeight="1">
      <c r="A1338" s="7" t="n">
        <v>2029</v>
      </c>
      <c r="B1338" s="7" t="n">
        <v>1</v>
      </c>
      <c r="C1338" s="10" t="inlineStr">
        <is>
          <t>Raumkosten</t>
        </is>
      </c>
      <c r="D1338" s="10" t="inlineStr">
        <is>
          <t>Raumkosten</t>
        </is>
      </c>
      <c r="E1338" s="7" t="n">
        <v>7164.46</v>
      </c>
      <c r="F1338" s="7" t="n">
        <v>85973.53</v>
      </c>
    </row>
    <row r="1339" ht="21" customHeight="1">
      <c r="A1339" s="7" t="n">
        <v>2031</v>
      </c>
      <c r="B1339" s="7" t="n">
        <v>1</v>
      </c>
      <c r="C1339" s="10" t="inlineStr">
        <is>
          <t>Aufw. f. Alters</t>
        </is>
      </c>
      <c r="D1339" s="10" t="inlineStr">
        <is>
          <t>Personalaufwand</t>
        </is>
      </c>
      <c r="E1339" s="7" t="n">
        <v>1434.03</v>
      </c>
      <c r="F1339" s="7" t="n">
        <v>17208.41</v>
      </c>
    </row>
    <row r="1340" ht="21" customHeight="1">
      <c r="A1340" s="7" t="n">
        <v>2031</v>
      </c>
      <c r="B1340" s="7" t="n">
        <v>1</v>
      </c>
      <c r="C1340" s="10" t="inlineStr">
        <is>
          <t>IT-Aufwendungen</t>
        </is>
      </c>
      <c r="D1340" s="10" t="inlineStr">
        <is>
          <t>Verwaltungskosten</t>
        </is>
      </c>
      <c r="E1340" s="7" t="n">
        <v>13051.66</v>
      </c>
      <c r="F1340" s="7" t="n">
        <v>156619.9</v>
      </c>
    </row>
    <row r="1341" ht="21" customHeight="1">
      <c r="A1341" s="7" t="n">
        <v>2028</v>
      </c>
      <c r="B1341" s="7" t="n">
        <v>1</v>
      </c>
      <c r="C1341" s="10" t="inlineStr">
        <is>
          <t>Miete Grdst/Gebäud</t>
        </is>
      </c>
      <c r="D1341" s="10" t="inlineStr">
        <is>
          <t>Raumkosten</t>
        </is>
      </c>
      <c r="E1341" s="7" t="n">
        <v>17880.93</v>
      </c>
      <c r="F1341" s="7" t="n">
        <v>214571.21</v>
      </c>
    </row>
    <row r="1342" ht="21" customHeight="1">
      <c r="A1342" s="7" t="n">
        <v>2027</v>
      </c>
      <c r="B1342" s="7" t="n">
        <v>1</v>
      </c>
      <c r="C1342" s="10" t="inlineStr">
        <is>
          <t>Erloesschmaeler</t>
        </is>
      </c>
      <c r="D1342" s="10" t="inlineStr">
        <is>
          <t>Gesamtleistung</t>
        </is>
      </c>
      <c r="E1342" s="7" t="n">
        <v>-7483.88</v>
      </c>
      <c r="F1342" s="7" t="n">
        <v>-89806.53</v>
      </c>
    </row>
    <row r="1343" ht="21" customHeight="1">
      <c r="A1343" s="7" t="n">
        <v>2029</v>
      </c>
      <c r="B1343" s="7" t="n">
        <v>1</v>
      </c>
      <c r="C1343" s="10" t="inlineStr">
        <is>
          <t>sonst Personalk</t>
        </is>
      </c>
      <c r="D1343" s="10" t="inlineStr">
        <is>
          <t>Personalaufwand</t>
        </is>
      </c>
      <c r="E1343" s="7" t="n">
        <v>13957.15</v>
      </c>
      <c r="F1343" s="7" t="n">
        <v>167485.78</v>
      </c>
    </row>
    <row r="1344" ht="21" customHeight="1">
      <c r="A1344" s="7" t="n">
        <v>2028</v>
      </c>
      <c r="B1344" s="7" t="n">
        <v>1</v>
      </c>
      <c r="C1344" s="10" t="inlineStr">
        <is>
          <t>Fremdl. Fuhrlei</t>
        </is>
      </c>
      <c r="D1344" s="10" t="inlineStr">
        <is>
          <t>Vorleistungen</t>
        </is>
      </c>
      <c r="E1344" s="7" t="n">
        <v>363.29</v>
      </c>
      <c r="F1344" s="7" t="n">
        <v>4359.52</v>
      </c>
    </row>
    <row r="1345" ht="21" customHeight="1">
      <c r="A1345" s="7" t="n">
        <v>2027</v>
      </c>
      <c r="B1345" s="7" t="n">
        <v>1</v>
      </c>
      <c r="C1345" s="10" t="inlineStr">
        <is>
          <t>Erl. so. DL Dt.</t>
        </is>
      </c>
      <c r="D1345" s="10" t="inlineStr">
        <is>
          <t>Gesamtleistung</t>
        </is>
      </c>
      <c r="E1345" s="7" t="n">
        <v>1996174.37</v>
      </c>
      <c r="F1345" s="7" t="n">
        <v>23954092.45</v>
      </c>
    </row>
    <row r="1346" ht="21" customHeight="1">
      <c r="A1346" s="7" t="n">
        <v>2027</v>
      </c>
      <c r="B1346" s="7" t="n">
        <v>1</v>
      </c>
      <c r="C1346" s="10" t="inlineStr">
        <is>
          <t>Aufw. Heizmat.</t>
        </is>
      </c>
      <c r="D1346" s="10" t="inlineStr">
        <is>
          <t>Vorleistungen</t>
        </is>
      </c>
      <c r="E1346" s="7" t="n">
        <v>275.72</v>
      </c>
      <c r="F1346" s="7" t="n">
        <v>3308.65</v>
      </c>
    </row>
    <row r="1347" ht="21" customHeight="1">
      <c r="A1347" s="7" t="n">
        <v>2028</v>
      </c>
      <c r="B1347" s="7" t="n">
        <v>1</v>
      </c>
      <c r="C1347" s="10" t="inlineStr">
        <is>
          <t>Versicherungskosten</t>
        </is>
      </c>
      <c r="D1347" s="10" t="inlineStr">
        <is>
          <t>Verwaltungskosten</t>
        </is>
      </c>
      <c r="E1347" s="7" t="n">
        <v>11113.3</v>
      </c>
      <c r="F1347" s="7" t="n">
        <v>133359.63</v>
      </c>
    </row>
    <row r="1348" ht="21" customHeight="1">
      <c r="A1348" s="7" t="n">
        <v>2031</v>
      </c>
      <c r="B1348" s="7" t="n">
        <v>1</v>
      </c>
      <c r="C1348" s="10" t="inlineStr">
        <is>
          <t>Miete LKW,Schiffe</t>
        </is>
      </c>
      <c r="D1348" s="10" t="inlineStr">
        <is>
          <t>Fuhrparkkosten</t>
        </is>
      </c>
      <c r="E1348" s="7" t="n">
        <v>46398.06</v>
      </c>
      <c r="F1348" s="7" t="n">
        <v>556776.71</v>
      </c>
    </row>
    <row r="1349" ht="21" customHeight="1">
      <c r="A1349" s="7" t="n">
        <v>2027</v>
      </c>
      <c r="B1349" s="7" t="n">
        <v>1</v>
      </c>
      <c r="C1349" s="10" t="inlineStr">
        <is>
          <t>Weiterber. Frem</t>
        </is>
      </c>
      <c r="D1349" s="10" t="inlineStr">
        <is>
          <t>Vorleistungen</t>
        </is>
      </c>
      <c r="E1349" s="7" t="n">
        <v>0</v>
      </c>
      <c r="F1349" s="7" t="n">
        <v>0</v>
      </c>
    </row>
    <row r="1350" ht="21" customHeight="1">
      <c r="A1350" s="7" t="n">
        <v>2028</v>
      </c>
      <c r="B1350" s="7" t="n">
        <v>1</v>
      </c>
      <c r="C1350" s="10" t="inlineStr">
        <is>
          <t>Erloesschmaeler</t>
        </is>
      </c>
      <c r="D1350" s="10" t="inlineStr">
        <is>
          <t>Gesamtleistung</t>
        </is>
      </c>
      <c r="E1350" s="7" t="n">
        <v>-8355.469999999999</v>
      </c>
      <c r="F1350" s="7" t="n">
        <v>-100265.61</v>
      </c>
    </row>
    <row r="1351" ht="21" customHeight="1">
      <c r="A1351" s="7" t="n">
        <v>2027</v>
      </c>
      <c r="B1351" s="7" t="n">
        <v>1</v>
      </c>
      <c r="C1351" s="10" t="inlineStr">
        <is>
          <t>Uebr.neutr. Ert</t>
        </is>
      </c>
      <c r="D1351" s="10" t="inlineStr">
        <is>
          <t>Gesamtleistung</t>
        </is>
      </c>
      <c r="E1351" s="7" t="n">
        <v>113.94</v>
      </c>
      <c r="F1351" s="7" t="n">
        <v>1367.31</v>
      </c>
    </row>
    <row r="1352" ht="21" customHeight="1">
      <c r="A1352" s="7" t="n">
        <v>2028</v>
      </c>
      <c r="B1352" s="7" t="n">
        <v>1</v>
      </c>
      <c r="C1352" s="10" t="inlineStr">
        <is>
          <t>Miete Behälter</t>
        </is>
      </c>
      <c r="D1352" s="10" t="inlineStr">
        <is>
          <t>Instandh. Betriebsausstattung</t>
        </is>
      </c>
      <c r="E1352" s="7" t="n">
        <v>24.08</v>
      </c>
      <c r="F1352" s="7" t="n">
        <v>289</v>
      </c>
    </row>
    <row r="1353" ht="21" customHeight="1">
      <c r="A1353" s="7" t="n">
        <v>2028</v>
      </c>
      <c r="B1353" s="7" t="n">
        <v>1</v>
      </c>
      <c r="C1353" s="10" t="inlineStr">
        <is>
          <t>Aufw. so. Hilfs</t>
        </is>
      </c>
      <c r="D1353" s="10" t="inlineStr">
        <is>
          <t>Vorleistungen</t>
        </is>
      </c>
      <c r="E1353" s="7" t="n">
        <v>-16546.31</v>
      </c>
      <c r="F1353" s="7" t="n">
        <v>-198555.67</v>
      </c>
    </row>
    <row r="1354" ht="21" customHeight="1">
      <c r="A1354" s="7" t="n">
        <v>2030</v>
      </c>
      <c r="B1354" s="7" t="n">
        <v>1</v>
      </c>
      <c r="C1354" s="10" t="inlineStr">
        <is>
          <t>Treibstoffe, Oe</t>
        </is>
      </c>
      <c r="D1354" s="10" t="inlineStr">
        <is>
          <t>Fuhrparkkosten</t>
        </is>
      </c>
      <c r="E1354" s="7" t="n">
        <v>34177.25</v>
      </c>
      <c r="F1354" s="7" t="n">
        <v>410126.96</v>
      </c>
    </row>
    <row r="1355" ht="21" customHeight="1">
      <c r="A1355" s="7" t="n">
        <v>2030</v>
      </c>
      <c r="B1355" s="7" t="n">
        <v>1</v>
      </c>
      <c r="C1355" s="10" t="inlineStr">
        <is>
          <t>Ueb Lohn-Gehalt</t>
        </is>
      </c>
      <c r="D1355" s="10" t="inlineStr">
        <is>
          <t>Personalaufwand</t>
        </is>
      </c>
      <c r="E1355" s="7" t="n">
        <v>41842.02</v>
      </c>
      <c r="F1355" s="7" t="n">
        <v>502104.18</v>
      </c>
    </row>
    <row r="1356" ht="21" customHeight="1">
      <c r="A1356" s="7" t="n">
        <v>2030</v>
      </c>
      <c r="B1356" s="7" t="n">
        <v>1</v>
      </c>
      <c r="C1356" s="10" t="inlineStr">
        <is>
          <t>Aufw. f. Alters</t>
        </is>
      </c>
      <c r="D1356" s="10" t="inlineStr">
        <is>
          <t>Personalaufwand</t>
        </is>
      </c>
      <c r="E1356" s="7" t="n">
        <v>1387.56</v>
      </c>
      <c r="F1356" s="7" t="n">
        <v>16650.69</v>
      </c>
    </row>
    <row r="1357" ht="21" customHeight="1">
      <c r="A1357" s="7" t="n">
        <v>2031</v>
      </c>
      <c r="B1357" s="7" t="n">
        <v>1</v>
      </c>
      <c r="C1357" s="10" t="inlineStr">
        <is>
          <t>Fremdl. Persona</t>
        </is>
      </c>
      <c r="D1357" s="10" t="inlineStr">
        <is>
          <t>Vorleistungen</t>
        </is>
      </c>
      <c r="E1357" s="7" t="n">
        <v>79.40000000000001</v>
      </c>
      <c r="F1357" s="7" t="n">
        <v>952.79</v>
      </c>
    </row>
    <row r="1358" ht="21" customHeight="1">
      <c r="A1358" s="7" t="n">
        <v>2029</v>
      </c>
      <c r="B1358" s="7" t="n">
        <v>2</v>
      </c>
      <c r="C1358" s="10" t="inlineStr">
        <is>
          <t>Sonderz. Prämie</t>
        </is>
      </c>
      <c r="D1358" s="10" t="inlineStr">
        <is>
          <t>Personalaufwand</t>
        </is>
      </c>
      <c r="E1358" s="7" t="n">
        <v>23292.21</v>
      </c>
      <c r="F1358" s="7" t="n">
        <v>279506.56</v>
      </c>
    </row>
    <row r="1359" ht="21" customHeight="1">
      <c r="A1359" s="7" t="n">
        <v>2030</v>
      </c>
      <c r="B1359" s="7" t="n">
        <v>2</v>
      </c>
      <c r="C1359" s="10" t="inlineStr">
        <is>
          <t>sonst Personalk</t>
        </is>
      </c>
      <c r="D1359" s="10" t="inlineStr">
        <is>
          <t>Personalaufwand</t>
        </is>
      </c>
      <c r="E1359" s="7" t="n">
        <v>15558.93</v>
      </c>
      <c r="F1359" s="7" t="n">
        <v>186707.19</v>
      </c>
    </row>
    <row r="1360" ht="21" customHeight="1">
      <c r="A1360" s="7" t="n">
        <v>2031</v>
      </c>
      <c r="B1360" s="7" t="n">
        <v>2</v>
      </c>
      <c r="C1360" s="10" t="inlineStr">
        <is>
          <t>Ankauf Rohstoff</t>
        </is>
      </c>
      <c r="D1360" s="10" t="inlineStr">
        <is>
          <t>Vorleistungen</t>
        </is>
      </c>
      <c r="E1360" s="7" t="n">
        <v>1489.65</v>
      </c>
      <c r="F1360" s="7" t="n">
        <v>17875.76</v>
      </c>
    </row>
    <row r="1361" ht="21" customHeight="1">
      <c r="A1361" s="7" t="n">
        <v>2029</v>
      </c>
      <c r="B1361" s="7" t="n">
        <v>2</v>
      </c>
      <c r="C1361" s="10" t="inlineStr">
        <is>
          <t>Weiterber. Frem</t>
        </is>
      </c>
      <c r="D1361" s="10" t="inlineStr">
        <is>
          <t>Vorleistungen</t>
        </is>
      </c>
      <c r="E1361" s="7" t="n">
        <v>0</v>
      </c>
      <c r="F1361" s="7" t="n">
        <v>0</v>
      </c>
    </row>
    <row r="1362" ht="21" customHeight="1">
      <c r="A1362" s="7" t="n">
        <v>2031</v>
      </c>
      <c r="B1362" s="7" t="n">
        <v>2</v>
      </c>
      <c r="C1362" s="10" t="inlineStr">
        <is>
          <t>Sonstige Steuer</t>
        </is>
      </c>
      <c r="D1362" s="10" t="inlineStr">
        <is>
          <t>Fuhrparkkosten</t>
        </is>
      </c>
      <c r="E1362" s="7" t="n">
        <v>1890.32</v>
      </c>
      <c r="F1362" s="7" t="n">
        <v>22683.81</v>
      </c>
    </row>
    <row r="1363" ht="21" customHeight="1">
      <c r="A1363" s="7" t="n">
        <v>2030</v>
      </c>
      <c r="B1363" s="7" t="n">
        <v>2</v>
      </c>
      <c r="C1363" s="10" t="inlineStr">
        <is>
          <t>Bestandsveraend</t>
        </is>
      </c>
      <c r="D1363" s="10" t="inlineStr">
        <is>
          <t>Gesamtleistung</t>
        </is>
      </c>
      <c r="E1363" s="7" t="n">
        <v>0</v>
      </c>
      <c r="F1363" s="7" t="n">
        <v>0</v>
      </c>
    </row>
    <row r="1364" ht="21" customHeight="1">
      <c r="A1364" s="7" t="n">
        <v>2031</v>
      </c>
      <c r="B1364" s="7" t="n">
        <v>2</v>
      </c>
      <c r="C1364" s="10" t="inlineStr">
        <is>
          <t>Erl. so. DL Dt.</t>
        </is>
      </c>
      <c r="D1364" s="10" t="inlineStr">
        <is>
          <t>Gesamtleistung</t>
        </is>
      </c>
      <c r="E1364" s="7" t="n">
        <v>2428139.11</v>
      </c>
      <c r="F1364" s="7" t="n">
        <v>29137669.32</v>
      </c>
    </row>
    <row r="1365" ht="21" customHeight="1">
      <c r="A1365" s="7" t="n">
        <v>2030</v>
      </c>
      <c r="B1365" s="7" t="n">
        <v>2</v>
      </c>
      <c r="C1365" s="10" t="inlineStr">
        <is>
          <t>Sonstige Steuer</t>
        </is>
      </c>
      <c r="D1365" s="10" t="inlineStr">
        <is>
          <t>Fuhrparkkosten</t>
        </is>
      </c>
      <c r="E1365" s="7" t="n">
        <v>1783.32</v>
      </c>
      <c r="F1365" s="7" t="n">
        <v>21399.82</v>
      </c>
    </row>
    <row r="1366" ht="21" customHeight="1">
      <c r="A1366" s="7" t="n">
        <v>2030</v>
      </c>
      <c r="B1366" s="7" t="n">
        <v>2</v>
      </c>
      <c r="C1366" s="10" t="inlineStr">
        <is>
          <t>Sonderz. Prämie</t>
        </is>
      </c>
      <c r="D1366" s="10" t="inlineStr">
        <is>
          <t>Personalaufwand</t>
        </is>
      </c>
      <c r="E1366" s="7" t="n">
        <v>25004.1</v>
      </c>
      <c r="F1366" s="7" t="n">
        <v>300049.14</v>
      </c>
    </row>
    <row r="1367" ht="21" customHeight="1">
      <c r="A1367" s="7" t="n">
        <v>2029</v>
      </c>
      <c r="B1367" s="7" t="n">
        <v>2</v>
      </c>
      <c r="C1367" s="10" t="inlineStr">
        <is>
          <t>Soziale Abgaben</t>
        </is>
      </c>
      <c r="D1367" s="10" t="inlineStr">
        <is>
          <t>Personalaufwand</t>
        </is>
      </c>
      <c r="E1367" s="7" t="n">
        <v>94488.11</v>
      </c>
      <c r="F1367" s="7" t="n">
        <v>1133857.35</v>
      </c>
    </row>
    <row r="1368" ht="21" customHeight="1">
      <c r="A1368" s="7" t="n">
        <v>2031</v>
      </c>
      <c r="B1368" s="7" t="n">
        <v>2</v>
      </c>
      <c r="C1368" s="10" t="inlineStr">
        <is>
          <t>So. betr. Aufwa</t>
        </is>
      </c>
      <c r="D1368" s="10" t="inlineStr">
        <is>
          <t>Verwaltungskosten</t>
        </is>
      </c>
      <c r="E1368" s="7" t="n">
        <v>735.47</v>
      </c>
      <c r="F1368" s="7" t="n">
        <v>8825.639999999999</v>
      </c>
    </row>
    <row r="1369" ht="21" customHeight="1">
      <c r="A1369" s="7" t="n">
        <v>2027</v>
      </c>
      <c r="B1369" s="7" t="n">
        <v>2</v>
      </c>
      <c r="C1369" s="10" t="inlineStr">
        <is>
          <t>Lohn + Gehalt</t>
        </is>
      </c>
      <c r="D1369" s="10" t="inlineStr">
        <is>
          <t>Personalaufwand</t>
        </is>
      </c>
      <c r="E1369" s="7" t="n">
        <v>287946.36</v>
      </c>
      <c r="F1369" s="7" t="n">
        <v>3455356.33</v>
      </c>
    </row>
    <row r="1370" ht="21" customHeight="1">
      <c r="A1370" s="7" t="n">
        <v>2027</v>
      </c>
      <c r="B1370" s="7" t="n">
        <v>2</v>
      </c>
      <c r="C1370" s="10" t="inlineStr">
        <is>
          <t>So. betr. Aufwa</t>
        </is>
      </c>
      <c r="D1370" s="10" t="inlineStr">
        <is>
          <t>Verwaltungskosten</t>
        </is>
      </c>
      <c r="E1370" s="7" t="n">
        <v>653.45</v>
      </c>
      <c r="F1370" s="7" t="n">
        <v>7841.45</v>
      </c>
    </row>
    <row r="1371" ht="21" customHeight="1">
      <c r="A1371" s="7" t="n">
        <v>2028</v>
      </c>
      <c r="B1371" s="7" t="n">
        <v>2</v>
      </c>
      <c r="C1371" s="10" t="inlineStr">
        <is>
          <t>Ueb Lohn-Gehalt</t>
        </is>
      </c>
      <c r="D1371" s="10" t="inlineStr">
        <is>
          <t>Personalaufwand</t>
        </is>
      </c>
      <c r="E1371" s="7" t="n">
        <v>34332.83</v>
      </c>
      <c r="F1371" s="7" t="n">
        <v>411993.96</v>
      </c>
    </row>
    <row r="1372" ht="21" customHeight="1">
      <c r="A1372" s="7" t="n">
        <v>2027</v>
      </c>
      <c r="B1372" s="7" t="n">
        <v>2</v>
      </c>
      <c r="C1372" s="10" t="inlineStr">
        <is>
          <t>Verwaltungskost</t>
        </is>
      </c>
      <c r="D1372" s="10" t="inlineStr">
        <is>
          <t>Verwaltungskosten</t>
        </is>
      </c>
      <c r="E1372" s="7" t="n">
        <v>6691.47</v>
      </c>
      <c r="F1372" s="7" t="n">
        <v>80297.62</v>
      </c>
    </row>
    <row r="1373" ht="21" customHeight="1">
      <c r="A1373" s="7" t="n">
        <v>2030</v>
      </c>
      <c r="B1373" s="7" t="n">
        <v>2</v>
      </c>
      <c r="C1373" s="10" t="inlineStr">
        <is>
          <t>Aufw. Heizmat.</t>
        </is>
      </c>
      <c r="D1373" s="10" t="inlineStr">
        <is>
          <t>Vorleistungen</t>
        </is>
      </c>
      <c r="E1373" s="7" t="n">
        <v>230.4</v>
      </c>
      <c r="F1373" s="7" t="n">
        <v>2764.82</v>
      </c>
    </row>
    <row r="1374" ht="21" customHeight="1">
      <c r="A1374" s="7" t="n">
        <v>2027</v>
      </c>
      <c r="B1374" s="7" t="n">
        <v>2</v>
      </c>
      <c r="C1374" s="10" t="inlineStr">
        <is>
          <t>Versicherungskosten</t>
        </is>
      </c>
      <c r="D1374" s="10" t="inlineStr">
        <is>
          <t>Verwaltungskosten</t>
        </is>
      </c>
      <c r="E1374" s="7" t="n">
        <v>10789.61</v>
      </c>
      <c r="F1374" s="7" t="n">
        <v>129475.37</v>
      </c>
    </row>
    <row r="1375" ht="21" customHeight="1">
      <c r="A1375" s="7" t="n">
        <v>2031</v>
      </c>
      <c r="B1375" s="7" t="n">
        <v>2</v>
      </c>
      <c r="C1375" s="10" t="inlineStr">
        <is>
          <t>Instandh. BGA</t>
        </is>
      </c>
      <c r="D1375" s="10" t="inlineStr">
        <is>
          <t>Instandh. Betriebsausstattung</t>
        </is>
      </c>
      <c r="E1375" s="7" t="n">
        <v>5124.63</v>
      </c>
      <c r="F1375" s="7" t="n">
        <v>61495.58</v>
      </c>
    </row>
    <row r="1376" ht="21" customHeight="1">
      <c r="A1376" s="7" t="n">
        <v>2029</v>
      </c>
      <c r="B1376" s="7" t="n">
        <v>2</v>
      </c>
      <c r="C1376" s="10" t="inlineStr">
        <is>
          <t>Treibstoffe, Oe</t>
        </is>
      </c>
      <c r="D1376" s="10" t="inlineStr">
        <is>
          <t>Fuhrparkkosten</t>
        </is>
      </c>
      <c r="E1376" s="7" t="n">
        <v>32242.68</v>
      </c>
      <c r="F1376" s="7" t="n">
        <v>386912.19</v>
      </c>
    </row>
    <row r="1377" ht="21" customHeight="1">
      <c r="A1377" s="7" t="n">
        <v>2027</v>
      </c>
      <c r="B1377" s="7" t="n">
        <v>2</v>
      </c>
      <c r="C1377" s="10" t="inlineStr">
        <is>
          <t>Instandh. BGA</t>
        </is>
      </c>
      <c r="D1377" s="10" t="inlineStr">
        <is>
          <t>Instandh. Betriebsausstattung</t>
        </is>
      </c>
      <c r="E1377" s="7" t="n">
        <v>4216.05</v>
      </c>
      <c r="F1377" s="7" t="n">
        <v>50592.58</v>
      </c>
    </row>
    <row r="1378" ht="21" customHeight="1">
      <c r="A1378" s="7" t="n">
        <v>2029</v>
      </c>
      <c r="B1378" s="7" t="n">
        <v>2</v>
      </c>
      <c r="C1378" s="10" t="inlineStr">
        <is>
          <t>Ueb Lohn-Gehalt</t>
        </is>
      </c>
      <c r="D1378" s="10" t="inlineStr">
        <is>
          <t>Personalaufwand</t>
        </is>
      </c>
      <c r="E1378" s="7" t="n">
        <v>37989.9</v>
      </c>
      <c r="F1378" s="7" t="n">
        <v>455878.84</v>
      </c>
    </row>
    <row r="1379" ht="21" customHeight="1">
      <c r="A1379" s="7" t="n">
        <v>2031</v>
      </c>
      <c r="B1379" s="7" t="n">
        <v>2</v>
      </c>
      <c r="C1379" s="10" t="inlineStr">
        <is>
          <t>Erl. Waren Dt.</t>
        </is>
      </c>
      <c r="D1379" s="10" t="inlineStr">
        <is>
          <t>Gesamtleistung</t>
        </is>
      </c>
      <c r="E1379" s="7" t="n">
        <v>50865.59</v>
      </c>
      <c r="F1379" s="7" t="n">
        <v>610387.05</v>
      </c>
    </row>
    <row r="1380" ht="21" customHeight="1">
      <c r="A1380" s="7" t="n">
        <v>2027</v>
      </c>
      <c r="B1380" s="7" t="n">
        <v>2</v>
      </c>
      <c r="C1380" s="10" t="inlineStr">
        <is>
          <t>Fremdl. Persona</t>
        </is>
      </c>
      <c r="D1380" s="10" t="inlineStr">
        <is>
          <t>Vorleistungen</t>
        </is>
      </c>
      <c r="E1380" s="7" t="n">
        <v>61.31</v>
      </c>
      <c r="F1380" s="7" t="n">
        <v>735.66</v>
      </c>
    </row>
    <row r="1381" ht="21" customHeight="1">
      <c r="A1381" s="7" t="n">
        <v>2027</v>
      </c>
      <c r="B1381" s="7" t="n">
        <v>2</v>
      </c>
      <c r="C1381" s="10" t="inlineStr">
        <is>
          <t>Aufwand Umlage</t>
        </is>
      </c>
      <c r="D1381" s="10" t="inlineStr">
        <is>
          <t>Verwaltungskosten</t>
        </is>
      </c>
      <c r="E1381" s="7" t="n">
        <v>3383.24</v>
      </c>
      <c r="F1381" s="7" t="n">
        <v>40598.91</v>
      </c>
    </row>
    <row r="1382" ht="21" customHeight="1">
      <c r="A1382" s="7" t="n">
        <v>2031</v>
      </c>
      <c r="B1382" s="7" t="n">
        <v>2</v>
      </c>
      <c r="C1382" s="10" t="inlineStr">
        <is>
          <t>Ueb Lohn-Gehalt</t>
        </is>
      </c>
      <c r="D1382" s="10" t="inlineStr">
        <is>
          <t>Personalaufwand</t>
        </is>
      </c>
      <c r="E1382" s="7" t="n">
        <v>45675.82</v>
      </c>
      <c r="F1382" s="7" t="n">
        <v>548109.79</v>
      </c>
    </row>
    <row r="1383" ht="21" customHeight="1">
      <c r="A1383" s="7" t="n">
        <v>2027</v>
      </c>
      <c r="B1383" s="7" t="n">
        <v>2</v>
      </c>
      <c r="C1383" s="10" t="inlineStr">
        <is>
          <t>Rechts- u. Beratungs</t>
        </is>
      </c>
      <c r="D1383" s="10" t="inlineStr">
        <is>
          <t>Verwaltungskosten</t>
        </is>
      </c>
      <c r="E1383" s="7" t="n">
        <v>25635.99</v>
      </c>
      <c r="F1383" s="7" t="n">
        <v>307631.89</v>
      </c>
    </row>
    <row r="1384" ht="21" customHeight="1">
      <c r="A1384" s="7" t="n">
        <v>2028</v>
      </c>
      <c r="B1384" s="7" t="n">
        <v>2</v>
      </c>
      <c r="C1384" s="10" t="inlineStr">
        <is>
          <t>Verwaltungskost</t>
        </is>
      </c>
      <c r="D1384" s="10" t="inlineStr">
        <is>
          <t>Verwaltungskosten</t>
        </is>
      </c>
      <c r="E1384" s="7" t="n">
        <v>6892.21</v>
      </c>
      <c r="F1384" s="7" t="n">
        <v>82706.56</v>
      </c>
    </row>
    <row r="1385" ht="21" customHeight="1">
      <c r="A1385" s="7" t="n">
        <v>2028</v>
      </c>
      <c r="B1385" s="7" t="n">
        <v>2</v>
      </c>
      <c r="C1385" s="10" t="inlineStr">
        <is>
          <t>Ueb. bezog.Leis</t>
        </is>
      </c>
      <c r="D1385" s="10" t="inlineStr">
        <is>
          <t>Vorleistungen</t>
        </is>
      </c>
      <c r="E1385" s="7" t="n">
        <v>1342498.67</v>
      </c>
      <c r="F1385" s="7" t="n">
        <v>16109983.99</v>
      </c>
    </row>
    <row r="1386" ht="21" customHeight="1">
      <c r="A1386" s="7" t="n">
        <v>2028</v>
      </c>
      <c r="B1386" s="7" t="n">
        <v>2</v>
      </c>
      <c r="C1386" s="10" t="inlineStr">
        <is>
          <t>Ankauf Rohstoff</t>
        </is>
      </c>
      <c r="D1386" s="10" t="inlineStr">
        <is>
          <t>Vorleistungen</t>
        </is>
      </c>
      <c r="E1386" s="7" t="n">
        <v>1457.38</v>
      </c>
      <c r="F1386" s="7" t="n">
        <v>17488.61</v>
      </c>
    </row>
    <row r="1387" ht="21" customHeight="1">
      <c r="A1387" s="7" t="n">
        <v>2029</v>
      </c>
      <c r="B1387" s="7" t="n">
        <v>2</v>
      </c>
      <c r="C1387" s="10" t="inlineStr">
        <is>
          <t>Erloesschmaeler</t>
        </is>
      </c>
      <c r="D1387" s="10" t="inlineStr">
        <is>
          <t>Gesamtleistung</t>
        </is>
      </c>
      <c r="E1387" s="7" t="n">
        <v>-9048.01</v>
      </c>
      <c r="F1387" s="7" t="n">
        <v>-108576.08</v>
      </c>
    </row>
    <row r="1388" ht="21" customHeight="1">
      <c r="A1388" s="7" t="n">
        <v>2029</v>
      </c>
      <c r="B1388" s="7" t="n">
        <v>2</v>
      </c>
      <c r="C1388" s="10" t="inlineStr">
        <is>
          <t>Leasing PKW</t>
        </is>
      </c>
      <c r="D1388" s="10" t="inlineStr">
        <is>
          <t>Fuhrparkkosten</t>
        </is>
      </c>
      <c r="E1388" s="7" t="n">
        <v>24652.26</v>
      </c>
      <c r="F1388" s="7" t="n">
        <v>295827.14</v>
      </c>
    </row>
    <row r="1389" ht="21" customHeight="1">
      <c r="A1389" s="7" t="n">
        <v>2029</v>
      </c>
      <c r="B1389" s="7" t="n">
        <v>2</v>
      </c>
      <c r="C1389" s="10" t="inlineStr">
        <is>
          <t>Fremdl. Persona</t>
        </is>
      </c>
      <c r="D1389" s="10" t="inlineStr">
        <is>
          <t>Vorleistungen</t>
        </is>
      </c>
      <c r="E1389" s="7" t="n">
        <v>73.3</v>
      </c>
      <c r="F1389" s="7" t="n">
        <v>879.54</v>
      </c>
    </row>
    <row r="1390" ht="21" customHeight="1">
      <c r="A1390" s="7" t="n">
        <v>2028</v>
      </c>
      <c r="B1390" s="7" t="n">
        <v>2</v>
      </c>
      <c r="C1390" s="10" t="inlineStr">
        <is>
          <t>Aufwand Umlage</t>
        </is>
      </c>
      <c r="D1390" s="10" t="inlineStr">
        <is>
          <t>Verwaltungskosten</t>
        </is>
      </c>
      <c r="E1390" s="7" t="n">
        <v>3484.74</v>
      </c>
      <c r="F1390" s="7" t="n">
        <v>41816.88</v>
      </c>
    </row>
    <row r="1391" ht="21" customHeight="1">
      <c r="A1391" s="7" t="n">
        <v>2027</v>
      </c>
      <c r="B1391" s="7" t="n">
        <v>2</v>
      </c>
      <c r="C1391" s="10" t="inlineStr">
        <is>
          <t>Ankauf Rohstoff</t>
        </is>
      </c>
      <c r="D1391" s="10" t="inlineStr">
        <is>
          <t>Vorleistungen</t>
        </is>
      </c>
      <c r="E1391" s="7" t="n">
        <v>1408.24</v>
      </c>
      <c r="F1391" s="7" t="n">
        <v>16898.9</v>
      </c>
    </row>
    <row r="1392" ht="21" customHeight="1">
      <c r="A1392" s="7" t="n">
        <v>2030</v>
      </c>
      <c r="B1392" s="7" t="n">
        <v>2</v>
      </c>
      <c r="C1392" s="10" t="inlineStr">
        <is>
          <t>Erloesschmaeler</t>
        </is>
      </c>
      <c r="D1392" s="10" t="inlineStr">
        <is>
          <t>Gesamtleistung</t>
        </is>
      </c>
      <c r="E1392" s="7" t="n">
        <v>-9690.75</v>
      </c>
      <c r="F1392" s="7" t="n">
        <v>-116289.05</v>
      </c>
    </row>
    <row r="1393" ht="21" customHeight="1">
      <c r="A1393" s="7" t="n">
        <v>2029</v>
      </c>
      <c r="B1393" s="7" t="n">
        <v>2</v>
      </c>
      <c r="C1393" s="10" t="inlineStr">
        <is>
          <t>Sonst Fuhrparkkosten</t>
        </is>
      </c>
      <c r="D1393" s="10" t="inlineStr">
        <is>
          <t>Fuhrparkkosten</t>
        </is>
      </c>
      <c r="E1393" s="7" t="n">
        <v>5605.91</v>
      </c>
      <c r="F1393" s="7" t="n">
        <v>67270.89</v>
      </c>
    </row>
    <row r="1394" ht="21" customHeight="1">
      <c r="A1394" s="7" t="n">
        <v>2027</v>
      </c>
      <c r="B1394" s="7" t="n">
        <v>2</v>
      </c>
      <c r="C1394" s="10" t="inlineStr">
        <is>
          <t>Soziale Abgaben</t>
        </is>
      </c>
      <c r="D1394" s="10" t="inlineStr">
        <is>
          <t>Personalaufwand</t>
        </is>
      </c>
      <c r="E1394" s="7" t="n">
        <v>75903.69</v>
      </c>
      <c r="F1394" s="7" t="n">
        <v>910844.28</v>
      </c>
    </row>
    <row r="1395" ht="21" customHeight="1">
      <c r="A1395" s="7" t="n">
        <v>2031</v>
      </c>
      <c r="B1395" s="7" t="n">
        <v>2</v>
      </c>
      <c r="C1395" s="10" t="inlineStr">
        <is>
          <t>Erloesschmaeler</t>
        </is>
      </c>
      <c r="D1395" s="10" t="inlineStr">
        <is>
          <t>Gesamtleistung</t>
        </is>
      </c>
      <c r="E1395" s="7" t="n">
        <v>-10347.15</v>
      </c>
      <c r="F1395" s="7" t="n">
        <v>-124165.81</v>
      </c>
    </row>
    <row r="1396" ht="21" customHeight="1">
      <c r="A1396" s="7" t="n">
        <v>2029</v>
      </c>
      <c r="B1396" s="7" t="n">
        <v>2</v>
      </c>
      <c r="C1396" s="10" t="inlineStr">
        <is>
          <t>Ertr. weiterber</t>
        </is>
      </c>
      <c r="D1396" s="10" t="inlineStr">
        <is>
          <t>Gesamtleistung</t>
        </is>
      </c>
      <c r="E1396" s="7" t="n">
        <v>1036.39</v>
      </c>
      <c r="F1396" s="7" t="n">
        <v>12436.69</v>
      </c>
    </row>
    <row r="1397" ht="21" customHeight="1">
      <c r="A1397" s="7" t="n">
        <v>2027</v>
      </c>
      <c r="B1397" s="7" t="n">
        <v>2</v>
      </c>
      <c r="C1397" s="10" t="inlineStr">
        <is>
          <t>Sonderz. Prämie</t>
        </is>
      </c>
      <c r="D1397" s="10" t="inlineStr">
        <is>
          <t>Personalaufwand</t>
        </is>
      </c>
      <c r="E1397" s="7" t="n">
        <v>19636.08</v>
      </c>
      <c r="F1397" s="7" t="n">
        <v>235633</v>
      </c>
    </row>
    <row r="1398" ht="21" customHeight="1">
      <c r="A1398" s="7" t="n">
        <v>2027</v>
      </c>
      <c r="B1398" s="7" t="n">
        <v>2</v>
      </c>
      <c r="C1398" s="10" t="inlineStr">
        <is>
          <t>Miete Behälter</t>
        </is>
      </c>
      <c r="D1398" s="10" t="inlineStr">
        <is>
          <t>Instandh. Betriebsausstattung</t>
        </is>
      </c>
      <c r="E1398" s="7" t="n">
        <v>22.94</v>
      </c>
      <c r="F1398" s="7" t="n">
        <v>275.23</v>
      </c>
    </row>
    <row r="1399" ht="21" customHeight="1">
      <c r="A1399" s="7" t="n">
        <v>2031</v>
      </c>
      <c r="B1399" s="7" t="n">
        <v>2</v>
      </c>
      <c r="C1399" s="10" t="inlineStr">
        <is>
          <t>Versicherungskosten</t>
        </is>
      </c>
      <c r="D1399" s="10" t="inlineStr">
        <is>
          <t>Verwaltungskosten</t>
        </is>
      </c>
      <c r="E1399" s="7" t="n">
        <v>12143.81</v>
      </c>
      <c r="F1399" s="7" t="n">
        <v>145725.66</v>
      </c>
    </row>
    <row r="1400" ht="21" customHeight="1">
      <c r="A1400" s="7" t="n">
        <v>2029</v>
      </c>
      <c r="B1400" s="7" t="n">
        <v>2</v>
      </c>
      <c r="C1400" s="10" t="inlineStr">
        <is>
          <t>Rechts- u. Beratungs</t>
        </is>
      </c>
      <c r="D1400" s="10" t="inlineStr">
        <is>
          <t>Verwaltungskosten</t>
        </is>
      </c>
      <c r="E1400" s="7" t="n">
        <v>27197.22</v>
      </c>
      <c r="F1400" s="7" t="n">
        <v>326366.65</v>
      </c>
    </row>
    <row r="1401" ht="21" customHeight="1">
      <c r="A1401" s="7" t="n">
        <v>2028</v>
      </c>
      <c r="B1401" s="7" t="n">
        <v>2</v>
      </c>
      <c r="C1401" s="10" t="inlineStr">
        <is>
          <t>Instandh.Fuhrp</t>
        </is>
      </c>
      <c r="D1401" s="10" t="inlineStr">
        <is>
          <t>Fuhrparkkosten</t>
        </is>
      </c>
      <c r="E1401" s="7" t="n">
        <v>32180.39</v>
      </c>
      <c r="F1401" s="7" t="n">
        <v>386164.66</v>
      </c>
    </row>
    <row r="1402" ht="21" customHeight="1">
      <c r="A1402" s="7" t="n">
        <v>2030</v>
      </c>
      <c r="B1402" s="7" t="n">
        <v>2</v>
      </c>
      <c r="C1402" s="10" t="inlineStr">
        <is>
          <t>Miete Grdst/Gebäud</t>
        </is>
      </c>
      <c r="D1402" s="10" t="inlineStr">
        <is>
          <t>Raumkosten</t>
        </is>
      </c>
      <c r="E1402" s="7" t="n">
        <v>18603.32</v>
      </c>
      <c r="F1402" s="7" t="n">
        <v>223239.88</v>
      </c>
    </row>
    <row r="1403" ht="21" customHeight="1">
      <c r="A1403" s="7" t="n">
        <v>2027</v>
      </c>
      <c r="B1403" s="7" t="n">
        <v>2</v>
      </c>
      <c r="C1403" s="10" t="inlineStr">
        <is>
          <t>Ueb. bezog.Leis</t>
        </is>
      </c>
      <c r="D1403" s="10" t="inlineStr">
        <is>
          <t>Vorleistungen</t>
        </is>
      </c>
      <c r="E1403" s="7" t="n">
        <v>1319862.34</v>
      </c>
      <c r="F1403" s="7" t="n">
        <v>15838348.13</v>
      </c>
    </row>
    <row r="1404" ht="21" customHeight="1">
      <c r="A1404" s="7" t="n">
        <v>2029</v>
      </c>
      <c r="B1404" s="7" t="n">
        <v>2</v>
      </c>
      <c r="C1404" s="10" t="inlineStr">
        <is>
          <t>Erl. Waren Dt.</t>
        </is>
      </c>
      <c r="D1404" s="10" t="inlineStr">
        <is>
          <t>Gesamtleistung</t>
        </is>
      </c>
      <c r="E1404" s="7" t="n">
        <v>47334.08</v>
      </c>
      <c r="F1404" s="7" t="n">
        <v>568008.92</v>
      </c>
    </row>
    <row r="1405" ht="21" customHeight="1">
      <c r="A1405" s="7" t="n">
        <v>2031</v>
      </c>
      <c r="B1405" s="7" t="n">
        <v>2</v>
      </c>
      <c r="C1405" s="10" t="inlineStr">
        <is>
          <t>Treibstoffe, Oe</t>
        </is>
      </c>
      <c r="D1405" s="10" t="inlineStr">
        <is>
          <t>Fuhrparkkosten</t>
        </is>
      </c>
      <c r="E1405" s="7" t="n">
        <v>36227.88</v>
      </c>
      <c r="F1405" s="7" t="n">
        <v>434734.54</v>
      </c>
    </row>
    <row r="1406" ht="21" customHeight="1">
      <c r="A1406" s="7" t="n">
        <v>2029</v>
      </c>
      <c r="B1406" s="7" t="n">
        <v>2</v>
      </c>
      <c r="C1406" s="10" t="inlineStr">
        <is>
          <t>Miete Behälter</t>
        </is>
      </c>
      <c r="D1406" s="10" t="inlineStr">
        <is>
          <t>Instandh. Betriebsausstattung</t>
        </is>
      </c>
      <c r="E1406" s="7" t="n">
        <v>25.29</v>
      </c>
      <c r="F1406" s="7" t="n">
        <v>303.45</v>
      </c>
    </row>
    <row r="1407" ht="21" customHeight="1">
      <c r="A1407" s="7" t="n">
        <v>2030</v>
      </c>
      <c r="B1407" s="7" t="n">
        <v>2</v>
      </c>
      <c r="C1407" s="10" t="inlineStr">
        <is>
          <t>Instandh. BGA</t>
        </is>
      </c>
      <c r="D1407" s="10" t="inlineStr">
        <is>
          <t>Instandh. Betriebsausstattung</t>
        </is>
      </c>
      <c r="E1407" s="7" t="n">
        <v>4880.6</v>
      </c>
      <c r="F1407" s="7" t="n">
        <v>58567.23</v>
      </c>
    </row>
    <row r="1408" ht="21" customHeight="1">
      <c r="A1408" s="7" t="n">
        <v>2030</v>
      </c>
      <c r="B1408" s="7" t="n">
        <v>2</v>
      </c>
      <c r="C1408" s="10" t="inlineStr">
        <is>
          <t>Lohn + Gehalt</t>
        </is>
      </c>
      <c r="D1408" s="10" t="inlineStr">
        <is>
          <t>Personalaufwand</t>
        </is>
      </c>
      <c r="E1408" s="7" t="n">
        <v>392030.8</v>
      </c>
      <c r="F1408" s="7" t="n">
        <v>4704369.59</v>
      </c>
    </row>
    <row r="1409" ht="21" customHeight="1">
      <c r="A1409" s="7" t="n">
        <v>2027</v>
      </c>
      <c r="B1409" s="7" t="n">
        <v>2</v>
      </c>
      <c r="C1409" s="10" t="inlineStr">
        <is>
          <t>Bestandsveraend</t>
        </is>
      </c>
      <c r="D1409" s="10" t="inlineStr">
        <is>
          <t>Gesamtleistung</t>
        </is>
      </c>
      <c r="E1409" s="7" t="n">
        <v>0</v>
      </c>
      <c r="F1409" s="7" t="n">
        <v>0</v>
      </c>
    </row>
    <row r="1410" ht="21" customHeight="1">
      <c r="A1410" s="7" t="n">
        <v>2027</v>
      </c>
      <c r="B1410" s="7" t="n">
        <v>2</v>
      </c>
      <c r="C1410" s="10" t="inlineStr">
        <is>
          <t>Aufw. so. Hilfs</t>
        </is>
      </c>
      <c r="D1410" s="10" t="inlineStr">
        <is>
          <t>Vorleistungen</t>
        </is>
      </c>
      <c r="E1410" s="7" t="n">
        <v>-16362.04</v>
      </c>
      <c r="F1410" s="7" t="n">
        <v>-196344.47</v>
      </c>
    </row>
    <row r="1411" ht="21" customHeight="1">
      <c r="A1411" s="7" t="n">
        <v>2027</v>
      </c>
      <c r="B1411" s="7" t="n">
        <v>2</v>
      </c>
      <c r="C1411" s="10" t="inlineStr">
        <is>
          <t>Aufw. f. Alters</t>
        </is>
      </c>
      <c r="D1411" s="10" t="inlineStr">
        <is>
          <t>Personalaufwand</t>
        </is>
      </c>
      <c r="E1411" s="7" t="n">
        <v>1234.77</v>
      </c>
      <c r="F1411" s="7" t="n">
        <v>14817.29</v>
      </c>
    </row>
    <row r="1412" ht="21" customHeight="1">
      <c r="A1412" s="7" t="n">
        <v>2027</v>
      </c>
      <c r="B1412" s="7" t="n">
        <v>2</v>
      </c>
      <c r="C1412" s="10" t="inlineStr">
        <is>
          <t>Vertriebskosten</t>
        </is>
      </c>
      <c r="D1412" s="10" t="inlineStr">
        <is>
          <t>Vertriebskosten</t>
        </is>
      </c>
      <c r="E1412" s="7" t="n">
        <v>10833.33</v>
      </c>
      <c r="F1412" s="7" t="n">
        <v>130000</v>
      </c>
    </row>
    <row r="1413" ht="21" customHeight="1">
      <c r="A1413" s="7" t="n">
        <v>2027</v>
      </c>
      <c r="B1413" s="7" t="n">
        <v>2</v>
      </c>
      <c r="C1413" s="10" t="inlineStr">
        <is>
          <t>Ertrag KFZ-Nutz</t>
        </is>
      </c>
      <c r="D1413" s="10" t="inlineStr">
        <is>
          <t>Gesamtleistung</t>
        </is>
      </c>
      <c r="E1413" s="7" t="n">
        <v>8029.69</v>
      </c>
      <c r="F1413" s="7" t="n">
        <v>96356.3</v>
      </c>
    </row>
    <row r="1414" ht="21" customHeight="1">
      <c r="A1414" s="7" t="n">
        <v>2031</v>
      </c>
      <c r="B1414" s="7" t="n">
        <v>2</v>
      </c>
      <c r="C1414" s="10" t="inlineStr">
        <is>
          <t>Lohn + Gehalt</t>
        </is>
      </c>
      <c r="D1414" s="10" t="inlineStr">
        <is>
          <t>Personalaufwand</t>
        </is>
      </c>
      <c r="E1414" s="7" t="n">
        <v>428257.62</v>
      </c>
      <c r="F1414" s="7" t="n">
        <v>5139091.39</v>
      </c>
    </row>
    <row r="1415" ht="21" customHeight="1">
      <c r="A1415" s="7" t="n">
        <v>2031</v>
      </c>
      <c r="B1415" s="7" t="n">
        <v>2</v>
      </c>
      <c r="C1415" s="10" t="inlineStr">
        <is>
          <t>Soziale Abgaben</t>
        </is>
      </c>
      <c r="D1415" s="10" t="inlineStr">
        <is>
          <t>Personalaufwand</t>
        </is>
      </c>
      <c r="E1415" s="7" t="n">
        <v>113909.76</v>
      </c>
      <c r="F1415" s="7" t="n">
        <v>1366917.09</v>
      </c>
    </row>
    <row r="1416" ht="21" customHeight="1">
      <c r="A1416" s="7" t="n">
        <v>2031</v>
      </c>
      <c r="B1416" s="7" t="n">
        <v>2</v>
      </c>
      <c r="C1416" s="10" t="inlineStr">
        <is>
          <t>Sonst Fuhrparkkosten</t>
        </is>
      </c>
      <c r="D1416" s="10" t="inlineStr">
        <is>
          <t>Fuhrparkkosten</t>
        </is>
      </c>
      <c r="E1416" s="7" t="n">
        <v>6298.8</v>
      </c>
      <c r="F1416" s="7" t="n">
        <v>75585.56</v>
      </c>
    </row>
    <row r="1417" ht="21" customHeight="1">
      <c r="A1417" s="7" t="n">
        <v>2030</v>
      </c>
      <c r="B1417" s="7" t="n">
        <v>2</v>
      </c>
      <c r="C1417" s="10" t="inlineStr">
        <is>
          <t>Miete Behälter</t>
        </is>
      </c>
      <c r="D1417" s="10" t="inlineStr">
        <is>
          <t>Instandh. Betriebsausstattung</t>
        </is>
      </c>
      <c r="E1417" s="7" t="n">
        <v>26.55</v>
      </c>
      <c r="F1417" s="7" t="n">
        <v>318.62</v>
      </c>
    </row>
    <row r="1418" ht="21" customHeight="1">
      <c r="A1418" s="7" t="n">
        <v>2028</v>
      </c>
      <c r="B1418" s="7" t="n">
        <v>2</v>
      </c>
      <c r="C1418" s="10" t="inlineStr">
        <is>
          <t>Miete PKW</t>
        </is>
      </c>
      <c r="D1418" s="10" t="inlineStr">
        <is>
          <t>Fuhrparkkosten</t>
        </is>
      </c>
      <c r="E1418" s="7" t="n">
        <v>4890.62</v>
      </c>
      <c r="F1418" s="7" t="n">
        <v>58687.43</v>
      </c>
    </row>
    <row r="1419" ht="21" customHeight="1">
      <c r="A1419" s="7" t="n">
        <v>2030</v>
      </c>
      <c r="B1419" s="7" t="n">
        <v>2</v>
      </c>
      <c r="C1419" s="10" t="inlineStr">
        <is>
          <t>Aufwand Umlage</t>
        </is>
      </c>
      <c r="D1419" s="10" t="inlineStr">
        <is>
          <t>Verwaltungskosten</t>
        </is>
      </c>
      <c r="E1419" s="7" t="n">
        <v>3696.96</v>
      </c>
      <c r="F1419" s="7" t="n">
        <v>44363.53</v>
      </c>
    </row>
    <row r="1420" ht="21" customHeight="1">
      <c r="A1420" s="7" t="n">
        <v>2030</v>
      </c>
      <c r="B1420" s="7" t="n">
        <v>2</v>
      </c>
      <c r="C1420" s="10" t="inlineStr">
        <is>
          <t>So. betr. Aufwa</t>
        </is>
      </c>
      <c r="D1420" s="10" t="inlineStr">
        <is>
          <t>Verwaltungskosten</t>
        </is>
      </c>
      <c r="E1420" s="7" t="n">
        <v>714.05</v>
      </c>
      <c r="F1420" s="7" t="n">
        <v>8568.57</v>
      </c>
    </row>
    <row r="1421" ht="21" customHeight="1">
      <c r="A1421" s="7" t="n">
        <v>2029</v>
      </c>
      <c r="B1421" s="7" t="n">
        <v>2</v>
      </c>
      <c r="C1421" s="10" t="inlineStr">
        <is>
          <t>Versicherungskosten</t>
        </is>
      </c>
      <c r="D1421" s="10" t="inlineStr">
        <is>
          <t>Verwaltungskosten</t>
        </is>
      </c>
      <c r="E1421" s="7" t="n">
        <v>11446.7</v>
      </c>
      <c r="F1421" s="7" t="n">
        <v>137360.42</v>
      </c>
    </row>
    <row r="1422" ht="21" customHeight="1">
      <c r="A1422" s="7" t="n">
        <v>2027</v>
      </c>
      <c r="B1422" s="7" t="n">
        <v>2</v>
      </c>
      <c r="C1422" s="10" t="inlineStr">
        <is>
          <t>Sonstige Steuer</t>
        </is>
      </c>
      <c r="D1422" s="10" t="inlineStr">
        <is>
          <t>Fuhrparkkosten</t>
        </is>
      </c>
      <c r="E1422" s="7" t="n">
        <v>1497.31</v>
      </c>
      <c r="F1422" s="7" t="n">
        <v>17967.71</v>
      </c>
    </row>
    <row r="1423" ht="21" customHeight="1">
      <c r="A1423" s="7" t="n">
        <v>2031</v>
      </c>
      <c r="B1423" s="7" t="n">
        <v>2</v>
      </c>
      <c r="C1423" s="10" t="inlineStr">
        <is>
          <t>Leasing LKW</t>
        </is>
      </c>
      <c r="D1423" s="10" t="inlineStr">
        <is>
          <t>Fuhrparkkosten</t>
        </is>
      </c>
      <c r="E1423" s="7" t="n">
        <v>2910.36</v>
      </c>
      <c r="F1423" s="7" t="n">
        <v>34924.28</v>
      </c>
    </row>
    <row r="1424" ht="21" customHeight="1">
      <c r="A1424" s="7" t="n">
        <v>2029</v>
      </c>
      <c r="B1424" s="7" t="n">
        <v>2</v>
      </c>
      <c r="C1424" s="10" t="inlineStr">
        <is>
          <t>Leasing LKW</t>
        </is>
      </c>
      <c r="D1424" s="10" t="inlineStr">
        <is>
          <t>Fuhrparkkosten</t>
        </is>
      </c>
      <c r="E1424" s="7" t="n">
        <v>2590.21</v>
      </c>
      <c r="F1424" s="7" t="n">
        <v>31082.49</v>
      </c>
    </row>
    <row r="1425" ht="21" customHeight="1">
      <c r="A1425" s="7" t="n">
        <v>2027</v>
      </c>
      <c r="B1425" s="7" t="n">
        <v>2</v>
      </c>
      <c r="C1425" s="10" t="inlineStr">
        <is>
          <t>Instandh.Fuhrp</t>
        </is>
      </c>
      <c r="D1425" s="10" t="inlineStr">
        <is>
          <t>Fuhrparkkosten</t>
        </is>
      </c>
      <c r="E1425" s="7" t="n">
        <v>30358.86</v>
      </c>
      <c r="F1425" s="7" t="n">
        <v>364306.28</v>
      </c>
    </row>
    <row r="1426" ht="21" customHeight="1">
      <c r="A1426" s="7" t="n">
        <v>2029</v>
      </c>
      <c r="B1426" s="7" t="n">
        <v>2</v>
      </c>
      <c r="C1426" s="10" t="inlineStr">
        <is>
          <t>Vertriebskosten</t>
        </is>
      </c>
      <c r="D1426" s="10" t="inlineStr">
        <is>
          <t>Vertriebskosten</t>
        </is>
      </c>
      <c r="E1426" s="7" t="n">
        <v>11943.75</v>
      </c>
      <c r="F1426" s="7" t="n">
        <v>143325</v>
      </c>
    </row>
    <row r="1427" ht="21" customHeight="1">
      <c r="A1427" s="7" t="n">
        <v>2031</v>
      </c>
      <c r="B1427" s="7" t="n">
        <v>2</v>
      </c>
      <c r="C1427" s="10" t="inlineStr">
        <is>
          <t>Miete Grdst/Gebäud</t>
        </is>
      </c>
      <c r="D1427" s="10" t="inlineStr">
        <is>
          <t>Raumkosten</t>
        </is>
      </c>
      <c r="E1427" s="7" t="n">
        <v>18975.39</v>
      </c>
      <c r="F1427" s="7" t="n">
        <v>227704.65</v>
      </c>
    </row>
    <row r="1428" ht="21" customHeight="1">
      <c r="A1428" s="7" t="n">
        <v>2029</v>
      </c>
      <c r="B1428" s="7" t="n">
        <v>2</v>
      </c>
      <c r="C1428" s="10" t="inlineStr">
        <is>
          <t>Uebr.neutr. Ert</t>
        </is>
      </c>
      <c r="D1428" s="10" t="inlineStr">
        <is>
          <t>Gesamtleistung</t>
        </is>
      </c>
      <c r="E1428" s="7" t="n">
        <v>189.9</v>
      </c>
      <c r="F1428" s="7" t="n">
        <v>2278.85</v>
      </c>
    </row>
    <row r="1429" ht="21" customHeight="1">
      <c r="A1429" s="7" t="n">
        <v>2030</v>
      </c>
      <c r="B1429" s="7" t="n">
        <v>2</v>
      </c>
      <c r="C1429" s="10" t="inlineStr">
        <is>
          <t>Behaelterkosten</t>
        </is>
      </c>
      <c r="D1429" s="10" t="inlineStr">
        <is>
          <t>Instandh. Betriebsausstattung</t>
        </is>
      </c>
      <c r="E1429" s="7" t="n">
        <v>12.75</v>
      </c>
      <c r="F1429" s="7" t="n">
        <v>153.03</v>
      </c>
    </row>
    <row r="1430" ht="21" customHeight="1">
      <c r="A1430" s="7" t="n">
        <v>2029</v>
      </c>
      <c r="B1430" s="7" t="n">
        <v>2</v>
      </c>
      <c r="C1430" s="10" t="inlineStr">
        <is>
          <t>IT-Aufwendungen</t>
        </is>
      </c>
      <c r="D1430" s="10" t="inlineStr">
        <is>
          <t>Verwaltungskosten</t>
        </is>
      </c>
      <c r="E1430" s="7" t="n">
        <v>12302.44</v>
      </c>
      <c r="F1430" s="7" t="n">
        <v>147629.28</v>
      </c>
    </row>
    <row r="1431" ht="21" customHeight="1">
      <c r="A1431" s="7" t="n">
        <v>2028</v>
      </c>
      <c r="B1431" s="7" t="n">
        <v>2</v>
      </c>
      <c r="C1431" s="10" t="inlineStr">
        <is>
          <t>Instandh. BGA</t>
        </is>
      </c>
      <c r="D1431" s="10" t="inlineStr">
        <is>
          <t>Instandh. Betriebsausstattung</t>
        </is>
      </c>
      <c r="E1431" s="7" t="n">
        <v>4426.85</v>
      </c>
      <c r="F1431" s="7" t="n">
        <v>53122.2</v>
      </c>
    </row>
    <row r="1432" ht="21" customHeight="1">
      <c r="A1432" s="7" t="n">
        <v>2029</v>
      </c>
      <c r="B1432" s="7" t="n">
        <v>2</v>
      </c>
      <c r="C1432" s="10" t="inlineStr">
        <is>
          <t>Instandh.Fuhrp</t>
        </is>
      </c>
      <c r="D1432" s="10" t="inlineStr">
        <is>
          <t>Fuhrparkkosten</t>
        </is>
      </c>
      <c r="E1432" s="7" t="n">
        <v>34111.21</v>
      </c>
      <c r="F1432" s="7" t="n">
        <v>409334.56</v>
      </c>
    </row>
    <row r="1433" ht="21" customHeight="1">
      <c r="A1433" s="7" t="n">
        <v>2031</v>
      </c>
      <c r="B1433" s="7" t="n">
        <v>2</v>
      </c>
      <c r="C1433" s="10" t="inlineStr">
        <is>
          <t>Rechts- u. Beratungs</t>
        </is>
      </c>
      <c r="D1433" s="10" t="inlineStr">
        <is>
          <t>Verwaltungskosten</t>
        </is>
      </c>
      <c r="E1433" s="7" t="n">
        <v>28853.53</v>
      </c>
      <c r="F1433" s="7" t="n">
        <v>346242.38</v>
      </c>
    </row>
    <row r="1434" ht="21" customHeight="1">
      <c r="A1434" s="7" t="n">
        <v>2029</v>
      </c>
      <c r="B1434" s="7" t="n">
        <v>2</v>
      </c>
      <c r="C1434" s="10" t="inlineStr">
        <is>
          <t>Ertrag KFZ-Nutz</t>
        </is>
      </c>
      <c r="D1434" s="10" t="inlineStr">
        <is>
          <t>Gesamtleistung</t>
        </is>
      </c>
      <c r="E1434" s="7" t="n">
        <v>8815.82</v>
      </c>
      <c r="F1434" s="7" t="n">
        <v>105789.86</v>
      </c>
    </row>
    <row r="1435" ht="21" customHeight="1">
      <c r="A1435" s="7" t="n">
        <v>2030</v>
      </c>
      <c r="B1435" s="7" t="n">
        <v>2</v>
      </c>
      <c r="C1435" s="10" t="inlineStr">
        <is>
          <t>Ertr. weiterber</t>
        </is>
      </c>
      <c r="D1435" s="10" t="inlineStr">
        <is>
          <t>Gesamtleistung</t>
        </is>
      </c>
      <c r="E1435" s="7" t="n">
        <v>1104.47</v>
      </c>
      <c r="F1435" s="7" t="n">
        <v>13253.67</v>
      </c>
    </row>
    <row r="1436" ht="21" customHeight="1">
      <c r="A1436" s="7" t="n">
        <v>2028</v>
      </c>
      <c r="B1436" s="7" t="n">
        <v>2</v>
      </c>
      <c r="C1436" s="10" t="inlineStr">
        <is>
          <t>Leasing PKW</t>
        </is>
      </c>
      <c r="D1436" s="10" t="inlineStr">
        <is>
          <t>Fuhrparkkosten</t>
        </is>
      </c>
      <c r="E1436" s="7" t="n">
        <v>23256.85</v>
      </c>
      <c r="F1436" s="7" t="n">
        <v>279082.22</v>
      </c>
    </row>
    <row r="1437" ht="21" customHeight="1">
      <c r="A1437" s="7" t="n">
        <v>2028</v>
      </c>
      <c r="B1437" s="7" t="n">
        <v>2</v>
      </c>
      <c r="C1437" s="10" t="inlineStr">
        <is>
          <t>Treibstoffe, Oe</t>
        </is>
      </c>
      <c r="D1437" s="10" t="inlineStr">
        <is>
          <t>Fuhrparkkosten</t>
        </is>
      </c>
      <c r="E1437" s="7" t="n">
        <v>30417.62</v>
      </c>
      <c r="F1437" s="7" t="n">
        <v>365011.49</v>
      </c>
    </row>
    <row r="1438" ht="21" customHeight="1">
      <c r="A1438" s="7" t="n">
        <v>2029</v>
      </c>
      <c r="B1438" s="7" t="n">
        <v>2</v>
      </c>
      <c r="C1438" s="10" t="inlineStr">
        <is>
          <t>Miete PKW</t>
        </is>
      </c>
      <c r="D1438" s="10" t="inlineStr">
        <is>
          <t>Fuhrparkkosten</t>
        </is>
      </c>
      <c r="E1438" s="7" t="n">
        <v>5184.06</v>
      </c>
      <c r="F1438" s="7" t="n">
        <v>62208.67</v>
      </c>
    </row>
    <row r="1439" ht="21" customHeight="1">
      <c r="A1439" s="7" t="n">
        <v>2028</v>
      </c>
      <c r="B1439" s="7" t="n">
        <v>2</v>
      </c>
      <c r="C1439" s="10" t="inlineStr">
        <is>
          <t>Ertr. weiterber</t>
        </is>
      </c>
      <c r="D1439" s="10" t="inlineStr">
        <is>
          <t>Gesamtleistung</t>
        </is>
      </c>
      <c r="E1439" s="7" t="n">
        <v>980.91</v>
      </c>
      <c r="F1439" s="7" t="n">
        <v>11770.87</v>
      </c>
    </row>
    <row r="1440" ht="21" customHeight="1">
      <c r="A1440" s="7" t="n">
        <v>2029</v>
      </c>
      <c r="B1440" s="7" t="n">
        <v>2</v>
      </c>
      <c r="C1440" s="10" t="inlineStr">
        <is>
          <t>Instandh. BGA</t>
        </is>
      </c>
      <c r="D1440" s="10" t="inlineStr">
        <is>
          <t>Instandh. Betriebsausstattung</t>
        </is>
      </c>
      <c r="E1440" s="7" t="n">
        <v>4648.19</v>
      </c>
      <c r="F1440" s="7" t="n">
        <v>55778.31</v>
      </c>
    </row>
    <row r="1441" ht="21" customHeight="1">
      <c r="A1441" s="7" t="n">
        <v>2028</v>
      </c>
      <c r="B1441" s="7" t="n">
        <v>2</v>
      </c>
      <c r="C1441" s="10" t="inlineStr">
        <is>
          <t>Erl. so. DL Dt.</t>
        </is>
      </c>
      <c r="D1441" s="10" t="inlineStr">
        <is>
          <t>Gesamtleistung</t>
        </is>
      </c>
      <c r="E1441" s="7" t="n">
        <v>2095866.37</v>
      </c>
      <c r="F1441" s="7" t="n">
        <v>25150396.49</v>
      </c>
    </row>
    <row r="1442" ht="21" customHeight="1">
      <c r="A1442" s="7" t="n">
        <v>2028</v>
      </c>
      <c r="B1442" s="7" t="n">
        <v>2</v>
      </c>
      <c r="C1442" s="10" t="inlineStr">
        <is>
          <t>IT-Aufwendungen</t>
        </is>
      </c>
      <c r="D1442" s="10" t="inlineStr">
        <is>
          <t>Verwaltungskosten</t>
        </is>
      </c>
      <c r="E1442" s="7" t="n">
        <v>11944.12</v>
      </c>
      <c r="F1442" s="7" t="n">
        <v>143329.39</v>
      </c>
    </row>
    <row r="1443" ht="21" customHeight="1">
      <c r="A1443" s="7" t="n">
        <v>2029</v>
      </c>
      <c r="B1443" s="7" t="n">
        <v>2</v>
      </c>
      <c r="C1443" s="10" t="inlineStr">
        <is>
          <t>Ueb. bezog.Leis</t>
        </is>
      </c>
      <c r="D1443" s="10" t="inlineStr">
        <is>
          <t>Vorleistungen</t>
        </is>
      </c>
      <c r="E1443" s="7" t="n">
        <v>1364260.58</v>
      </c>
      <c r="F1443" s="7" t="n">
        <v>16371126.93</v>
      </c>
    </row>
    <row r="1444" ht="21" customHeight="1">
      <c r="A1444" s="7" t="n">
        <v>2031</v>
      </c>
      <c r="B1444" s="7" t="n">
        <v>2</v>
      </c>
      <c r="C1444" s="10" t="inlineStr">
        <is>
          <t>Sonderz. Prämie</t>
        </is>
      </c>
      <c r="D1444" s="10" t="inlineStr">
        <is>
          <t>Personalaufwand</t>
        </is>
      </c>
      <c r="E1444" s="7" t="n">
        <v>26838.18</v>
      </c>
      <c r="F1444" s="7" t="n">
        <v>322058.2</v>
      </c>
    </row>
    <row r="1445" ht="21" customHeight="1">
      <c r="A1445" s="7" t="n">
        <v>2029</v>
      </c>
      <c r="B1445" s="7" t="n">
        <v>2</v>
      </c>
      <c r="C1445" s="10" t="inlineStr">
        <is>
          <t>Verwaltungskost</t>
        </is>
      </c>
      <c r="D1445" s="10" t="inlineStr">
        <is>
          <t>Verwaltungskosten</t>
        </is>
      </c>
      <c r="E1445" s="7" t="n">
        <v>7098.98</v>
      </c>
      <c r="F1445" s="7" t="n">
        <v>85187.74000000001</v>
      </c>
    </row>
    <row r="1446" ht="21" customHeight="1">
      <c r="A1446" s="7" t="n">
        <v>2028</v>
      </c>
      <c r="B1446" s="7" t="n">
        <v>2</v>
      </c>
      <c r="C1446" s="10" t="inlineStr">
        <is>
          <t>Ertrag KFZ-Nutz</t>
        </is>
      </c>
      <c r="D1446" s="10" t="inlineStr">
        <is>
          <t>Gesamtleistung</t>
        </is>
      </c>
      <c r="E1446" s="7" t="n">
        <v>8405.780000000001</v>
      </c>
      <c r="F1446" s="7" t="n">
        <v>100869.3</v>
      </c>
    </row>
    <row r="1447" ht="21" customHeight="1">
      <c r="A1447" s="7" t="n">
        <v>2030</v>
      </c>
      <c r="B1447" s="7" t="n">
        <v>2</v>
      </c>
      <c r="C1447" s="10" t="inlineStr">
        <is>
          <t>Sonst Fuhrparkkosten</t>
        </is>
      </c>
      <c r="D1447" s="10" t="inlineStr">
        <is>
          <t>Fuhrparkkosten</t>
        </is>
      </c>
      <c r="E1447" s="7" t="n">
        <v>5942.26</v>
      </c>
      <c r="F1447" s="7" t="n">
        <v>71307.13</v>
      </c>
    </row>
    <row r="1448" ht="21" customHeight="1">
      <c r="A1448" s="7" t="n">
        <v>2028</v>
      </c>
      <c r="B1448" s="7" t="n">
        <v>2</v>
      </c>
      <c r="C1448" s="10" t="inlineStr">
        <is>
          <t>Rechts- u. Beratungs</t>
        </is>
      </c>
      <c r="D1448" s="10" t="inlineStr">
        <is>
          <t>Verwaltungskosten</t>
        </is>
      </c>
      <c r="E1448" s="7" t="n">
        <v>26405.07</v>
      </c>
      <c r="F1448" s="7" t="n">
        <v>316860.83</v>
      </c>
    </row>
    <row r="1449" ht="21" customHeight="1">
      <c r="A1449" s="7" t="n">
        <v>2027</v>
      </c>
      <c r="B1449" s="7" t="n">
        <v>2</v>
      </c>
      <c r="C1449" s="10" t="inlineStr">
        <is>
          <t>Leasing LKW</t>
        </is>
      </c>
      <c r="D1449" s="10" t="inlineStr">
        <is>
          <t>Fuhrparkkosten</t>
        </is>
      </c>
      <c r="E1449" s="7" t="n">
        <v>2305.28</v>
      </c>
      <c r="F1449" s="7" t="n">
        <v>27663.3</v>
      </c>
    </row>
    <row r="1450" ht="21" customHeight="1">
      <c r="A1450" s="7" t="n">
        <v>2031</v>
      </c>
      <c r="B1450" s="7" t="n">
        <v>2</v>
      </c>
      <c r="C1450" s="10" t="inlineStr">
        <is>
          <t>Fremdl. Fuhrlei</t>
        </is>
      </c>
      <c r="D1450" s="10" t="inlineStr">
        <is>
          <t>Vorleistungen</t>
        </is>
      </c>
      <c r="E1450" s="7" t="n">
        <v>374.24</v>
      </c>
      <c r="F1450" s="7" t="n">
        <v>4490.84</v>
      </c>
    </row>
    <row r="1451" ht="21" customHeight="1">
      <c r="A1451" s="7" t="n">
        <v>2029</v>
      </c>
      <c r="B1451" s="7" t="n">
        <v>2</v>
      </c>
      <c r="C1451" s="10" t="inlineStr">
        <is>
          <t>Fremdl. Fuhrlei</t>
        </is>
      </c>
      <c r="D1451" s="10" t="inlineStr">
        <is>
          <t>Vorleistungen</t>
        </is>
      </c>
      <c r="E1451" s="7" t="n">
        <v>362.07</v>
      </c>
      <c r="F1451" s="7" t="n">
        <v>4344.88</v>
      </c>
    </row>
    <row r="1452" ht="21" customHeight="1">
      <c r="A1452" s="7" t="n">
        <v>2028</v>
      </c>
      <c r="B1452" s="7" t="n">
        <v>2</v>
      </c>
      <c r="C1452" s="10" t="inlineStr">
        <is>
          <t>Vertriebskosten</t>
        </is>
      </c>
      <c r="D1452" s="10" t="inlineStr">
        <is>
          <t>Vertriebskosten</t>
        </is>
      </c>
      <c r="E1452" s="7" t="n">
        <v>11375</v>
      </c>
      <c r="F1452" s="7" t="n">
        <v>136500</v>
      </c>
    </row>
    <row r="1453" ht="21" customHeight="1">
      <c r="A1453" s="7" t="n">
        <v>2031</v>
      </c>
      <c r="B1453" s="7" t="n">
        <v>2</v>
      </c>
      <c r="C1453" s="10" t="inlineStr">
        <is>
          <t>Aufw. so. Hilfs</t>
        </is>
      </c>
      <c r="D1453" s="10" t="inlineStr">
        <is>
          <t>Vorleistungen</t>
        </is>
      </c>
      <c r="E1453" s="7" t="n">
        <v>-17544.22</v>
      </c>
      <c r="F1453" s="7" t="n">
        <v>-210530.6</v>
      </c>
    </row>
    <row r="1454" ht="21" customHeight="1">
      <c r="A1454" s="7" t="n">
        <v>2029</v>
      </c>
      <c r="B1454" s="7" t="n">
        <v>2</v>
      </c>
      <c r="C1454" s="10" t="inlineStr">
        <is>
          <t>Ankauf Rohstoff</t>
        </is>
      </c>
      <c r="D1454" s="10" t="inlineStr">
        <is>
          <t>Vorleistungen</t>
        </is>
      </c>
      <c r="E1454" s="7" t="n">
        <v>1473.64</v>
      </c>
      <c r="F1454" s="7" t="n">
        <v>17683.65</v>
      </c>
    </row>
    <row r="1455" ht="21" customHeight="1">
      <c r="A1455" s="7" t="n">
        <v>2028</v>
      </c>
      <c r="B1455" s="7" t="n">
        <v>2</v>
      </c>
      <c r="C1455" s="10" t="inlineStr">
        <is>
          <t>Sonstige Steuer</t>
        </is>
      </c>
      <c r="D1455" s="10" t="inlineStr">
        <is>
          <t>Fuhrparkkosten</t>
        </is>
      </c>
      <c r="E1455" s="7" t="n">
        <v>1587.15</v>
      </c>
      <c r="F1455" s="7" t="n">
        <v>19045.76</v>
      </c>
    </row>
    <row r="1456" ht="21" customHeight="1">
      <c r="A1456" s="7" t="n">
        <v>2030</v>
      </c>
      <c r="B1456" s="7" t="n">
        <v>2</v>
      </c>
      <c r="C1456" s="10" t="inlineStr">
        <is>
          <t>Weiterber. Frem</t>
        </is>
      </c>
      <c r="D1456" s="10" t="inlineStr">
        <is>
          <t>Vorleistungen</t>
        </is>
      </c>
      <c r="E1456" s="7" t="n">
        <v>0</v>
      </c>
      <c r="F1456" s="7" t="n">
        <v>0</v>
      </c>
    </row>
    <row r="1457" ht="21" customHeight="1">
      <c r="A1457" s="7" t="n">
        <v>2031</v>
      </c>
      <c r="B1457" s="7" t="n">
        <v>2</v>
      </c>
      <c r="C1457" s="10" t="inlineStr">
        <is>
          <t>Miete Behälter</t>
        </is>
      </c>
      <c r="D1457" s="10" t="inlineStr">
        <is>
          <t>Instandh. Betriebsausstattung</t>
        </is>
      </c>
      <c r="E1457" s="7" t="n">
        <v>27.88</v>
      </c>
      <c r="F1457" s="7" t="n">
        <v>334.55</v>
      </c>
    </row>
    <row r="1458" ht="21" customHeight="1">
      <c r="A1458" s="7" t="n">
        <v>2027</v>
      </c>
      <c r="B1458" s="7" t="n">
        <v>2</v>
      </c>
      <c r="C1458" s="10" t="inlineStr">
        <is>
          <t>Miete Grdst/Gebäud</t>
        </is>
      </c>
      <c r="D1458" s="10" t="inlineStr">
        <is>
          <t>Raumkosten</t>
        </is>
      </c>
      <c r="E1458" s="7" t="n">
        <v>15284.77</v>
      </c>
      <c r="F1458" s="7" t="n">
        <v>183417.26</v>
      </c>
    </row>
    <row r="1459" ht="21" customHeight="1">
      <c r="A1459" s="7" t="n">
        <v>2028</v>
      </c>
      <c r="B1459" s="7" t="n">
        <v>2</v>
      </c>
      <c r="C1459" s="10" t="inlineStr">
        <is>
          <t>Aufw. f. Alters</t>
        </is>
      </c>
      <c r="D1459" s="10" t="inlineStr">
        <is>
          <t>Personalaufwand</t>
        </is>
      </c>
      <c r="E1459" s="7" t="n">
        <v>1290.05</v>
      </c>
      <c r="F1459" s="7" t="n">
        <v>15480.56</v>
      </c>
    </row>
    <row r="1460" ht="21" customHeight="1">
      <c r="A1460" s="7" t="n">
        <v>2028</v>
      </c>
      <c r="B1460" s="7" t="n">
        <v>2</v>
      </c>
      <c r="C1460" s="10" t="inlineStr">
        <is>
          <t>Fremdl. Persona</t>
        </is>
      </c>
      <c r="D1460" s="10" t="inlineStr">
        <is>
          <t>Vorleistungen</t>
        </is>
      </c>
      <c r="E1460" s="7" t="n">
        <v>69.04000000000001</v>
      </c>
      <c r="F1460" s="7" t="n">
        <v>828.42</v>
      </c>
    </row>
    <row r="1461" ht="21" customHeight="1">
      <c r="A1461" s="7" t="n">
        <v>2030</v>
      </c>
      <c r="B1461" s="7" t="n">
        <v>2</v>
      </c>
      <c r="C1461" s="10" t="inlineStr">
        <is>
          <t>Vertriebskosten</t>
        </is>
      </c>
      <c r="D1461" s="10" t="inlineStr">
        <is>
          <t>Vertriebskosten</t>
        </is>
      </c>
      <c r="E1461" s="7" t="n">
        <v>12540.94</v>
      </c>
      <c r="F1461" s="7" t="n">
        <v>150491.26</v>
      </c>
    </row>
    <row r="1462" ht="21" customHeight="1">
      <c r="A1462" s="7" t="n">
        <v>2030</v>
      </c>
      <c r="B1462" s="7" t="n">
        <v>2</v>
      </c>
      <c r="C1462" s="10" t="inlineStr">
        <is>
          <t>Aufw. so. Hilfs</t>
        </is>
      </c>
      <c r="D1462" s="10" t="inlineStr">
        <is>
          <t>Vorleistungen</t>
        </is>
      </c>
      <c r="E1462" s="7" t="n">
        <v>-17197.35</v>
      </c>
      <c r="F1462" s="7" t="n">
        <v>-206368.2</v>
      </c>
    </row>
    <row r="1463" ht="21" customHeight="1">
      <c r="A1463" s="7" t="n">
        <v>2029</v>
      </c>
      <c r="B1463" s="7" t="n">
        <v>2</v>
      </c>
      <c r="C1463" s="10" t="inlineStr">
        <is>
          <t>Aufw. so. Hilfs</t>
        </is>
      </c>
      <c r="D1463" s="10" t="inlineStr">
        <is>
          <t>Vorleistungen</t>
        </is>
      </c>
      <c r="E1463" s="7" t="n">
        <v>-16834.66</v>
      </c>
      <c r="F1463" s="7" t="n">
        <v>-202015.88</v>
      </c>
    </row>
    <row r="1464" ht="21" customHeight="1">
      <c r="A1464" s="7" t="n">
        <v>2027</v>
      </c>
      <c r="B1464" s="7" t="n">
        <v>2</v>
      </c>
      <c r="C1464" s="10" t="inlineStr">
        <is>
          <t>Miete PKW</t>
        </is>
      </c>
      <c r="D1464" s="10" t="inlineStr">
        <is>
          <t>Fuhrparkkosten</t>
        </is>
      </c>
      <c r="E1464" s="7" t="n">
        <v>4613.79</v>
      </c>
      <c r="F1464" s="7" t="n">
        <v>55365.51</v>
      </c>
    </row>
    <row r="1465" ht="21" customHeight="1">
      <c r="A1465" s="7" t="n">
        <v>2030</v>
      </c>
      <c r="B1465" s="7" t="n">
        <v>2</v>
      </c>
      <c r="C1465" s="10" t="inlineStr">
        <is>
          <t>Fremdl. Fuhrlei</t>
        </is>
      </c>
      <c r="D1465" s="10" t="inlineStr">
        <is>
          <t>Vorleistungen</t>
        </is>
      </c>
      <c r="E1465" s="7" t="n">
        <v>368.3</v>
      </c>
      <c r="F1465" s="7" t="n">
        <v>4419.56</v>
      </c>
    </row>
    <row r="1466" ht="21" customHeight="1">
      <c r="A1466" s="7" t="n">
        <v>2030</v>
      </c>
      <c r="B1466" s="7" t="n">
        <v>2</v>
      </c>
      <c r="C1466" s="10" t="inlineStr">
        <is>
          <t>Miete PKW</t>
        </is>
      </c>
      <c r="D1466" s="10" t="inlineStr">
        <is>
          <t>Fuhrparkkosten</t>
        </is>
      </c>
      <c r="E1466" s="7" t="n">
        <v>5495.1</v>
      </c>
      <c r="F1466" s="7" t="n">
        <v>65941.19</v>
      </c>
    </row>
    <row r="1467" ht="21" customHeight="1">
      <c r="A1467" s="7" t="n">
        <v>2027</v>
      </c>
      <c r="B1467" s="7" t="n">
        <v>2</v>
      </c>
      <c r="C1467" s="10" t="inlineStr">
        <is>
          <t>Erl. Waren Dt.</t>
        </is>
      </c>
      <c r="D1467" s="10" t="inlineStr">
        <is>
          <t>Gesamtleistung</t>
        </is>
      </c>
      <c r="E1467" s="7" t="n">
        <v>42246.46</v>
      </c>
      <c r="F1467" s="7" t="n">
        <v>506957.51</v>
      </c>
    </row>
    <row r="1468" ht="21" customHeight="1">
      <c r="A1468" s="7" t="n">
        <v>2029</v>
      </c>
      <c r="B1468" s="7" t="n">
        <v>2</v>
      </c>
      <c r="C1468" s="10" t="inlineStr">
        <is>
          <t>Bestandsveraend</t>
        </is>
      </c>
      <c r="D1468" s="10" t="inlineStr">
        <is>
          <t>Gesamtleistung</t>
        </is>
      </c>
      <c r="E1468" s="7" t="n">
        <v>0</v>
      </c>
      <c r="F1468" s="7" t="n">
        <v>0</v>
      </c>
    </row>
    <row r="1469" ht="21" customHeight="1">
      <c r="A1469" s="7" t="n">
        <v>2031</v>
      </c>
      <c r="B1469" s="7" t="n">
        <v>2</v>
      </c>
      <c r="C1469" s="10" t="inlineStr">
        <is>
          <t>Leasing PKW</t>
        </is>
      </c>
      <c r="D1469" s="10" t="inlineStr">
        <is>
          <t>Fuhrparkkosten</t>
        </is>
      </c>
      <c r="E1469" s="7" t="n">
        <v>27699.28</v>
      </c>
      <c r="F1469" s="7" t="n">
        <v>332391.4</v>
      </c>
    </row>
    <row r="1470" ht="21" customHeight="1">
      <c r="A1470" s="7" t="n">
        <v>2029</v>
      </c>
      <c r="B1470" s="7" t="n">
        <v>2</v>
      </c>
      <c r="C1470" s="10" t="inlineStr">
        <is>
          <t>Behaelterkosten</t>
        </is>
      </c>
      <c r="D1470" s="10" t="inlineStr">
        <is>
          <t>Instandh. Betriebsausstattung</t>
        </is>
      </c>
      <c r="E1470" s="7" t="n">
        <v>12.15</v>
      </c>
      <c r="F1470" s="7" t="n">
        <v>145.74</v>
      </c>
    </row>
    <row r="1471" ht="21" customHeight="1">
      <c r="A1471" s="7" t="n">
        <v>2029</v>
      </c>
      <c r="B1471" s="7" t="n">
        <v>2</v>
      </c>
      <c r="C1471" s="10" t="inlineStr">
        <is>
          <t>Aufwand Umlage</t>
        </is>
      </c>
      <c r="D1471" s="10" t="inlineStr">
        <is>
          <t>Verwaltungskosten</t>
        </is>
      </c>
      <c r="E1471" s="7" t="n">
        <v>3589.28</v>
      </c>
      <c r="F1471" s="7" t="n">
        <v>43071.39</v>
      </c>
    </row>
    <row r="1472" ht="21" customHeight="1">
      <c r="A1472" s="7" t="n">
        <v>2030</v>
      </c>
      <c r="B1472" s="7" t="n">
        <v>2</v>
      </c>
      <c r="C1472" s="10" t="inlineStr">
        <is>
          <t>Instandh.Fuhrp</t>
        </is>
      </c>
      <c r="D1472" s="10" t="inlineStr">
        <is>
          <t>Fuhrparkkosten</t>
        </is>
      </c>
      <c r="E1472" s="7" t="n">
        <v>36157.89</v>
      </c>
      <c r="F1472" s="7" t="n">
        <v>433894.62</v>
      </c>
    </row>
    <row r="1473" ht="21" customHeight="1">
      <c r="A1473" s="7" t="n">
        <v>2028</v>
      </c>
      <c r="B1473" s="7" t="n">
        <v>2</v>
      </c>
      <c r="C1473" s="10" t="inlineStr">
        <is>
          <t>Sonderz. Prämie</t>
        </is>
      </c>
      <c r="D1473" s="10" t="inlineStr">
        <is>
          <t>Personalaufwand</t>
        </is>
      </c>
      <c r="E1473" s="7" t="n">
        <v>21386.26</v>
      </c>
      <c r="F1473" s="7" t="n">
        <v>256635.15</v>
      </c>
    </row>
    <row r="1474" ht="21" customHeight="1">
      <c r="A1474" s="7" t="n">
        <v>2029</v>
      </c>
      <c r="B1474" s="7" t="n">
        <v>2</v>
      </c>
      <c r="C1474" s="10" t="inlineStr">
        <is>
          <t>Aufw. f. Alters</t>
        </is>
      </c>
      <c r="D1474" s="10" t="inlineStr">
        <is>
          <t>Personalaufwand</t>
        </is>
      </c>
      <c r="E1474" s="7" t="n">
        <v>1366.43</v>
      </c>
      <c r="F1474" s="7" t="n">
        <v>16397.15</v>
      </c>
    </row>
    <row r="1475" ht="21" customHeight="1">
      <c r="A1475" s="7" t="n">
        <v>2027</v>
      </c>
      <c r="B1475" s="7" t="n">
        <v>2</v>
      </c>
      <c r="C1475" s="10" t="inlineStr">
        <is>
          <t>Ertr. weiterber</t>
        </is>
      </c>
      <c r="D1475" s="10" t="inlineStr">
        <is>
          <t>Gesamtleistung</t>
        </is>
      </c>
      <c r="E1475" s="7" t="n">
        <v>919.41</v>
      </c>
      <c r="F1475" s="7" t="n">
        <v>11032.96</v>
      </c>
    </row>
    <row r="1476" ht="21" customHeight="1">
      <c r="A1476" s="7" t="n">
        <v>2029</v>
      </c>
      <c r="B1476" s="7" t="n">
        <v>2</v>
      </c>
      <c r="C1476" s="10" t="inlineStr">
        <is>
          <t>So. betr. Aufwa</t>
        </is>
      </c>
      <c r="D1476" s="10" t="inlineStr">
        <is>
          <t>Verwaltungskosten</t>
        </is>
      </c>
      <c r="E1476" s="7" t="n">
        <v>693.25</v>
      </c>
      <c r="F1476" s="7" t="n">
        <v>8319.02</v>
      </c>
    </row>
    <row r="1477" ht="21" customHeight="1">
      <c r="A1477" s="7" t="n">
        <v>2031</v>
      </c>
      <c r="B1477" s="7" t="n">
        <v>2</v>
      </c>
      <c r="C1477" s="10" t="inlineStr">
        <is>
          <t>Ertr. weiterber</t>
        </is>
      </c>
      <c r="D1477" s="10" t="inlineStr">
        <is>
          <t>Gesamtleistung</t>
        </is>
      </c>
      <c r="E1477" s="7" t="n">
        <v>1173.93</v>
      </c>
      <c r="F1477" s="7" t="n">
        <v>14087.11</v>
      </c>
    </row>
    <row r="1478" ht="21" customHeight="1">
      <c r="A1478" s="7" t="n">
        <v>2031</v>
      </c>
      <c r="B1478" s="7" t="n">
        <v>2</v>
      </c>
      <c r="C1478" s="10" t="inlineStr">
        <is>
          <t>Ueb. bezog.Leis</t>
        </is>
      </c>
      <c r="D1478" s="10" t="inlineStr">
        <is>
          <t>Vorleistungen</t>
        </is>
      </c>
      <c r="E1478" s="7" t="n">
        <v>1404446.73</v>
      </c>
      <c r="F1478" s="7" t="n">
        <v>16853360.74</v>
      </c>
    </row>
    <row r="1479" ht="21" customHeight="1">
      <c r="A1479" s="7" t="n">
        <v>2027</v>
      </c>
      <c r="B1479" s="7" t="n">
        <v>2</v>
      </c>
      <c r="C1479" s="10" t="inlineStr">
        <is>
          <t>Fremdl. Fuhrlei</t>
        </is>
      </c>
      <c r="D1479" s="10" t="inlineStr">
        <is>
          <t>Vorleistungen</t>
        </is>
      </c>
      <c r="E1479" s="7" t="n">
        <v>371.09</v>
      </c>
      <c r="F1479" s="7" t="n">
        <v>4453.13</v>
      </c>
    </row>
    <row r="1480" ht="21" customHeight="1">
      <c r="A1480" s="7" t="n">
        <v>2027</v>
      </c>
      <c r="B1480" s="7" t="n">
        <v>2</v>
      </c>
      <c r="C1480" s="10" t="inlineStr">
        <is>
          <t>Behaelterkosten</t>
        </is>
      </c>
      <c r="D1480" s="10" t="inlineStr">
        <is>
          <t>Instandh. Betriebsausstattung</t>
        </is>
      </c>
      <c r="E1480" s="7" t="n">
        <v>11.02</v>
      </c>
      <c r="F1480" s="7" t="n">
        <v>132.19</v>
      </c>
    </row>
    <row r="1481" ht="21" customHeight="1">
      <c r="A1481" s="7" t="n">
        <v>2027</v>
      </c>
      <c r="B1481" s="7" t="n">
        <v>2</v>
      </c>
      <c r="C1481" s="10" t="inlineStr">
        <is>
          <t>Ueb Lohn-Gehalt</t>
        </is>
      </c>
      <c r="D1481" s="10" t="inlineStr">
        <is>
          <t>Personalaufwand</t>
        </is>
      </c>
      <c r="E1481" s="7" t="n">
        <v>30579.25</v>
      </c>
      <c r="F1481" s="7" t="n">
        <v>366951</v>
      </c>
    </row>
    <row r="1482" ht="21" customHeight="1">
      <c r="A1482" s="7" t="n">
        <v>2028</v>
      </c>
      <c r="B1482" s="7" t="n">
        <v>2</v>
      </c>
      <c r="C1482" s="10" t="inlineStr">
        <is>
          <t>Raumkosten</t>
        </is>
      </c>
      <c r="D1482" s="10" t="inlineStr">
        <is>
          <t>Raumkosten</t>
        </is>
      </c>
      <c r="E1482" s="7" t="n">
        <v>7023.98</v>
      </c>
      <c r="F1482" s="7" t="n">
        <v>84287.78</v>
      </c>
    </row>
    <row r="1483" ht="21" customHeight="1">
      <c r="A1483" s="7" t="n">
        <v>2031</v>
      </c>
      <c r="B1483" s="7" t="n">
        <v>2</v>
      </c>
      <c r="C1483" s="10" t="inlineStr">
        <is>
          <t>Bestandsveraend</t>
        </is>
      </c>
      <c r="D1483" s="10" t="inlineStr">
        <is>
          <t>Gesamtleistung</t>
        </is>
      </c>
      <c r="E1483" s="7" t="n">
        <v>0</v>
      </c>
      <c r="F1483" s="7" t="n">
        <v>0</v>
      </c>
    </row>
    <row r="1484" ht="21" customHeight="1">
      <c r="A1484" s="7" t="n">
        <v>2029</v>
      </c>
      <c r="B1484" s="7" t="n">
        <v>2</v>
      </c>
      <c r="C1484" s="10" t="inlineStr">
        <is>
          <t>Lohn + Gehalt</t>
        </is>
      </c>
      <c r="D1484" s="10" t="inlineStr">
        <is>
          <t>Personalaufwand</t>
        </is>
      </c>
      <c r="E1484" s="7" t="n">
        <v>356250.11</v>
      </c>
      <c r="F1484" s="7" t="n">
        <v>4275001.35</v>
      </c>
    </row>
    <row r="1485" ht="21" customHeight="1">
      <c r="A1485" s="7" t="n">
        <v>2029</v>
      </c>
      <c r="B1485" s="7" t="n">
        <v>2</v>
      </c>
      <c r="C1485" s="10" t="inlineStr">
        <is>
          <t>Aufw. Heizmat.</t>
        </is>
      </c>
      <c r="D1485" s="10" t="inlineStr">
        <is>
          <t>Vorleistungen</t>
        </is>
      </c>
      <c r="E1485" s="7" t="n">
        <v>245.07</v>
      </c>
      <c r="F1485" s="7" t="n">
        <v>2940.88</v>
      </c>
    </row>
    <row r="1486" ht="21" customHeight="1">
      <c r="A1486" s="7" t="n">
        <v>2031</v>
      </c>
      <c r="B1486" s="7" t="n">
        <v>2</v>
      </c>
      <c r="C1486" s="10" t="inlineStr">
        <is>
          <t>Verwaltungskost</t>
        </is>
      </c>
      <c r="D1486" s="10" t="inlineStr">
        <is>
          <t>Verwaltungskosten</t>
        </is>
      </c>
      <c r="E1486" s="7" t="n">
        <v>7531.31</v>
      </c>
      <c r="F1486" s="7" t="n">
        <v>90375.69</v>
      </c>
    </row>
    <row r="1487" ht="21" customHeight="1">
      <c r="A1487" s="7" t="n">
        <v>2028</v>
      </c>
      <c r="B1487" s="7" t="n">
        <v>2</v>
      </c>
      <c r="C1487" s="10" t="inlineStr">
        <is>
          <t>Erl. Waren Dt.</t>
        </is>
      </c>
      <c r="D1487" s="10" t="inlineStr">
        <is>
          <t>Gesamtleistung</t>
        </is>
      </c>
      <c r="E1487" s="7" t="n">
        <v>44950.49</v>
      </c>
      <c r="F1487" s="7" t="n">
        <v>539405.87</v>
      </c>
    </row>
    <row r="1488" ht="21" customHeight="1">
      <c r="A1488" s="7" t="n">
        <v>2030</v>
      </c>
      <c r="B1488" s="7" t="n">
        <v>2</v>
      </c>
      <c r="C1488" s="10" t="inlineStr">
        <is>
          <t>Uebr.neutr. Ert</t>
        </is>
      </c>
      <c r="D1488" s="10" t="inlineStr">
        <is>
          <t>Gesamtleistung</t>
        </is>
      </c>
      <c r="E1488" s="7" t="n">
        <v>207.38</v>
      </c>
      <c r="F1488" s="7" t="n">
        <v>2488.5</v>
      </c>
    </row>
    <row r="1489" ht="21" customHeight="1">
      <c r="A1489" s="7" t="n">
        <v>2030</v>
      </c>
      <c r="B1489" s="7" t="n">
        <v>2</v>
      </c>
      <c r="C1489" s="10" t="inlineStr">
        <is>
          <t>Raumkosten</t>
        </is>
      </c>
      <c r="D1489" s="10" t="inlineStr">
        <is>
          <t>Raumkosten</t>
        </is>
      </c>
      <c r="E1489" s="7" t="n">
        <v>7307.75</v>
      </c>
      <c r="F1489" s="7" t="n">
        <v>87693</v>
      </c>
    </row>
    <row r="1490" ht="21" customHeight="1">
      <c r="A1490" s="7" t="n">
        <v>2030</v>
      </c>
      <c r="B1490" s="7" t="n">
        <v>2</v>
      </c>
      <c r="C1490" s="10" t="inlineStr">
        <is>
          <t>Fremdl. Persona</t>
        </is>
      </c>
      <c r="D1490" s="10" t="inlineStr">
        <is>
          <t>Vorleistungen</t>
        </is>
      </c>
      <c r="E1490" s="7" t="n">
        <v>76.56999999999999</v>
      </c>
      <c r="F1490" s="7" t="n">
        <v>918.79</v>
      </c>
    </row>
    <row r="1491" ht="21" customHeight="1">
      <c r="A1491" s="7" t="n">
        <v>2027</v>
      </c>
      <c r="B1491" s="7" t="n">
        <v>2</v>
      </c>
      <c r="C1491" s="10" t="inlineStr">
        <is>
          <t>Leasing PKW</t>
        </is>
      </c>
      <c r="D1491" s="10" t="inlineStr">
        <is>
          <t>Fuhrparkkosten</t>
        </is>
      </c>
      <c r="E1491" s="7" t="n">
        <v>21940.43</v>
      </c>
      <c r="F1491" s="7" t="n">
        <v>263285.11</v>
      </c>
    </row>
    <row r="1492" ht="21" customHeight="1">
      <c r="A1492" s="7" t="n">
        <v>2030</v>
      </c>
      <c r="B1492" s="7" t="n">
        <v>2</v>
      </c>
      <c r="C1492" s="10" t="inlineStr">
        <is>
          <t>Ertrag KFZ-Nutz</t>
        </is>
      </c>
      <c r="D1492" s="10" t="inlineStr">
        <is>
          <t>Gesamtleistung</t>
        </is>
      </c>
      <c r="E1492" s="7" t="n">
        <v>9193.41</v>
      </c>
      <c r="F1492" s="7" t="n">
        <v>110320.94</v>
      </c>
    </row>
    <row r="1493" ht="21" customHeight="1">
      <c r="A1493" s="7" t="n">
        <v>2028</v>
      </c>
      <c r="B1493" s="7" t="n">
        <v>2</v>
      </c>
      <c r="C1493" s="10" t="inlineStr">
        <is>
          <t>Uebr.neutr. Ert</t>
        </is>
      </c>
      <c r="D1493" s="10" t="inlineStr">
        <is>
          <t>Gesamtleistung</t>
        </is>
      </c>
      <c r="E1493" s="7" t="n">
        <v>151.92</v>
      </c>
      <c r="F1493" s="7" t="n">
        <v>1823.08</v>
      </c>
    </row>
    <row r="1494" ht="21" customHeight="1">
      <c r="A1494" s="7" t="n">
        <v>2030</v>
      </c>
      <c r="B1494" s="7" t="n">
        <v>2</v>
      </c>
      <c r="C1494" s="10" t="inlineStr">
        <is>
          <t>Soziale Abgaben</t>
        </is>
      </c>
      <c r="D1494" s="10" t="inlineStr">
        <is>
          <t>Personalaufwand</t>
        </is>
      </c>
      <c r="E1494" s="7" t="n">
        <v>104141.87</v>
      </c>
      <c r="F1494" s="7" t="n">
        <v>1249702.47</v>
      </c>
    </row>
    <row r="1495" ht="21" customHeight="1">
      <c r="A1495" s="7" t="n">
        <v>2030</v>
      </c>
      <c r="B1495" s="7" t="n">
        <v>2</v>
      </c>
      <c r="C1495" s="10" t="inlineStr">
        <is>
          <t>Ankauf Rohstoff</t>
        </is>
      </c>
      <c r="D1495" s="10" t="inlineStr">
        <is>
          <t>Vorleistungen</t>
        </is>
      </c>
      <c r="E1495" s="7" t="n">
        <v>1483.55</v>
      </c>
      <c r="F1495" s="7" t="n">
        <v>17802.65</v>
      </c>
    </row>
    <row r="1496" ht="21" customHeight="1">
      <c r="A1496" s="7" t="n">
        <v>2031</v>
      </c>
      <c r="B1496" s="7" t="n">
        <v>2</v>
      </c>
      <c r="C1496" s="10" t="inlineStr">
        <is>
          <t>Aufw. Heizmat.</t>
        </is>
      </c>
      <c r="D1496" s="10" t="inlineStr">
        <is>
          <t>Vorleistungen</t>
        </is>
      </c>
      <c r="E1496" s="7" t="n">
        <v>216.16</v>
      </c>
      <c r="F1496" s="7" t="n">
        <v>2593.97</v>
      </c>
    </row>
    <row r="1497" ht="21" customHeight="1">
      <c r="A1497" s="7" t="n">
        <v>2030</v>
      </c>
      <c r="B1497" s="7" t="n">
        <v>2</v>
      </c>
      <c r="C1497" s="10" t="inlineStr">
        <is>
          <t>IT-Aufwendungen</t>
        </is>
      </c>
      <c r="D1497" s="10" t="inlineStr">
        <is>
          <t>Verwaltungskosten</t>
        </is>
      </c>
      <c r="E1497" s="7" t="n">
        <v>12671.51</v>
      </c>
      <c r="F1497" s="7" t="n">
        <v>152058.16</v>
      </c>
    </row>
    <row r="1498" ht="21" customHeight="1">
      <c r="A1498" s="7" t="n">
        <v>2027</v>
      </c>
      <c r="B1498" s="7" t="n">
        <v>2</v>
      </c>
      <c r="C1498" s="10" t="inlineStr">
        <is>
          <t>Treibstoffe, Oe</t>
        </is>
      </c>
      <c r="D1498" s="10" t="inlineStr">
        <is>
          <t>Fuhrparkkosten</t>
        </is>
      </c>
      <c r="E1498" s="7" t="n">
        <v>28695.87</v>
      </c>
      <c r="F1498" s="7" t="n">
        <v>344350.48</v>
      </c>
    </row>
    <row r="1499" ht="21" customHeight="1">
      <c r="A1499" s="7" t="n">
        <v>2028</v>
      </c>
      <c r="B1499" s="7" t="n">
        <v>2</v>
      </c>
      <c r="C1499" s="10" t="inlineStr">
        <is>
          <t>Aufw. Heizmat.</t>
        </is>
      </c>
      <c r="D1499" s="10" t="inlineStr">
        <is>
          <t>Vorleistungen</t>
        </is>
      </c>
      <c r="E1499" s="7" t="n">
        <v>260.43</v>
      </c>
      <c r="F1499" s="7" t="n">
        <v>3125.13</v>
      </c>
    </row>
    <row r="1500" ht="21" customHeight="1">
      <c r="A1500" s="7" t="n">
        <v>2031</v>
      </c>
      <c r="B1500" s="7" t="n">
        <v>2</v>
      </c>
      <c r="C1500" s="10" t="inlineStr">
        <is>
          <t>Ertrag KFZ-Nutz</t>
        </is>
      </c>
      <c r="D1500" s="10" t="inlineStr">
        <is>
          <t>Gesamtleistung</t>
        </is>
      </c>
      <c r="E1500" s="7" t="n">
        <v>9597.290000000001</v>
      </c>
      <c r="F1500" s="7" t="n">
        <v>115167.5</v>
      </c>
    </row>
    <row r="1501" ht="21" customHeight="1">
      <c r="A1501" s="7" t="n">
        <v>2027</v>
      </c>
      <c r="B1501" s="7" t="n">
        <v>2</v>
      </c>
      <c r="C1501" s="10" t="inlineStr">
        <is>
          <t>Raumkosten</t>
        </is>
      </c>
      <c r="D1501" s="10" t="inlineStr">
        <is>
          <t>Raumkosten</t>
        </is>
      </c>
      <c r="E1501" s="7" t="n">
        <v>5046.85</v>
      </c>
      <c r="F1501" s="7" t="n">
        <v>60562.14</v>
      </c>
    </row>
    <row r="1502" ht="21" customHeight="1">
      <c r="A1502" s="7" t="n">
        <v>2028</v>
      </c>
      <c r="B1502" s="7" t="n">
        <v>2</v>
      </c>
      <c r="C1502" s="10" t="inlineStr">
        <is>
          <t>Soziale Abgaben</t>
        </is>
      </c>
      <c r="D1502" s="10" t="inlineStr">
        <is>
          <t>Personalaufwand</t>
        </is>
      </c>
      <c r="E1502" s="7" t="n">
        <v>85007.57000000001</v>
      </c>
      <c r="F1502" s="7" t="n">
        <v>1020090.84</v>
      </c>
    </row>
    <row r="1503" ht="21" customHeight="1">
      <c r="A1503" s="7" t="n">
        <v>2029</v>
      </c>
      <c r="B1503" s="7" t="n">
        <v>2</v>
      </c>
      <c r="C1503" s="10" t="inlineStr">
        <is>
          <t>Miete Grdst/Gebäud</t>
        </is>
      </c>
      <c r="D1503" s="10" t="inlineStr">
        <is>
          <t>Raumkosten</t>
        </is>
      </c>
      <c r="E1503" s="7" t="n">
        <v>18238.55</v>
      </c>
      <c r="F1503" s="7" t="n">
        <v>218862.64</v>
      </c>
    </row>
    <row r="1504" ht="21" customHeight="1">
      <c r="A1504" s="7" t="n">
        <v>2031</v>
      </c>
      <c r="B1504" s="7" t="n">
        <v>2</v>
      </c>
      <c r="C1504" s="10" t="inlineStr">
        <is>
          <t>Raumkosten</t>
        </is>
      </c>
      <c r="D1504" s="10" t="inlineStr">
        <is>
          <t>Raumkosten</t>
        </is>
      </c>
      <c r="E1504" s="7" t="n">
        <v>7453.91</v>
      </c>
      <c r="F1504" s="7" t="n">
        <v>89446.89</v>
      </c>
    </row>
    <row r="1505" ht="21" customHeight="1">
      <c r="A1505" s="7" t="n">
        <v>2031</v>
      </c>
      <c r="B1505" s="7" t="n">
        <v>2</v>
      </c>
      <c r="C1505" s="10" t="inlineStr">
        <is>
          <t>Behaelterkosten</t>
        </is>
      </c>
      <c r="D1505" s="10" t="inlineStr">
        <is>
          <t>Instandh. Betriebsausstattung</t>
        </is>
      </c>
      <c r="E1505" s="7" t="n">
        <v>13.39</v>
      </c>
      <c r="F1505" s="7" t="n">
        <v>160.68</v>
      </c>
    </row>
    <row r="1506" ht="21" customHeight="1">
      <c r="A1506" s="7" t="n">
        <v>2031</v>
      </c>
      <c r="B1506" s="7" t="n">
        <v>2</v>
      </c>
      <c r="C1506" s="10" t="inlineStr">
        <is>
          <t>Instandh.Fuhrp</t>
        </is>
      </c>
      <c r="D1506" s="10" t="inlineStr">
        <is>
          <t>Fuhrparkkosten</t>
        </is>
      </c>
      <c r="E1506" s="7" t="n">
        <v>38327.36</v>
      </c>
      <c r="F1506" s="7" t="n">
        <v>459928.28</v>
      </c>
    </row>
    <row r="1507" ht="21" customHeight="1">
      <c r="A1507" s="7" t="n">
        <v>2030</v>
      </c>
      <c r="B1507" s="7" t="n">
        <v>2</v>
      </c>
      <c r="C1507" s="10" t="inlineStr">
        <is>
          <t>Ueb. bezog.Leis</t>
        </is>
      </c>
      <c r="D1507" s="10" t="inlineStr">
        <is>
          <t>Vorleistungen</t>
        </is>
      </c>
      <c r="E1507" s="7" t="n">
        <v>1385029.28</v>
      </c>
      <c r="F1507" s="7" t="n">
        <v>16620351.38</v>
      </c>
    </row>
    <row r="1508" ht="21" customHeight="1">
      <c r="A1508" s="7" t="n">
        <v>2027</v>
      </c>
      <c r="B1508" s="7" t="n">
        <v>2</v>
      </c>
      <c r="C1508" s="10" t="inlineStr">
        <is>
          <t>Miete LKW,Schiffe</t>
        </is>
      </c>
      <c r="D1508" s="10" t="inlineStr">
        <is>
          <t>Fuhrparkkosten</t>
        </is>
      </c>
      <c r="E1508" s="7" t="n">
        <v>36751.61</v>
      </c>
      <c r="F1508" s="7" t="n">
        <v>441019.28</v>
      </c>
    </row>
    <row r="1509" ht="21" customHeight="1">
      <c r="A1509" s="7" t="n">
        <v>2030</v>
      </c>
      <c r="B1509" s="7" t="n">
        <v>2</v>
      </c>
      <c r="C1509" s="10" t="inlineStr">
        <is>
          <t>Leasing LKW</t>
        </is>
      </c>
      <c r="D1509" s="10" t="inlineStr">
        <is>
          <t>Fuhrparkkosten</t>
        </is>
      </c>
      <c r="E1509" s="7" t="n">
        <v>2745.62</v>
      </c>
      <c r="F1509" s="7" t="n">
        <v>32947.44</v>
      </c>
    </row>
    <row r="1510" ht="21" customHeight="1">
      <c r="A1510" s="7" t="n">
        <v>2031</v>
      </c>
      <c r="B1510" s="7" t="n">
        <v>2</v>
      </c>
      <c r="C1510" s="10" t="inlineStr">
        <is>
          <t>Vertriebskosten</t>
        </is>
      </c>
      <c r="D1510" s="10" t="inlineStr">
        <is>
          <t>Vertriebskosten</t>
        </is>
      </c>
      <c r="E1510" s="7" t="n">
        <v>13167.99</v>
      </c>
      <c r="F1510" s="7" t="n">
        <v>158015.82</v>
      </c>
    </row>
    <row r="1511" ht="21" customHeight="1">
      <c r="A1511" s="7" t="n">
        <v>2028</v>
      </c>
      <c r="B1511" s="7" t="n">
        <v>2</v>
      </c>
      <c r="C1511" s="10" t="inlineStr">
        <is>
          <t>Behaelterkosten</t>
        </is>
      </c>
      <c r="D1511" s="10" t="inlineStr">
        <is>
          <t>Instandh. Betriebsausstattung</t>
        </is>
      </c>
      <c r="E1511" s="7" t="n">
        <v>11.57</v>
      </c>
      <c r="F1511" s="7" t="n">
        <v>138.8</v>
      </c>
    </row>
    <row r="1512" ht="21" customHeight="1">
      <c r="A1512" s="7" t="n">
        <v>2030</v>
      </c>
      <c r="B1512" s="7" t="n">
        <v>2</v>
      </c>
      <c r="C1512" s="10" t="inlineStr">
        <is>
          <t>Verwaltungskost</t>
        </is>
      </c>
      <c r="D1512" s="10" t="inlineStr">
        <is>
          <t>Verwaltungskosten</t>
        </is>
      </c>
      <c r="E1512" s="7" t="n">
        <v>7311.95</v>
      </c>
      <c r="F1512" s="7" t="n">
        <v>87743.38</v>
      </c>
    </row>
    <row r="1513" ht="21" customHeight="1">
      <c r="A1513" s="7" t="n">
        <v>2030</v>
      </c>
      <c r="B1513" s="7" t="n">
        <v>2</v>
      </c>
      <c r="C1513" s="10" t="inlineStr">
        <is>
          <t>Rechts- u. Beratungs</t>
        </is>
      </c>
      <c r="D1513" s="10" t="inlineStr">
        <is>
          <t>Verwaltungskosten</t>
        </is>
      </c>
      <c r="E1513" s="7" t="n">
        <v>28013.14</v>
      </c>
      <c r="F1513" s="7" t="n">
        <v>336157.66</v>
      </c>
    </row>
    <row r="1514" ht="21" customHeight="1">
      <c r="A1514" s="7" t="n">
        <v>2028</v>
      </c>
      <c r="B1514" s="7" t="n">
        <v>2</v>
      </c>
      <c r="C1514" s="10" t="inlineStr">
        <is>
          <t>Sonst Fuhrparkkosten</t>
        </is>
      </c>
      <c r="D1514" s="10" t="inlineStr">
        <is>
          <t>Fuhrparkkosten</t>
        </is>
      </c>
      <c r="E1514" s="7" t="n">
        <v>5288.59</v>
      </c>
      <c r="F1514" s="7" t="n">
        <v>63463.1</v>
      </c>
    </row>
    <row r="1515" ht="21" customHeight="1">
      <c r="A1515" s="7" t="n">
        <v>2029</v>
      </c>
      <c r="B1515" s="7" t="n">
        <v>2</v>
      </c>
      <c r="C1515" s="10" t="inlineStr">
        <is>
          <t>Erl. so. DL Dt.</t>
        </is>
      </c>
      <c r="D1515" s="10" t="inlineStr">
        <is>
          <t>Gesamtleistung</t>
        </is>
      </c>
      <c r="E1515" s="7" t="n">
        <v>2200755.15</v>
      </c>
      <c r="F1515" s="7" t="n">
        <v>26409061.76</v>
      </c>
    </row>
    <row r="1516" ht="21" customHeight="1">
      <c r="A1516" s="7" t="n">
        <v>2031</v>
      </c>
      <c r="B1516" s="7" t="n">
        <v>2</v>
      </c>
      <c r="C1516" s="10" t="inlineStr">
        <is>
          <t>Uebr.neutr. Ert</t>
        </is>
      </c>
      <c r="D1516" s="10" t="inlineStr">
        <is>
          <t>Gesamtleistung</t>
        </is>
      </c>
      <c r="E1516" s="7" t="n">
        <v>227.28</v>
      </c>
      <c r="F1516" s="7" t="n">
        <v>2727.33</v>
      </c>
    </row>
    <row r="1517" ht="21" customHeight="1">
      <c r="A1517" s="7" t="n">
        <v>2030</v>
      </c>
      <c r="B1517" s="7" t="n">
        <v>2</v>
      </c>
      <c r="C1517" s="10" t="inlineStr">
        <is>
          <t>Erl. Waren Dt.</t>
        </is>
      </c>
      <c r="D1517" s="10" t="inlineStr">
        <is>
          <t>Gesamtleistung</t>
        </is>
      </c>
      <c r="E1517" s="7" t="n">
        <v>49038.99</v>
      </c>
      <c r="F1517" s="7" t="n">
        <v>588467.85</v>
      </c>
    </row>
    <row r="1518" ht="21" customHeight="1">
      <c r="A1518" s="7" t="n">
        <v>2028</v>
      </c>
      <c r="B1518" s="7" t="n">
        <v>2</v>
      </c>
      <c r="C1518" s="10" t="inlineStr">
        <is>
          <t>Weiterber. Frem</t>
        </is>
      </c>
      <c r="D1518" s="10" t="inlineStr">
        <is>
          <t>Vorleistungen</t>
        </is>
      </c>
      <c r="E1518" s="7" t="n">
        <v>0</v>
      </c>
      <c r="F1518" s="7" t="n">
        <v>0</v>
      </c>
    </row>
    <row r="1519" ht="21" customHeight="1">
      <c r="A1519" s="7" t="n">
        <v>2027</v>
      </c>
      <c r="B1519" s="7" t="n">
        <v>2</v>
      </c>
      <c r="C1519" s="10" t="inlineStr">
        <is>
          <t>IT-Aufwendungen</t>
        </is>
      </c>
      <c r="D1519" s="10" t="inlineStr">
        <is>
          <t>Verwaltungskosten</t>
        </is>
      </c>
      <c r="E1519" s="7" t="n">
        <v>11596.23</v>
      </c>
      <c r="F1519" s="7" t="n">
        <v>139154.76</v>
      </c>
    </row>
    <row r="1520" ht="21" customHeight="1">
      <c r="A1520" s="7" t="n">
        <v>2028</v>
      </c>
      <c r="B1520" s="7" t="n">
        <v>2</v>
      </c>
      <c r="C1520" s="10" t="inlineStr">
        <is>
          <t>Leasing LKW</t>
        </is>
      </c>
      <c r="D1520" s="10" t="inlineStr">
        <is>
          <t>Fuhrparkkosten</t>
        </is>
      </c>
      <c r="E1520" s="7" t="n">
        <v>2443.59</v>
      </c>
      <c r="F1520" s="7" t="n">
        <v>29323.11</v>
      </c>
    </row>
    <row r="1521" ht="21" customHeight="1">
      <c r="A1521" s="7" t="n">
        <v>2031</v>
      </c>
      <c r="B1521" s="7" t="n">
        <v>2</v>
      </c>
      <c r="C1521" s="10" t="inlineStr">
        <is>
          <t>Weiterber. Frem</t>
        </is>
      </c>
      <c r="D1521" s="10" t="inlineStr">
        <is>
          <t>Vorleistungen</t>
        </is>
      </c>
      <c r="E1521" s="7" t="n">
        <v>0</v>
      </c>
      <c r="F1521" s="7" t="n">
        <v>0</v>
      </c>
    </row>
    <row r="1522" ht="21" customHeight="1">
      <c r="A1522" s="7" t="n">
        <v>2028</v>
      </c>
      <c r="B1522" s="7" t="n">
        <v>2</v>
      </c>
      <c r="C1522" s="10" t="inlineStr">
        <is>
          <t>Lohn + Gehalt</t>
        </is>
      </c>
      <c r="D1522" s="10" t="inlineStr">
        <is>
          <t>Personalaufwand</t>
        </is>
      </c>
      <c r="E1522" s="7" t="n">
        <v>321097.26</v>
      </c>
      <c r="F1522" s="7" t="n">
        <v>3853167.13</v>
      </c>
    </row>
    <row r="1523" ht="21" customHeight="1">
      <c r="A1523" s="7" t="n">
        <v>2029</v>
      </c>
      <c r="B1523" s="7" t="n">
        <v>2</v>
      </c>
      <c r="C1523" s="10" t="inlineStr">
        <is>
          <t>Miete LKW,Schiffe</t>
        </is>
      </c>
      <c r="D1523" s="10" t="inlineStr">
        <is>
          <t>Fuhrparkkosten</t>
        </is>
      </c>
      <c r="E1523" s="7" t="n">
        <v>41294.11</v>
      </c>
      <c r="F1523" s="7" t="n">
        <v>495529.28</v>
      </c>
    </row>
    <row r="1524" ht="21" customHeight="1">
      <c r="A1524" s="7" t="n">
        <v>2030</v>
      </c>
      <c r="B1524" s="7" t="n">
        <v>2</v>
      </c>
      <c r="C1524" s="10" t="inlineStr">
        <is>
          <t>Erl. so. DL Dt.</t>
        </is>
      </c>
      <c r="D1524" s="10" t="inlineStr">
        <is>
          <t>Gesamtleistung</t>
        </is>
      </c>
      <c r="E1524" s="7" t="n">
        <v>2311684.01</v>
      </c>
      <c r="F1524" s="7" t="n">
        <v>27740208.09</v>
      </c>
    </row>
    <row r="1525" ht="21" customHeight="1">
      <c r="A1525" s="7" t="n">
        <v>2030</v>
      </c>
      <c r="B1525" s="7" t="n">
        <v>2</v>
      </c>
      <c r="C1525" s="10" t="inlineStr">
        <is>
          <t>Versicherungskosten</t>
        </is>
      </c>
      <c r="D1525" s="10" t="inlineStr">
        <is>
          <t>Verwaltungskosten</t>
        </is>
      </c>
      <c r="E1525" s="7" t="n">
        <v>11790.1</v>
      </c>
      <c r="F1525" s="7" t="n">
        <v>141481.23</v>
      </c>
    </row>
    <row r="1526" ht="21" customHeight="1">
      <c r="A1526" s="7" t="n">
        <v>2029</v>
      </c>
      <c r="B1526" s="7" t="n">
        <v>2</v>
      </c>
      <c r="C1526" s="10" t="inlineStr">
        <is>
          <t>Sonstige Steuer</t>
        </is>
      </c>
      <c r="D1526" s="10" t="inlineStr">
        <is>
          <t>Fuhrparkkosten</t>
        </is>
      </c>
      <c r="E1526" s="7" t="n">
        <v>1682.38</v>
      </c>
      <c r="F1526" s="7" t="n">
        <v>20188.51</v>
      </c>
    </row>
    <row r="1527" ht="21" customHeight="1">
      <c r="A1527" s="7" t="n">
        <v>2027</v>
      </c>
      <c r="B1527" s="7" t="n">
        <v>2</v>
      </c>
      <c r="C1527" s="10" t="inlineStr">
        <is>
          <t>Sonst Fuhrparkkosten</t>
        </is>
      </c>
      <c r="D1527" s="10" t="inlineStr">
        <is>
          <t>Fuhrparkkosten</t>
        </is>
      </c>
      <c r="E1527" s="7" t="n">
        <v>4989.24</v>
      </c>
      <c r="F1527" s="7" t="n">
        <v>59870.86</v>
      </c>
    </row>
    <row r="1528" ht="21" customHeight="1">
      <c r="A1528" s="7" t="n">
        <v>2028</v>
      </c>
      <c r="B1528" s="7" t="n">
        <v>2</v>
      </c>
      <c r="C1528" s="10" t="inlineStr">
        <is>
          <t>Bestandsveraend</t>
        </is>
      </c>
      <c r="D1528" s="10" t="inlineStr">
        <is>
          <t>Gesamtleistung</t>
        </is>
      </c>
      <c r="E1528" s="7" t="n">
        <v>0</v>
      </c>
      <c r="F1528" s="7" t="n">
        <v>0</v>
      </c>
    </row>
    <row r="1529" ht="21" customHeight="1">
      <c r="A1529" s="7" t="n">
        <v>2028</v>
      </c>
      <c r="B1529" s="7" t="n">
        <v>2</v>
      </c>
      <c r="C1529" s="10" t="inlineStr">
        <is>
          <t>So. betr. Aufwa</t>
        </is>
      </c>
      <c r="D1529" s="10" t="inlineStr">
        <is>
          <t>Verwaltungskosten</t>
        </is>
      </c>
      <c r="E1529" s="7" t="n">
        <v>673.0599999999999</v>
      </c>
      <c r="F1529" s="7" t="n">
        <v>8076.71</v>
      </c>
    </row>
    <row r="1530" ht="21" customHeight="1">
      <c r="A1530" s="7" t="n">
        <v>2030</v>
      </c>
      <c r="B1530" s="7" t="n">
        <v>2</v>
      </c>
      <c r="C1530" s="10" t="inlineStr">
        <is>
          <t>Miete LKW,Schiffe</t>
        </is>
      </c>
      <c r="D1530" s="10" t="inlineStr">
        <is>
          <t>Fuhrparkkosten</t>
        </is>
      </c>
      <c r="E1530" s="7" t="n">
        <v>43771.75</v>
      </c>
      <c r="F1530" s="7" t="n">
        <v>525261.04</v>
      </c>
    </row>
    <row r="1531" ht="21" customHeight="1">
      <c r="A1531" s="7" t="n">
        <v>2028</v>
      </c>
      <c r="B1531" s="7" t="n">
        <v>2</v>
      </c>
      <c r="C1531" s="10" t="inlineStr">
        <is>
          <t>Miete LKW,Schiffe</t>
        </is>
      </c>
      <c r="D1531" s="10" t="inlineStr">
        <is>
          <t>Fuhrparkkosten</t>
        </is>
      </c>
      <c r="E1531" s="7" t="n">
        <v>38956.71</v>
      </c>
      <c r="F1531" s="7" t="n">
        <v>467480.47</v>
      </c>
    </row>
    <row r="1532" ht="21" customHeight="1">
      <c r="A1532" s="7" t="n">
        <v>2028</v>
      </c>
      <c r="B1532" s="7" t="n">
        <v>2</v>
      </c>
      <c r="C1532" s="10" t="inlineStr">
        <is>
          <t>sonst Personalk</t>
        </is>
      </c>
      <c r="D1532" s="10" t="inlineStr">
        <is>
          <t>Personalaufwand</t>
        </is>
      </c>
      <c r="E1532" s="7" t="n">
        <v>12597.51</v>
      </c>
      <c r="F1532" s="7" t="n">
        <v>151170.09</v>
      </c>
    </row>
    <row r="1533" ht="21" customHeight="1">
      <c r="A1533" s="7" t="n">
        <v>2030</v>
      </c>
      <c r="B1533" s="7" t="n">
        <v>2</v>
      </c>
      <c r="C1533" s="10" t="inlineStr">
        <is>
          <t>Leasing PKW</t>
        </is>
      </c>
      <c r="D1533" s="10" t="inlineStr">
        <is>
          <t>Fuhrparkkosten</t>
        </is>
      </c>
      <c r="E1533" s="7" t="n">
        <v>26131.4</v>
      </c>
      <c r="F1533" s="7" t="n">
        <v>313576.76</v>
      </c>
    </row>
    <row r="1534" ht="21" customHeight="1">
      <c r="A1534" s="7" t="n">
        <v>2031</v>
      </c>
      <c r="B1534" s="7" t="n">
        <v>2</v>
      </c>
      <c r="C1534" s="10" t="inlineStr">
        <is>
          <t>Aufwand Umlage</t>
        </is>
      </c>
      <c r="D1534" s="10" t="inlineStr">
        <is>
          <t>Verwaltungskosten</t>
        </is>
      </c>
      <c r="E1534" s="7" t="n">
        <v>3807.87</v>
      </c>
      <c r="F1534" s="7" t="n">
        <v>45694.43</v>
      </c>
    </row>
    <row r="1535" ht="21" customHeight="1">
      <c r="A1535" s="7" t="n">
        <v>2031</v>
      </c>
      <c r="B1535" s="7" t="n">
        <v>2</v>
      </c>
      <c r="C1535" s="10" t="inlineStr">
        <is>
          <t>sonst Personalk</t>
        </is>
      </c>
      <c r="D1535" s="10" t="inlineStr">
        <is>
          <t>Personalaufwand</t>
        </is>
      </c>
      <c r="E1535" s="7" t="n">
        <v>17070.54</v>
      </c>
      <c r="F1535" s="7" t="n">
        <v>204846.51</v>
      </c>
    </row>
    <row r="1536" ht="21" customHeight="1">
      <c r="A1536" s="7" t="n">
        <v>2027</v>
      </c>
      <c r="B1536" s="7" t="n">
        <v>2</v>
      </c>
      <c r="C1536" s="10" t="inlineStr">
        <is>
          <t>sonst Personalk</t>
        </is>
      </c>
      <c r="D1536" s="10" t="inlineStr">
        <is>
          <t>Personalaufwand</t>
        </is>
      </c>
      <c r="E1536" s="7" t="n">
        <v>10949.84</v>
      </c>
      <c r="F1536" s="7" t="n">
        <v>131398.1</v>
      </c>
    </row>
    <row r="1537" ht="21" customHeight="1">
      <c r="A1537" s="7" t="n">
        <v>2031</v>
      </c>
      <c r="B1537" s="7" t="n">
        <v>2</v>
      </c>
      <c r="C1537" s="10" t="inlineStr">
        <is>
          <t>Miete PKW</t>
        </is>
      </c>
      <c r="D1537" s="10" t="inlineStr">
        <is>
          <t>Fuhrparkkosten</t>
        </is>
      </c>
      <c r="E1537" s="7" t="n">
        <v>5824.81</v>
      </c>
      <c r="F1537" s="7" t="n">
        <v>69897.67</v>
      </c>
    </row>
    <row r="1538" ht="21" customHeight="1">
      <c r="A1538" s="7" t="n">
        <v>2029</v>
      </c>
      <c r="B1538" s="7" t="n">
        <v>2</v>
      </c>
      <c r="C1538" s="10" t="inlineStr">
        <is>
          <t>Raumkosten</t>
        </is>
      </c>
      <c r="D1538" s="10" t="inlineStr">
        <is>
          <t>Raumkosten</t>
        </is>
      </c>
      <c r="E1538" s="7" t="n">
        <v>7164.46</v>
      </c>
      <c r="F1538" s="7" t="n">
        <v>85973.53</v>
      </c>
    </row>
    <row r="1539" ht="21" customHeight="1">
      <c r="A1539" s="7" t="n">
        <v>2031</v>
      </c>
      <c r="B1539" s="7" t="n">
        <v>2</v>
      </c>
      <c r="C1539" s="10" t="inlineStr">
        <is>
          <t>Aufw. f. Alters</t>
        </is>
      </c>
      <c r="D1539" s="10" t="inlineStr">
        <is>
          <t>Personalaufwand</t>
        </is>
      </c>
      <c r="E1539" s="7" t="n">
        <v>1434.03</v>
      </c>
      <c r="F1539" s="7" t="n">
        <v>17208.41</v>
      </c>
    </row>
    <row r="1540" ht="21" customHeight="1">
      <c r="A1540" s="7" t="n">
        <v>2031</v>
      </c>
      <c r="B1540" s="7" t="n">
        <v>2</v>
      </c>
      <c r="C1540" s="10" t="inlineStr">
        <is>
          <t>IT-Aufwendungen</t>
        </is>
      </c>
      <c r="D1540" s="10" t="inlineStr">
        <is>
          <t>Verwaltungskosten</t>
        </is>
      </c>
      <c r="E1540" s="7" t="n">
        <v>13051.66</v>
      </c>
      <c r="F1540" s="7" t="n">
        <v>156619.9</v>
      </c>
    </row>
    <row r="1541" ht="21" customHeight="1">
      <c r="A1541" s="7" t="n">
        <v>2028</v>
      </c>
      <c r="B1541" s="7" t="n">
        <v>2</v>
      </c>
      <c r="C1541" s="10" t="inlineStr">
        <is>
          <t>Miete Grdst/Gebäud</t>
        </is>
      </c>
      <c r="D1541" s="10" t="inlineStr">
        <is>
          <t>Raumkosten</t>
        </is>
      </c>
      <c r="E1541" s="7" t="n">
        <v>17880.93</v>
      </c>
      <c r="F1541" s="7" t="n">
        <v>214571.21</v>
      </c>
    </row>
    <row r="1542" ht="21" customHeight="1">
      <c r="A1542" s="7" t="n">
        <v>2027</v>
      </c>
      <c r="B1542" s="7" t="n">
        <v>2</v>
      </c>
      <c r="C1542" s="10" t="inlineStr">
        <is>
          <t>Erloesschmaeler</t>
        </is>
      </c>
      <c r="D1542" s="10" t="inlineStr">
        <is>
          <t>Gesamtleistung</t>
        </is>
      </c>
      <c r="E1542" s="7" t="n">
        <v>-7483.88</v>
      </c>
      <c r="F1542" s="7" t="n">
        <v>-89806.53</v>
      </c>
    </row>
    <row r="1543" ht="21" customHeight="1">
      <c r="A1543" s="7" t="n">
        <v>2029</v>
      </c>
      <c r="B1543" s="7" t="n">
        <v>2</v>
      </c>
      <c r="C1543" s="10" t="inlineStr">
        <is>
          <t>sonst Personalk</t>
        </is>
      </c>
      <c r="D1543" s="10" t="inlineStr">
        <is>
          <t>Personalaufwand</t>
        </is>
      </c>
      <c r="E1543" s="7" t="n">
        <v>13957.15</v>
      </c>
      <c r="F1543" s="7" t="n">
        <v>167485.78</v>
      </c>
    </row>
    <row r="1544" ht="21" customHeight="1">
      <c r="A1544" s="7" t="n">
        <v>2028</v>
      </c>
      <c r="B1544" s="7" t="n">
        <v>2</v>
      </c>
      <c r="C1544" s="10" t="inlineStr">
        <is>
          <t>Fremdl. Fuhrlei</t>
        </is>
      </c>
      <c r="D1544" s="10" t="inlineStr">
        <is>
          <t>Vorleistungen</t>
        </is>
      </c>
      <c r="E1544" s="7" t="n">
        <v>363.29</v>
      </c>
      <c r="F1544" s="7" t="n">
        <v>4359.52</v>
      </c>
    </row>
    <row r="1545" ht="21" customHeight="1">
      <c r="A1545" s="7" t="n">
        <v>2027</v>
      </c>
      <c r="B1545" s="7" t="n">
        <v>2</v>
      </c>
      <c r="C1545" s="10" t="inlineStr">
        <is>
          <t>Erl. so. DL Dt.</t>
        </is>
      </c>
      <c r="D1545" s="10" t="inlineStr">
        <is>
          <t>Gesamtleistung</t>
        </is>
      </c>
      <c r="E1545" s="7" t="n">
        <v>1996174.37</v>
      </c>
      <c r="F1545" s="7" t="n">
        <v>23954092.45</v>
      </c>
    </row>
    <row r="1546" ht="21" customHeight="1">
      <c r="A1546" s="7" t="n">
        <v>2027</v>
      </c>
      <c r="B1546" s="7" t="n">
        <v>2</v>
      </c>
      <c r="C1546" s="10" t="inlineStr">
        <is>
          <t>Aufw. Heizmat.</t>
        </is>
      </c>
      <c r="D1546" s="10" t="inlineStr">
        <is>
          <t>Vorleistungen</t>
        </is>
      </c>
      <c r="E1546" s="7" t="n">
        <v>275.72</v>
      </c>
      <c r="F1546" s="7" t="n">
        <v>3308.65</v>
      </c>
    </row>
    <row r="1547" ht="21" customHeight="1">
      <c r="A1547" s="7" t="n">
        <v>2028</v>
      </c>
      <c r="B1547" s="7" t="n">
        <v>2</v>
      </c>
      <c r="C1547" s="10" t="inlineStr">
        <is>
          <t>Versicherungskosten</t>
        </is>
      </c>
      <c r="D1547" s="10" t="inlineStr">
        <is>
          <t>Verwaltungskosten</t>
        </is>
      </c>
      <c r="E1547" s="7" t="n">
        <v>11113.3</v>
      </c>
      <c r="F1547" s="7" t="n">
        <v>133359.63</v>
      </c>
    </row>
    <row r="1548" ht="21" customHeight="1">
      <c r="A1548" s="7" t="n">
        <v>2031</v>
      </c>
      <c r="B1548" s="7" t="n">
        <v>2</v>
      </c>
      <c r="C1548" s="10" t="inlineStr">
        <is>
          <t>Miete LKW,Schiffe</t>
        </is>
      </c>
      <c r="D1548" s="10" t="inlineStr">
        <is>
          <t>Fuhrparkkosten</t>
        </is>
      </c>
      <c r="E1548" s="7" t="n">
        <v>46398.06</v>
      </c>
      <c r="F1548" s="7" t="n">
        <v>556776.71</v>
      </c>
    </row>
    <row r="1549" ht="21" customHeight="1">
      <c r="A1549" s="7" t="n">
        <v>2027</v>
      </c>
      <c r="B1549" s="7" t="n">
        <v>2</v>
      </c>
      <c r="C1549" s="10" t="inlineStr">
        <is>
          <t>Weiterber. Frem</t>
        </is>
      </c>
      <c r="D1549" s="10" t="inlineStr">
        <is>
          <t>Vorleistungen</t>
        </is>
      </c>
      <c r="E1549" s="7" t="n">
        <v>0</v>
      </c>
      <c r="F1549" s="7" t="n">
        <v>0</v>
      </c>
    </row>
    <row r="1550" ht="21" customHeight="1">
      <c r="A1550" s="7" t="n">
        <v>2028</v>
      </c>
      <c r="B1550" s="7" t="n">
        <v>2</v>
      </c>
      <c r="C1550" s="10" t="inlineStr">
        <is>
          <t>Erloesschmaeler</t>
        </is>
      </c>
      <c r="D1550" s="10" t="inlineStr">
        <is>
          <t>Gesamtleistung</t>
        </is>
      </c>
      <c r="E1550" s="7" t="n">
        <v>-8355.469999999999</v>
      </c>
      <c r="F1550" s="7" t="n">
        <v>-100265.61</v>
      </c>
    </row>
    <row r="1551" ht="21" customHeight="1">
      <c r="A1551" s="7" t="n">
        <v>2027</v>
      </c>
      <c r="B1551" s="7" t="n">
        <v>2</v>
      </c>
      <c r="C1551" s="10" t="inlineStr">
        <is>
          <t>Uebr.neutr. Ert</t>
        </is>
      </c>
      <c r="D1551" s="10" t="inlineStr">
        <is>
          <t>Gesamtleistung</t>
        </is>
      </c>
      <c r="E1551" s="7" t="n">
        <v>113.94</v>
      </c>
      <c r="F1551" s="7" t="n">
        <v>1367.31</v>
      </c>
    </row>
    <row r="1552" ht="21" customHeight="1">
      <c r="A1552" s="7" t="n">
        <v>2028</v>
      </c>
      <c r="B1552" s="7" t="n">
        <v>2</v>
      </c>
      <c r="C1552" s="10" t="inlineStr">
        <is>
          <t>Miete Behälter</t>
        </is>
      </c>
      <c r="D1552" s="10" t="inlineStr">
        <is>
          <t>Instandh. Betriebsausstattung</t>
        </is>
      </c>
      <c r="E1552" s="7" t="n">
        <v>24.08</v>
      </c>
      <c r="F1552" s="7" t="n">
        <v>289</v>
      </c>
    </row>
    <row r="1553" ht="21" customHeight="1">
      <c r="A1553" s="7" t="n">
        <v>2028</v>
      </c>
      <c r="B1553" s="7" t="n">
        <v>2</v>
      </c>
      <c r="C1553" s="10" t="inlineStr">
        <is>
          <t>Aufw. so. Hilfs</t>
        </is>
      </c>
      <c r="D1553" s="10" t="inlineStr">
        <is>
          <t>Vorleistungen</t>
        </is>
      </c>
      <c r="E1553" s="7" t="n">
        <v>-16546.31</v>
      </c>
      <c r="F1553" s="7" t="n">
        <v>-198555.67</v>
      </c>
    </row>
    <row r="1554" ht="21" customHeight="1">
      <c r="A1554" s="7" t="n">
        <v>2030</v>
      </c>
      <c r="B1554" s="7" t="n">
        <v>2</v>
      </c>
      <c r="C1554" s="10" t="inlineStr">
        <is>
          <t>Treibstoffe, Oe</t>
        </is>
      </c>
      <c r="D1554" s="10" t="inlineStr">
        <is>
          <t>Fuhrparkkosten</t>
        </is>
      </c>
      <c r="E1554" s="7" t="n">
        <v>34177.25</v>
      </c>
      <c r="F1554" s="7" t="n">
        <v>410126.96</v>
      </c>
    </row>
    <row r="1555" ht="21" customHeight="1">
      <c r="A1555" s="7" t="n">
        <v>2030</v>
      </c>
      <c r="B1555" s="7" t="n">
        <v>2</v>
      </c>
      <c r="C1555" s="10" t="inlineStr">
        <is>
          <t>Ueb Lohn-Gehalt</t>
        </is>
      </c>
      <c r="D1555" s="10" t="inlineStr">
        <is>
          <t>Personalaufwand</t>
        </is>
      </c>
      <c r="E1555" s="7" t="n">
        <v>41842.02</v>
      </c>
      <c r="F1555" s="7" t="n">
        <v>502104.18</v>
      </c>
    </row>
    <row r="1556" ht="21" customHeight="1">
      <c r="A1556" s="7" t="n">
        <v>2030</v>
      </c>
      <c r="B1556" s="7" t="n">
        <v>2</v>
      </c>
      <c r="C1556" s="10" t="inlineStr">
        <is>
          <t>Aufw. f. Alters</t>
        </is>
      </c>
      <c r="D1556" s="10" t="inlineStr">
        <is>
          <t>Personalaufwand</t>
        </is>
      </c>
      <c r="E1556" s="7" t="n">
        <v>1387.56</v>
      </c>
      <c r="F1556" s="7" t="n">
        <v>16650.69</v>
      </c>
    </row>
    <row r="1557" ht="21" customHeight="1">
      <c r="A1557" s="7" t="n">
        <v>2031</v>
      </c>
      <c r="B1557" s="7" t="n">
        <v>2</v>
      </c>
      <c r="C1557" s="10" t="inlineStr">
        <is>
          <t>Fremdl. Persona</t>
        </is>
      </c>
      <c r="D1557" s="10" t="inlineStr">
        <is>
          <t>Vorleistungen</t>
        </is>
      </c>
      <c r="E1557" s="7" t="n">
        <v>79.40000000000001</v>
      </c>
      <c r="F1557" s="7" t="n">
        <v>952.79</v>
      </c>
    </row>
    <row r="1558" ht="21" customHeight="1">
      <c r="A1558" s="7" t="n">
        <v>2029</v>
      </c>
      <c r="B1558" s="7" t="n">
        <v>3</v>
      </c>
      <c r="C1558" s="10" t="inlineStr">
        <is>
          <t>Sonderz. Prämie</t>
        </is>
      </c>
      <c r="D1558" s="10" t="inlineStr">
        <is>
          <t>Personalaufwand</t>
        </is>
      </c>
      <c r="E1558" s="7" t="n">
        <v>23292.21</v>
      </c>
      <c r="F1558" s="7" t="n">
        <v>279506.56</v>
      </c>
    </row>
    <row r="1559" ht="21" customHeight="1">
      <c r="A1559" s="7" t="n">
        <v>2030</v>
      </c>
      <c r="B1559" s="7" t="n">
        <v>3</v>
      </c>
      <c r="C1559" s="10" t="inlineStr">
        <is>
          <t>sonst Personalk</t>
        </is>
      </c>
      <c r="D1559" s="10" t="inlineStr">
        <is>
          <t>Personalaufwand</t>
        </is>
      </c>
      <c r="E1559" s="7" t="n">
        <v>15558.93</v>
      </c>
      <c r="F1559" s="7" t="n">
        <v>186707.19</v>
      </c>
    </row>
    <row r="1560" ht="21" customHeight="1">
      <c r="A1560" s="7" t="n">
        <v>2031</v>
      </c>
      <c r="B1560" s="7" t="n">
        <v>3</v>
      </c>
      <c r="C1560" s="10" t="inlineStr">
        <is>
          <t>Ankauf Rohstoff</t>
        </is>
      </c>
      <c r="D1560" s="10" t="inlineStr">
        <is>
          <t>Vorleistungen</t>
        </is>
      </c>
      <c r="E1560" s="7" t="n">
        <v>1489.65</v>
      </c>
      <c r="F1560" s="7" t="n">
        <v>17875.76</v>
      </c>
    </row>
    <row r="1561" ht="21" customHeight="1">
      <c r="A1561" s="7" t="n">
        <v>2029</v>
      </c>
      <c r="B1561" s="7" t="n">
        <v>3</v>
      </c>
      <c r="C1561" s="10" t="inlineStr">
        <is>
          <t>Weiterber. Frem</t>
        </is>
      </c>
      <c r="D1561" s="10" t="inlineStr">
        <is>
          <t>Vorleistungen</t>
        </is>
      </c>
      <c r="E1561" s="7" t="n">
        <v>0</v>
      </c>
      <c r="F1561" s="7" t="n">
        <v>0</v>
      </c>
    </row>
    <row r="1562" ht="21" customHeight="1">
      <c r="A1562" s="7" t="n">
        <v>2031</v>
      </c>
      <c r="B1562" s="7" t="n">
        <v>3</v>
      </c>
      <c r="C1562" s="10" t="inlineStr">
        <is>
          <t>Sonstige Steuer</t>
        </is>
      </c>
      <c r="D1562" s="10" t="inlineStr">
        <is>
          <t>Fuhrparkkosten</t>
        </is>
      </c>
      <c r="E1562" s="7" t="n">
        <v>1890.32</v>
      </c>
      <c r="F1562" s="7" t="n">
        <v>22683.81</v>
      </c>
    </row>
    <row r="1563" ht="21" customHeight="1">
      <c r="A1563" s="7" t="n">
        <v>2030</v>
      </c>
      <c r="B1563" s="7" t="n">
        <v>3</v>
      </c>
      <c r="C1563" s="10" t="inlineStr">
        <is>
          <t>Bestandsveraend</t>
        </is>
      </c>
      <c r="D1563" s="10" t="inlineStr">
        <is>
          <t>Gesamtleistung</t>
        </is>
      </c>
      <c r="E1563" s="7" t="n">
        <v>0</v>
      </c>
      <c r="F1563" s="7" t="n">
        <v>0</v>
      </c>
    </row>
    <row r="1564" ht="21" customHeight="1">
      <c r="A1564" s="7" t="n">
        <v>2031</v>
      </c>
      <c r="B1564" s="7" t="n">
        <v>3</v>
      </c>
      <c r="C1564" s="10" t="inlineStr">
        <is>
          <t>Erl. so. DL Dt.</t>
        </is>
      </c>
      <c r="D1564" s="10" t="inlineStr">
        <is>
          <t>Gesamtleistung</t>
        </is>
      </c>
      <c r="E1564" s="7" t="n">
        <v>2428139.11</v>
      </c>
      <c r="F1564" s="7" t="n">
        <v>29137669.32</v>
      </c>
    </row>
    <row r="1565" ht="21" customHeight="1">
      <c r="A1565" s="7" t="n">
        <v>2030</v>
      </c>
      <c r="B1565" s="7" t="n">
        <v>3</v>
      </c>
      <c r="C1565" s="10" t="inlineStr">
        <is>
          <t>Sonstige Steuer</t>
        </is>
      </c>
      <c r="D1565" s="10" t="inlineStr">
        <is>
          <t>Fuhrparkkosten</t>
        </is>
      </c>
      <c r="E1565" s="7" t="n">
        <v>1783.32</v>
      </c>
      <c r="F1565" s="7" t="n">
        <v>21399.82</v>
      </c>
    </row>
    <row r="1566" ht="21" customHeight="1">
      <c r="A1566" s="7" t="n">
        <v>2030</v>
      </c>
      <c r="B1566" s="7" t="n">
        <v>3</v>
      </c>
      <c r="C1566" s="10" t="inlineStr">
        <is>
          <t>Sonderz. Prämie</t>
        </is>
      </c>
      <c r="D1566" s="10" t="inlineStr">
        <is>
          <t>Personalaufwand</t>
        </is>
      </c>
      <c r="E1566" s="7" t="n">
        <v>25004.1</v>
      </c>
      <c r="F1566" s="7" t="n">
        <v>300049.14</v>
      </c>
    </row>
    <row r="1567" ht="21" customHeight="1">
      <c r="A1567" s="7" t="n">
        <v>2029</v>
      </c>
      <c r="B1567" s="7" t="n">
        <v>3</v>
      </c>
      <c r="C1567" s="10" t="inlineStr">
        <is>
          <t>Soziale Abgaben</t>
        </is>
      </c>
      <c r="D1567" s="10" t="inlineStr">
        <is>
          <t>Personalaufwand</t>
        </is>
      </c>
      <c r="E1567" s="7" t="n">
        <v>94488.11</v>
      </c>
      <c r="F1567" s="7" t="n">
        <v>1133857.35</v>
      </c>
    </row>
    <row r="1568" ht="21" customHeight="1">
      <c r="A1568" s="7" t="n">
        <v>2031</v>
      </c>
      <c r="B1568" s="7" t="n">
        <v>3</v>
      </c>
      <c r="C1568" s="10" t="inlineStr">
        <is>
          <t>So. betr. Aufwa</t>
        </is>
      </c>
      <c r="D1568" s="10" t="inlineStr">
        <is>
          <t>Verwaltungskosten</t>
        </is>
      </c>
      <c r="E1568" s="7" t="n">
        <v>735.47</v>
      </c>
      <c r="F1568" s="7" t="n">
        <v>8825.639999999999</v>
      </c>
    </row>
    <row r="1569" ht="21" customHeight="1">
      <c r="A1569" s="7" t="n">
        <v>2027</v>
      </c>
      <c r="B1569" s="7" t="n">
        <v>3</v>
      </c>
      <c r="C1569" s="10" t="inlineStr">
        <is>
          <t>Lohn + Gehalt</t>
        </is>
      </c>
      <c r="D1569" s="10" t="inlineStr">
        <is>
          <t>Personalaufwand</t>
        </is>
      </c>
      <c r="E1569" s="7" t="n">
        <v>287946.36</v>
      </c>
      <c r="F1569" s="7" t="n">
        <v>3455356.33</v>
      </c>
    </row>
    <row r="1570" ht="21" customHeight="1">
      <c r="A1570" s="7" t="n">
        <v>2027</v>
      </c>
      <c r="B1570" s="7" t="n">
        <v>3</v>
      </c>
      <c r="C1570" s="10" t="inlineStr">
        <is>
          <t>So. betr. Aufwa</t>
        </is>
      </c>
      <c r="D1570" s="10" t="inlineStr">
        <is>
          <t>Verwaltungskosten</t>
        </is>
      </c>
      <c r="E1570" s="7" t="n">
        <v>653.45</v>
      </c>
      <c r="F1570" s="7" t="n">
        <v>7841.45</v>
      </c>
    </row>
    <row r="1571" ht="21" customHeight="1">
      <c r="A1571" s="7" t="n">
        <v>2028</v>
      </c>
      <c r="B1571" s="7" t="n">
        <v>3</v>
      </c>
      <c r="C1571" s="10" t="inlineStr">
        <is>
          <t>Ueb Lohn-Gehalt</t>
        </is>
      </c>
      <c r="D1571" s="10" t="inlineStr">
        <is>
          <t>Personalaufwand</t>
        </is>
      </c>
      <c r="E1571" s="7" t="n">
        <v>34332.83</v>
      </c>
      <c r="F1571" s="7" t="n">
        <v>411993.96</v>
      </c>
    </row>
    <row r="1572" ht="21" customHeight="1">
      <c r="A1572" s="7" t="n">
        <v>2027</v>
      </c>
      <c r="B1572" s="7" t="n">
        <v>3</v>
      </c>
      <c r="C1572" s="10" t="inlineStr">
        <is>
          <t>Verwaltungskost</t>
        </is>
      </c>
      <c r="D1572" s="10" t="inlineStr">
        <is>
          <t>Verwaltungskosten</t>
        </is>
      </c>
      <c r="E1572" s="7" t="n">
        <v>6691.47</v>
      </c>
      <c r="F1572" s="7" t="n">
        <v>80297.62</v>
      </c>
    </row>
    <row r="1573" ht="21" customHeight="1">
      <c r="A1573" s="7" t="n">
        <v>2030</v>
      </c>
      <c r="B1573" s="7" t="n">
        <v>3</v>
      </c>
      <c r="C1573" s="10" t="inlineStr">
        <is>
          <t>Aufw. Heizmat.</t>
        </is>
      </c>
      <c r="D1573" s="10" t="inlineStr">
        <is>
          <t>Vorleistungen</t>
        </is>
      </c>
      <c r="E1573" s="7" t="n">
        <v>230.4</v>
      </c>
      <c r="F1573" s="7" t="n">
        <v>2764.82</v>
      </c>
    </row>
    <row r="1574" ht="21" customHeight="1">
      <c r="A1574" s="7" t="n">
        <v>2027</v>
      </c>
      <c r="B1574" s="7" t="n">
        <v>3</v>
      </c>
      <c r="C1574" s="10" t="inlineStr">
        <is>
          <t>Versicherungskosten</t>
        </is>
      </c>
      <c r="D1574" s="10" t="inlineStr">
        <is>
          <t>Verwaltungskosten</t>
        </is>
      </c>
      <c r="E1574" s="7" t="n">
        <v>10789.61</v>
      </c>
      <c r="F1574" s="7" t="n">
        <v>129475.37</v>
      </c>
    </row>
    <row r="1575" ht="21" customHeight="1">
      <c r="A1575" s="7" t="n">
        <v>2031</v>
      </c>
      <c r="B1575" s="7" t="n">
        <v>3</v>
      </c>
      <c r="C1575" s="10" t="inlineStr">
        <is>
          <t>Instandh. BGA</t>
        </is>
      </c>
      <c r="D1575" s="10" t="inlineStr">
        <is>
          <t>Instandh. Betriebsausstattung</t>
        </is>
      </c>
      <c r="E1575" s="7" t="n">
        <v>5124.63</v>
      </c>
      <c r="F1575" s="7" t="n">
        <v>61495.58</v>
      </c>
    </row>
    <row r="1576" ht="21" customHeight="1">
      <c r="A1576" s="7" t="n">
        <v>2029</v>
      </c>
      <c r="B1576" s="7" t="n">
        <v>3</v>
      </c>
      <c r="C1576" s="10" t="inlineStr">
        <is>
          <t>Treibstoffe, Oe</t>
        </is>
      </c>
      <c r="D1576" s="10" t="inlineStr">
        <is>
          <t>Fuhrparkkosten</t>
        </is>
      </c>
      <c r="E1576" s="7" t="n">
        <v>32242.68</v>
      </c>
      <c r="F1576" s="7" t="n">
        <v>386912.19</v>
      </c>
    </row>
    <row r="1577" ht="21" customHeight="1">
      <c r="A1577" s="7" t="n">
        <v>2027</v>
      </c>
      <c r="B1577" s="7" t="n">
        <v>3</v>
      </c>
      <c r="C1577" s="10" t="inlineStr">
        <is>
          <t>Instandh. BGA</t>
        </is>
      </c>
      <c r="D1577" s="10" t="inlineStr">
        <is>
          <t>Instandh. Betriebsausstattung</t>
        </is>
      </c>
      <c r="E1577" s="7" t="n">
        <v>4216.05</v>
      </c>
      <c r="F1577" s="7" t="n">
        <v>50592.58</v>
      </c>
    </row>
    <row r="1578" ht="21" customHeight="1">
      <c r="A1578" s="7" t="n">
        <v>2029</v>
      </c>
      <c r="B1578" s="7" t="n">
        <v>3</v>
      </c>
      <c r="C1578" s="10" t="inlineStr">
        <is>
          <t>Ueb Lohn-Gehalt</t>
        </is>
      </c>
      <c r="D1578" s="10" t="inlineStr">
        <is>
          <t>Personalaufwand</t>
        </is>
      </c>
      <c r="E1578" s="7" t="n">
        <v>37989.9</v>
      </c>
      <c r="F1578" s="7" t="n">
        <v>455878.84</v>
      </c>
    </row>
    <row r="1579" ht="21" customHeight="1">
      <c r="A1579" s="7" t="n">
        <v>2031</v>
      </c>
      <c r="B1579" s="7" t="n">
        <v>3</v>
      </c>
      <c r="C1579" s="10" t="inlineStr">
        <is>
          <t>Erl. Waren Dt.</t>
        </is>
      </c>
      <c r="D1579" s="10" t="inlineStr">
        <is>
          <t>Gesamtleistung</t>
        </is>
      </c>
      <c r="E1579" s="7" t="n">
        <v>50865.59</v>
      </c>
      <c r="F1579" s="7" t="n">
        <v>610387.05</v>
      </c>
    </row>
    <row r="1580" ht="21" customHeight="1">
      <c r="A1580" s="7" t="n">
        <v>2027</v>
      </c>
      <c r="B1580" s="7" t="n">
        <v>3</v>
      </c>
      <c r="C1580" s="10" t="inlineStr">
        <is>
          <t>Fremdl. Persona</t>
        </is>
      </c>
      <c r="D1580" s="10" t="inlineStr">
        <is>
          <t>Vorleistungen</t>
        </is>
      </c>
      <c r="E1580" s="7" t="n">
        <v>61.31</v>
      </c>
      <c r="F1580" s="7" t="n">
        <v>735.66</v>
      </c>
    </row>
    <row r="1581" ht="21" customHeight="1">
      <c r="A1581" s="7" t="n">
        <v>2027</v>
      </c>
      <c r="B1581" s="7" t="n">
        <v>3</v>
      </c>
      <c r="C1581" s="10" t="inlineStr">
        <is>
          <t>Aufwand Umlage</t>
        </is>
      </c>
      <c r="D1581" s="10" t="inlineStr">
        <is>
          <t>Verwaltungskosten</t>
        </is>
      </c>
      <c r="E1581" s="7" t="n">
        <v>3383.24</v>
      </c>
      <c r="F1581" s="7" t="n">
        <v>40598.91</v>
      </c>
    </row>
    <row r="1582" ht="21" customHeight="1">
      <c r="A1582" s="7" t="n">
        <v>2031</v>
      </c>
      <c r="B1582" s="7" t="n">
        <v>3</v>
      </c>
      <c r="C1582" s="10" t="inlineStr">
        <is>
          <t>Ueb Lohn-Gehalt</t>
        </is>
      </c>
      <c r="D1582" s="10" t="inlineStr">
        <is>
          <t>Personalaufwand</t>
        </is>
      </c>
      <c r="E1582" s="7" t="n">
        <v>45675.82</v>
      </c>
      <c r="F1582" s="7" t="n">
        <v>548109.79</v>
      </c>
    </row>
    <row r="1583" ht="21" customHeight="1">
      <c r="A1583" s="7" t="n">
        <v>2027</v>
      </c>
      <c r="B1583" s="7" t="n">
        <v>3</v>
      </c>
      <c r="C1583" s="10" t="inlineStr">
        <is>
          <t>Rechts- u. Beratungs</t>
        </is>
      </c>
      <c r="D1583" s="10" t="inlineStr">
        <is>
          <t>Verwaltungskosten</t>
        </is>
      </c>
      <c r="E1583" s="7" t="n">
        <v>25635.99</v>
      </c>
      <c r="F1583" s="7" t="n">
        <v>307631.89</v>
      </c>
    </row>
    <row r="1584" ht="21" customHeight="1">
      <c r="A1584" s="7" t="n">
        <v>2028</v>
      </c>
      <c r="B1584" s="7" t="n">
        <v>3</v>
      </c>
      <c r="C1584" s="10" t="inlineStr">
        <is>
          <t>Verwaltungskost</t>
        </is>
      </c>
      <c r="D1584" s="10" t="inlineStr">
        <is>
          <t>Verwaltungskosten</t>
        </is>
      </c>
      <c r="E1584" s="7" t="n">
        <v>6892.21</v>
      </c>
      <c r="F1584" s="7" t="n">
        <v>82706.56</v>
      </c>
    </row>
    <row r="1585" ht="21" customHeight="1">
      <c r="A1585" s="7" t="n">
        <v>2028</v>
      </c>
      <c r="B1585" s="7" t="n">
        <v>3</v>
      </c>
      <c r="C1585" s="10" t="inlineStr">
        <is>
          <t>Ueb. bezog.Leis</t>
        </is>
      </c>
      <c r="D1585" s="10" t="inlineStr">
        <is>
          <t>Vorleistungen</t>
        </is>
      </c>
      <c r="E1585" s="7" t="n">
        <v>1342498.67</v>
      </c>
      <c r="F1585" s="7" t="n">
        <v>16109983.99</v>
      </c>
    </row>
    <row r="1586" ht="21" customHeight="1">
      <c r="A1586" s="7" t="n">
        <v>2028</v>
      </c>
      <c r="B1586" s="7" t="n">
        <v>3</v>
      </c>
      <c r="C1586" s="10" t="inlineStr">
        <is>
          <t>Ankauf Rohstoff</t>
        </is>
      </c>
      <c r="D1586" s="10" t="inlineStr">
        <is>
          <t>Vorleistungen</t>
        </is>
      </c>
      <c r="E1586" s="7" t="n">
        <v>1457.38</v>
      </c>
      <c r="F1586" s="7" t="n">
        <v>17488.61</v>
      </c>
    </row>
    <row r="1587" ht="21" customHeight="1">
      <c r="A1587" s="7" t="n">
        <v>2029</v>
      </c>
      <c r="B1587" s="7" t="n">
        <v>3</v>
      </c>
      <c r="C1587" s="10" t="inlineStr">
        <is>
          <t>Erloesschmaeler</t>
        </is>
      </c>
      <c r="D1587" s="10" t="inlineStr">
        <is>
          <t>Gesamtleistung</t>
        </is>
      </c>
      <c r="E1587" s="7" t="n">
        <v>-9048.01</v>
      </c>
      <c r="F1587" s="7" t="n">
        <v>-108576.08</v>
      </c>
    </row>
    <row r="1588" ht="21" customHeight="1">
      <c r="A1588" s="7" t="n">
        <v>2029</v>
      </c>
      <c r="B1588" s="7" t="n">
        <v>3</v>
      </c>
      <c r="C1588" s="10" t="inlineStr">
        <is>
          <t>Leasing PKW</t>
        </is>
      </c>
      <c r="D1588" s="10" t="inlineStr">
        <is>
          <t>Fuhrparkkosten</t>
        </is>
      </c>
      <c r="E1588" s="7" t="n">
        <v>24652.26</v>
      </c>
      <c r="F1588" s="7" t="n">
        <v>295827.14</v>
      </c>
    </row>
    <row r="1589" ht="21" customHeight="1">
      <c r="A1589" s="7" t="n">
        <v>2029</v>
      </c>
      <c r="B1589" s="7" t="n">
        <v>3</v>
      </c>
      <c r="C1589" s="10" t="inlineStr">
        <is>
          <t>Fremdl. Persona</t>
        </is>
      </c>
      <c r="D1589" s="10" t="inlineStr">
        <is>
          <t>Vorleistungen</t>
        </is>
      </c>
      <c r="E1589" s="7" t="n">
        <v>73.3</v>
      </c>
      <c r="F1589" s="7" t="n">
        <v>879.54</v>
      </c>
    </row>
    <row r="1590" ht="21" customHeight="1">
      <c r="A1590" s="7" t="n">
        <v>2028</v>
      </c>
      <c r="B1590" s="7" t="n">
        <v>3</v>
      </c>
      <c r="C1590" s="10" t="inlineStr">
        <is>
          <t>Aufwand Umlage</t>
        </is>
      </c>
      <c r="D1590" s="10" t="inlineStr">
        <is>
          <t>Verwaltungskosten</t>
        </is>
      </c>
      <c r="E1590" s="7" t="n">
        <v>3484.74</v>
      </c>
      <c r="F1590" s="7" t="n">
        <v>41816.88</v>
      </c>
    </row>
    <row r="1591" ht="21" customHeight="1">
      <c r="A1591" s="7" t="n">
        <v>2027</v>
      </c>
      <c r="B1591" s="7" t="n">
        <v>3</v>
      </c>
      <c r="C1591" s="10" t="inlineStr">
        <is>
          <t>Ankauf Rohstoff</t>
        </is>
      </c>
      <c r="D1591" s="10" t="inlineStr">
        <is>
          <t>Vorleistungen</t>
        </is>
      </c>
      <c r="E1591" s="7" t="n">
        <v>1408.24</v>
      </c>
      <c r="F1591" s="7" t="n">
        <v>16898.9</v>
      </c>
    </row>
    <row r="1592" ht="21" customHeight="1">
      <c r="A1592" s="7" t="n">
        <v>2030</v>
      </c>
      <c r="B1592" s="7" t="n">
        <v>3</v>
      </c>
      <c r="C1592" s="10" t="inlineStr">
        <is>
          <t>Erloesschmaeler</t>
        </is>
      </c>
      <c r="D1592" s="10" t="inlineStr">
        <is>
          <t>Gesamtleistung</t>
        </is>
      </c>
      <c r="E1592" s="7" t="n">
        <v>-9690.75</v>
      </c>
      <c r="F1592" s="7" t="n">
        <v>-116289.05</v>
      </c>
    </row>
    <row r="1593" ht="21" customHeight="1">
      <c r="A1593" s="7" t="n">
        <v>2029</v>
      </c>
      <c r="B1593" s="7" t="n">
        <v>3</v>
      </c>
      <c r="C1593" s="10" t="inlineStr">
        <is>
          <t>Sonst Fuhrparkkosten</t>
        </is>
      </c>
      <c r="D1593" s="10" t="inlineStr">
        <is>
          <t>Fuhrparkkosten</t>
        </is>
      </c>
      <c r="E1593" s="7" t="n">
        <v>5605.91</v>
      </c>
      <c r="F1593" s="7" t="n">
        <v>67270.89</v>
      </c>
    </row>
    <row r="1594" ht="21" customHeight="1">
      <c r="A1594" s="7" t="n">
        <v>2027</v>
      </c>
      <c r="B1594" s="7" t="n">
        <v>3</v>
      </c>
      <c r="C1594" s="10" t="inlineStr">
        <is>
          <t>Soziale Abgaben</t>
        </is>
      </c>
      <c r="D1594" s="10" t="inlineStr">
        <is>
          <t>Personalaufwand</t>
        </is>
      </c>
      <c r="E1594" s="7" t="n">
        <v>75903.69</v>
      </c>
      <c r="F1594" s="7" t="n">
        <v>910844.28</v>
      </c>
    </row>
    <row r="1595" ht="21" customHeight="1">
      <c r="A1595" s="7" t="n">
        <v>2031</v>
      </c>
      <c r="B1595" s="7" t="n">
        <v>3</v>
      </c>
      <c r="C1595" s="10" t="inlineStr">
        <is>
          <t>Erloesschmaeler</t>
        </is>
      </c>
      <c r="D1595" s="10" t="inlineStr">
        <is>
          <t>Gesamtleistung</t>
        </is>
      </c>
      <c r="E1595" s="7" t="n">
        <v>-10347.15</v>
      </c>
      <c r="F1595" s="7" t="n">
        <v>-124165.81</v>
      </c>
    </row>
    <row r="1596" ht="21" customHeight="1">
      <c r="A1596" s="7" t="n">
        <v>2029</v>
      </c>
      <c r="B1596" s="7" t="n">
        <v>3</v>
      </c>
      <c r="C1596" s="10" t="inlineStr">
        <is>
          <t>Ertr. weiterber</t>
        </is>
      </c>
      <c r="D1596" s="10" t="inlineStr">
        <is>
          <t>Gesamtleistung</t>
        </is>
      </c>
      <c r="E1596" s="7" t="n">
        <v>1036.39</v>
      </c>
      <c r="F1596" s="7" t="n">
        <v>12436.69</v>
      </c>
    </row>
    <row r="1597" ht="21" customHeight="1">
      <c r="A1597" s="7" t="n">
        <v>2027</v>
      </c>
      <c r="B1597" s="7" t="n">
        <v>3</v>
      </c>
      <c r="C1597" s="10" t="inlineStr">
        <is>
          <t>Sonderz. Prämie</t>
        </is>
      </c>
      <c r="D1597" s="10" t="inlineStr">
        <is>
          <t>Personalaufwand</t>
        </is>
      </c>
      <c r="E1597" s="7" t="n">
        <v>19636.08</v>
      </c>
      <c r="F1597" s="7" t="n">
        <v>235633</v>
      </c>
    </row>
    <row r="1598" ht="21" customHeight="1">
      <c r="A1598" s="7" t="n">
        <v>2027</v>
      </c>
      <c r="B1598" s="7" t="n">
        <v>3</v>
      </c>
      <c r="C1598" s="10" t="inlineStr">
        <is>
          <t>Miete Behälter</t>
        </is>
      </c>
      <c r="D1598" s="10" t="inlineStr">
        <is>
          <t>Instandh. Betriebsausstattung</t>
        </is>
      </c>
      <c r="E1598" s="7" t="n">
        <v>22.94</v>
      </c>
      <c r="F1598" s="7" t="n">
        <v>275.23</v>
      </c>
    </row>
    <row r="1599" ht="21" customHeight="1">
      <c r="A1599" s="7" t="n">
        <v>2031</v>
      </c>
      <c r="B1599" s="7" t="n">
        <v>3</v>
      </c>
      <c r="C1599" s="10" t="inlineStr">
        <is>
          <t>Versicherungskosten</t>
        </is>
      </c>
      <c r="D1599" s="10" t="inlineStr">
        <is>
          <t>Verwaltungskosten</t>
        </is>
      </c>
      <c r="E1599" s="7" t="n">
        <v>12143.81</v>
      </c>
      <c r="F1599" s="7" t="n">
        <v>145725.66</v>
      </c>
    </row>
    <row r="1600" ht="21" customHeight="1">
      <c r="A1600" s="7" t="n">
        <v>2029</v>
      </c>
      <c r="B1600" s="7" t="n">
        <v>3</v>
      </c>
      <c r="C1600" s="10" t="inlineStr">
        <is>
          <t>Rechts- u. Beratungs</t>
        </is>
      </c>
      <c r="D1600" s="10" t="inlineStr">
        <is>
          <t>Verwaltungskosten</t>
        </is>
      </c>
      <c r="E1600" s="7" t="n">
        <v>27197.22</v>
      </c>
      <c r="F1600" s="7" t="n">
        <v>326366.65</v>
      </c>
    </row>
    <row r="1601" ht="21" customHeight="1">
      <c r="A1601" s="7" t="n">
        <v>2028</v>
      </c>
      <c r="B1601" s="7" t="n">
        <v>3</v>
      </c>
      <c r="C1601" s="10" t="inlineStr">
        <is>
          <t>Instandh.Fuhrp</t>
        </is>
      </c>
      <c r="D1601" s="10" t="inlineStr">
        <is>
          <t>Fuhrparkkosten</t>
        </is>
      </c>
      <c r="E1601" s="7" t="n">
        <v>32180.39</v>
      </c>
      <c r="F1601" s="7" t="n">
        <v>386164.66</v>
      </c>
    </row>
    <row r="1602" ht="21" customHeight="1">
      <c r="A1602" s="7" t="n">
        <v>2030</v>
      </c>
      <c r="B1602" s="7" t="n">
        <v>3</v>
      </c>
      <c r="C1602" s="10" t="inlineStr">
        <is>
          <t>Miete Grdst/Gebäud</t>
        </is>
      </c>
      <c r="D1602" s="10" t="inlineStr">
        <is>
          <t>Raumkosten</t>
        </is>
      </c>
      <c r="E1602" s="7" t="n">
        <v>18603.32</v>
      </c>
      <c r="F1602" s="7" t="n">
        <v>223239.88</v>
      </c>
    </row>
    <row r="1603" ht="21" customHeight="1">
      <c r="A1603" s="7" t="n">
        <v>2027</v>
      </c>
      <c r="B1603" s="7" t="n">
        <v>3</v>
      </c>
      <c r="C1603" s="10" t="inlineStr">
        <is>
          <t>Ueb. bezog.Leis</t>
        </is>
      </c>
      <c r="D1603" s="10" t="inlineStr">
        <is>
          <t>Vorleistungen</t>
        </is>
      </c>
      <c r="E1603" s="7" t="n">
        <v>1319862.34</v>
      </c>
      <c r="F1603" s="7" t="n">
        <v>15838348.13</v>
      </c>
    </row>
    <row r="1604" ht="21" customHeight="1">
      <c r="A1604" s="7" t="n">
        <v>2029</v>
      </c>
      <c r="B1604" s="7" t="n">
        <v>3</v>
      </c>
      <c r="C1604" s="10" t="inlineStr">
        <is>
          <t>Erl. Waren Dt.</t>
        </is>
      </c>
      <c r="D1604" s="10" t="inlineStr">
        <is>
          <t>Gesamtleistung</t>
        </is>
      </c>
      <c r="E1604" s="7" t="n">
        <v>47334.08</v>
      </c>
      <c r="F1604" s="7" t="n">
        <v>568008.92</v>
      </c>
    </row>
    <row r="1605" ht="21" customHeight="1">
      <c r="A1605" s="7" t="n">
        <v>2031</v>
      </c>
      <c r="B1605" s="7" t="n">
        <v>3</v>
      </c>
      <c r="C1605" s="10" t="inlineStr">
        <is>
          <t>Treibstoffe, Oe</t>
        </is>
      </c>
      <c r="D1605" s="10" t="inlineStr">
        <is>
          <t>Fuhrparkkosten</t>
        </is>
      </c>
      <c r="E1605" s="7" t="n">
        <v>36227.88</v>
      </c>
      <c r="F1605" s="7" t="n">
        <v>434734.54</v>
      </c>
    </row>
    <row r="1606" ht="21" customHeight="1">
      <c r="A1606" s="7" t="n">
        <v>2029</v>
      </c>
      <c r="B1606" s="7" t="n">
        <v>3</v>
      </c>
      <c r="C1606" s="10" t="inlineStr">
        <is>
          <t>Miete Behälter</t>
        </is>
      </c>
      <c r="D1606" s="10" t="inlineStr">
        <is>
          <t>Instandh. Betriebsausstattung</t>
        </is>
      </c>
      <c r="E1606" s="7" t="n">
        <v>25.29</v>
      </c>
      <c r="F1606" s="7" t="n">
        <v>303.45</v>
      </c>
    </row>
    <row r="1607" ht="21" customHeight="1">
      <c r="A1607" s="7" t="n">
        <v>2030</v>
      </c>
      <c r="B1607" s="7" t="n">
        <v>3</v>
      </c>
      <c r="C1607" s="10" t="inlineStr">
        <is>
          <t>Instandh. BGA</t>
        </is>
      </c>
      <c r="D1607" s="10" t="inlineStr">
        <is>
          <t>Instandh. Betriebsausstattung</t>
        </is>
      </c>
      <c r="E1607" s="7" t="n">
        <v>4880.6</v>
      </c>
      <c r="F1607" s="7" t="n">
        <v>58567.23</v>
      </c>
    </row>
    <row r="1608" ht="21" customHeight="1">
      <c r="A1608" s="7" t="n">
        <v>2030</v>
      </c>
      <c r="B1608" s="7" t="n">
        <v>3</v>
      </c>
      <c r="C1608" s="10" t="inlineStr">
        <is>
          <t>Lohn + Gehalt</t>
        </is>
      </c>
      <c r="D1608" s="10" t="inlineStr">
        <is>
          <t>Personalaufwand</t>
        </is>
      </c>
      <c r="E1608" s="7" t="n">
        <v>392030.8</v>
      </c>
      <c r="F1608" s="7" t="n">
        <v>4704369.59</v>
      </c>
    </row>
    <row r="1609" ht="21" customHeight="1">
      <c r="A1609" s="7" t="n">
        <v>2027</v>
      </c>
      <c r="B1609" s="7" t="n">
        <v>3</v>
      </c>
      <c r="C1609" s="10" t="inlineStr">
        <is>
          <t>Bestandsveraend</t>
        </is>
      </c>
      <c r="D1609" s="10" t="inlineStr">
        <is>
          <t>Gesamtleistung</t>
        </is>
      </c>
      <c r="E1609" s="7" t="n">
        <v>0</v>
      </c>
      <c r="F1609" s="7" t="n">
        <v>0</v>
      </c>
    </row>
    <row r="1610" ht="21" customHeight="1">
      <c r="A1610" s="7" t="n">
        <v>2027</v>
      </c>
      <c r="B1610" s="7" t="n">
        <v>3</v>
      </c>
      <c r="C1610" s="10" t="inlineStr">
        <is>
          <t>Aufw. so. Hilfs</t>
        </is>
      </c>
      <c r="D1610" s="10" t="inlineStr">
        <is>
          <t>Vorleistungen</t>
        </is>
      </c>
      <c r="E1610" s="7" t="n">
        <v>-16362.04</v>
      </c>
      <c r="F1610" s="7" t="n">
        <v>-196344.47</v>
      </c>
    </row>
    <row r="1611" ht="21" customHeight="1">
      <c r="A1611" s="7" t="n">
        <v>2027</v>
      </c>
      <c r="B1611" s="7" t="n">
        <v>3</v>
      </c>
      <c r="C1611" s="10" t="inlineStr">
        <is>
          <t>Aufw. f. Alters</t>
        </is>
      </c>
      <c r="D1611" s="10" t="inlineStr">
        <is>
          <t>Personalaufwand</t>
        </is>
      </c>
      <c r="E1611" s="7" t="n">
        <v>1234.77</v>
      </c>
      <c r="F1611" s="7" t="n">
        <v>14817.29</v>
      </c>
    </row>
    <row r="1612" ht="21" customHeight="1">
      <c r="A1612" s="7" t="n">
        <v>2027</v>
      </c>
      <c r="B1612" s="7" t="n">
        <v>3</v>
      </c>
      <c r="C1612" s="10" t="inlineStr">
        <is>
          <t>Vertriebskosten</t>
        </is>
      </c>
      <c r="D1612" s="10" t="inlineStr">
        <is>
          <t>Vertriebskosten</t>
        </is>
      </c>
      <c r="E1612" s="7" t="n">
        <v>10833.33</v>
      </c>
      <c r="F1612" s="7" t="n">
        <v>130000</v>
      </c>
    </row>
    <row r="1613" ht="21" customHeight="1">
      <c r="A1613" s="7" t="n">
        <v>2027</v>
      </c>
      <c r="B1613" s="7" t="n">
        <v>3</v>
      </c>
      <c r="C1613" s="10" t="inlineStr">
        <is>
          <t>Ertrag KFZ-Nutz</t>
        </is>
      </c>
      <c r="D1613" s="10" t="inlineStr">
        <is>
          <t>Gesamtleistung</t>
        </is>
      </c>
      <c r="E1613" s="7" t="n">
        <v>8029.69</v>
      </c>
      <c r="F1613" s="7" t="n">
        <v>96356.3</v>
      </c>
    </row>
    <row r="1614" ht="21" customHeight="1">
      <c r="A1614" s="7" t="n">
        <v>2031</v>
      </c>
      <c r="B1614" s="7" t="n">
        <v>3</v>
      </c>
      <c r="C1614" s="10" t="inlineStr">
        <is>
          <t>Lohn + Gehalt</t>
        </is>
      </c>
      <c r="D1614" s="10" t="inlineStr">
        <is>
          <t>Personalaufwand</t>
        </is>
      </c>
      <c r="E1614" s="7" t="n">
        <v>428257.62</v>
      </c>
      <c r="F1614" s="7" t="n">
        <v>5139091.39</v>
      </c>
    </row>
    <row r="1615" ht="21" customHeight="1">
      <c r="A1615" s="7" t="n">
        <v>2031</v>
      </c>
      <c r="B1615" s="7" t="n">
        <v>3</v>
      </c>
      <c r="C1615" s="10" t="inlineStr">
        <is>
          <t>Soziale Abgaben</t>
        </is>
      </c>
      <c r="D1615" s="10" t="inlineStr">
        <is>
          <t>Personalaufwand</t>
        </is>
      </c>
      <c r="E1615" s="7" t="n">
        <v>113909.76</v>
      </c>
      <c r="F1615" s="7" t="n">
        <v>1366917.09</v>
      </c>
    </row>
    <row r="1616" ht="21" customHeight="1">
      <c r="A1616" s="7" t="n">
        <v>2031</v>
      </c>
      <c r="B1616" s="7" t="n">
        <v>3</v>
      </c>
      <c r="C1616" s="10" t="inlineStr">
        <is>
          <t>Sonst Fuhrparkkosten</t>
        </is>
      </c>
      <c r="D1616" s="10" t="inlineStr">
        <is>
          <t>Fuhrparkkosten</t>
        </is>
      </c>
      <c r="E1616" s="7" t="n">
        <v>6298.8</v>
      </c>
      <c r="F1616" s="7" t="n">
        <v>75585.56</v>
      </c>
    </row>
    <row r="1617" ht="21" customHeight="1">
      <c r="A1617" s="7" t="n">
        <v>2030</v>
      </c>
      <c r="B1617" s="7" t="n">
        <v>3</v>
      </c>
      <c r="C1617" s="10" t="inlineStr">
        <is>
          <t>Miete Behälter</t>
        </is>
      </c>
      <c r="D1617" s="10" t="inlineStr">
        <is>
          <t>Instandh. Betriebsausstattung</t>
        </is>
      </c>
      <c r="E1617" s="7" t="n">
        <v>26.55</v>
      </c>
      <c r="F1617" s="7" t="n">
        <v>318.62</v>
      </c>
    </row>
    <row r="1618" ht="21" customHeight="1">
      <c r="A1618" s="7" t="n">
        <v>2028</v>
      </c>
      <c r="B1618" s="7" t="n">
        <v>3</v>
      </c>
      <c r="C1618" s="10" t="inlineStr">
        <is>
          <t>Miete PKW</t>
        </is>
      </c>
      <c r="D1618" s="10" t="inlineStr">
        <is>
          <t>Fuhrparkkosten</t>
        </is>
      </c>
      <c r="E1618" s="7" t="n">
        <v>4890.62</v>
      </c>
      <c r="F1618" s="7" t="n">
        <v>58687.43</v>
      </c>
    </row>
    <row r="1619" ht="21" customHeight="1">
      <c r="A1619" s="7" t="n">
        <v>2030</v>
      </c>
      <c r="B1619" s="7" t="n">
        <v>3</v>
      </c>
      <c r="C1619" s="10" t="inlineStr">
        <is>
          <t>Aufwand Umlage</t>
        </is>
      </c>
      <c r="D1619" s="10" t="inlineStr">
        <is>
          <t>Verwaltungskosten</t>
        </is>
      </c>
      <c r="E1619" s="7" t="n">
        <v>3696.96</v>
      </c>
      <c r="F1619" s="7" t="n">
        <v>44363.53</v>
      </c>
    </row>
    <row r="1620" ht="21" customHeight="1">
      <c r="A1620" s="7" t="n">
        <v>2030</v>
      </c>
      <c r="B1620" s="7" t="n">
        <v>3</v>
      </c>
      <c r="C1620" s="10" t="inlineStr">
        <is>
          <t>So. betr. Aufwa</t>
        </is>
      </c>
      <c r="D1620" s="10" t="inlineStr">
        <is>
          <t>Verwaltungskosten</t>
        </is>
      </c>
      <c r="E1620" s="7" t="n">
        <v>714.05</v>
      </c>
      <c r="F1620" s="7" t="n">
        <v>8568.57</v>
      </c>
    </row>
    <row r="1621" ht="21" customHeight="1">
      <c r="A1621" s="7" t="n">
        <v>2029</v>
      </c>
      <c r="B1621" s="7" t="n">
        <v>3</v>
      </c>
      <c r="C1621" s="10" t="inlineStr">
        <is>
          <t>Versicherungskosten</t>
        </is>
      </c>
      <c r="D1621" s="10" t="inlineStr">
        <is>
          <t>Verwaltungskosten</t>
        </is>
      </c>
      <c r="E1621" s="7" t="n">
        <v>11446.7</v>
      </c>
      <c r="F1621" s="7" t="n">
        <v>137360.42</v>
      </c>
    </row>
    <row r="1622" ht="21" customHeight="1">
      <c r="A1622" s="7" t="n">
        <v>2027</v>
      </c>
      <c r="B1622" s="7" t="n">
        <v>3</v>
      </c>
      <c r="C1622" s="10" t="inlineStr">
        <is>
          <t>Sonstige Steuer</t>
        </is>
      </c>
      <c r="D1622" s="10" t="inlineStr">
        <is>
          <t>Fuhrparkkosten</t>
        </is>
      </c>
      <c r="E1622" s="7" t="n">
        <v>1497.31</v>
      </c>
      <c r="F1622" s="7" t="n">
        <v>17967.71</v>
      </c>
    </row>
    <row r="1623" ht="21" customHeight="1">
      <c r="A1623" s="7" t="n">
        <v>2031</v>
      </c>
      <c r="B1623" s="7" t="n">
        <v>3</v>
      </c>
      <c r="C1623" s="10" t="inlineStr">
        <is>
          <t>Leasing LKW</t>
        </is>
      </c>
      <c r="D1623" s="10" t="inlineStr">
        <is>
          <t>Fuhrparkkosten</t>
        </is>
      </c>
      <c r="E1623" s="7" t="n">
        <v>2910.36</v>
      </c>
      <c r="F1623" s="7" t="n">
        <v>34924.28</v>
      </c>
    </row>
    <row r="1624" ht="21" customHeight="1">
      <c r="A1624" s="7" t="n">
        <v>2029</v>
      </c>
      <c r="B1624" s="7" t="n">
        <v>3</v>
      </c>
      <c r="C1624" s="10" t="inlineStr">
        <is>
          <t>Leasing LKW</t>
        </is>
      </c>
      <c r="D1624" s="10" t="inlineStr">
        <is>
          <t>Fuhrparkkosten</t>
        </is>
      </c>
      <c r="E1624" s="7" t="n">
        <v>2590.21</v>
      </c>
      <c r="F1624" s="7" t="n">
        <v>31082.49</v>
      </c>
    </row>
    <row r="1625" ht="21" customHeight="1">
      <c r="A1625" s="7" t="n">
        <v>2027</v>
      </c>
      <c r="B1625" s="7" t="n">
        <v>3</v>
      </c>
      <c r="C1625" s="10" t="inlineStr">
        <is>
          <t>Instandh.Fuhrp</t>
        </is>
      </c>
      <c r="D1625" s="10" t="inlineStr">
        <is>
          <t>Fuhrparkkosten</t>
        </is>
      </c>
      <c r="E1625" s="7" t="n">
        <v>30358.86</v>
      </c>
      <c r="F1625" s="7" t="n">
        <v>364306.28</v>
      </c>
    </row>
    <row r="1626" ht="21" customHeight="1">
      <c r="A1626" s="7" t="n">
        <v>2029</v>
      </c>
      <c r="B1626" s="7" t="n">
        <v>3</v>
      </c>
      <c r="C1626" s="10" t="inlineStr">
        <is>
          <t>Vertriebskosten</t>
        </is>
      </c>
      <c r="D1626" s="10" t="inlineStr">
        <is>
          <t>Vertriebskosten</t>
        </is>
      </c>
      <c r="E1626" s="7" t="n">
        <v>11943.75</v>
      </c>
      <c r="F1626" s="7" t="n">
        <v>143325</v>
      </c>
    </row>
    <row r="1627" ht="21" customHeight="1">
      <c r="A1627" s="7" t="n">
        <v>2031</v>
      </c>
      <c r="B1627" s="7" t="n">
        <v>3</v>
      </c>
      <c r="C1627" s="10" t="inlineStr">
        <is>
          <t>Miete Grdst/Gebäud</t>
        </is>
      </c>
      <c r="D1627" s="10" t="inlineStr">
        <is>
          <t>Raumkosten</t>
        </is>
      </c>
      <c r="E1627" s="7" t="n">
        <v>18975.39</v>
      </c>
      <c r="F1627" s="7" t="n">
        <v>227704.65</v>
      </c>
    </row>
    <row r="1628" ht="21" customHeight="1">
      <c r="A1628" s="7" t="n">
        <v>2029</v>
      </c>
      <c r="B1628" s="7" t="n">
        <v>3</v>
      </c>
      <c r="C1628" s="10" t="inlineStr">
        <is>
          <t>Uebr.neutr. Ert</t>
        </is>
      </c>
      <c r="D1628" s="10" t="inlineStr">
        <is>
          <t>Gesamtleistung</t>
        </is>
      </c>
      <c r="E1628" s="7" t="n">
        <v>189.9</v>
      </c>
      <c r="F1628" s="7" t="n">
        <v>2278.85</v>
      </c>
    </row>
    <row r="1629" ht="21" customHeight="1">
      <c r="A1629" s="7" t="n">
        <v>2030</v>
      </c>
      <c r="B1629" s="7" t="n">
        <v>3</v>
      </c>
      <c r="C1629" s="10" t="inlineStr">
        <is>
          <t>Behaelterkosten</t>
        </is>
      </c>
      <c r="D1629" s="10" t="inlineStr">
        <is>
          <t>Instandh. Betriebsausstattung</t>
        </is>
      </c>
      <c r="E1629" s="7" t="n">
        <v>12.75</v>
      </c>
      <c r="F1629" s="7" t="n">
        <v>153.03</v>
      </c>
    </row>
    <row r="1630" ht="21" customHeight="1">
      <c r="A1630" s="7" t="n">
        <v>2029</v>
      </c>
      <c r="B1630" s="7" t="n">
        <v>3</v>
      </c>
      <c r="C1630" s="10" t="inlineStr">
        <is>
          <t>IT-Aufwendungen</t>
        </is>
      </c>
      <c r="D1630" s="10" t="inlineStr">
        <is>
          <t>Verwaltungskosten</t>
        </is>
      </c>
      <c r="E1630" s="7" t="n">
        <v>12302.44</v>
      </c>
      <c r="F1630" s="7" t="n">
        <v>147629.28</v>
      </c>
    </row>
    <row r="1631" ht="21" customHeight="1">
      <c r="A1631" s="7" t="n">
        <v>2028</v>
      </c>
      <c r="B1631" s="7" t="n">
        <v>3</v>
      </c>
      <c r="C1631" s="10" t="inlineStr">
        <is>
          <t>Instandh. BGA</t>
        </is>
      </c>
      <c r="D1631" s="10" t="inlineStr">
        <is>
          <t>Instandh. Betriebsausstattung</t>
        </is>
      </c>
      <c r="E1631" s="7" t="n">
        <v>4426.85</v>
      </c>
      <c r="F1631" s="7" t="n">
        <v>53122.2</v>
      </c>
    </row>
    <row r="1632" ht="21" customHeight="1">
      <c r="A1632" s="7" t="n">
        <v>2029</v>
      </c>
      <c r="B1632" s="7" t="n">
        <v>3</v>
      </c>
      <c r="C1632" s="10" t="inlineStr">
        <is>
          <t>Instandh.Fuhrp</t>
        </is>
      </c>
      <c r="D1632" s="10" t="inlineStr">
        <is>
          <t>Fuhrparkkosten</t>
        </is>
      </c>
      <c r="E1632" s="7" t="n">
        <v>34111.21</v>
      </c>
      <c r="F1632" s="7" t="n">
        <v>409334.56</v>
      </c>
    </row>
    <row r="1633" ht="21" customHeight="1">
      <c r="A1633" s="7" t="n">
        <v>2031</v>
      </c>
      <c r="B1633" s="7" t="n">
        <v>3</v>
      </c>
      <c r="C1633" s="10" t="inlineStr">
        <is>
          <t>Rechts- u. Beratungs</t>
        </is>
      </c>
      <c r="D1633" s="10" t="inlineStr">
        <is>
          <t>Verwaltungskosten</t>
        </is>
      </c>
      <c r="E1633" s="7" t="n">
        <v>28853.53</v>
      </c>
      <c r="F1633" s="7" t="n">
        <v>346242.38</v>
      </c>
    </row>
    <row r="1634" ht="21" customHeight="1">
      <c r="A1634" s="7" t="n">
        <v>2029</v>
      </c>
      <c r="B1634" s="7" t="n">
        <v>3</v>
      </c>
      <c r="C1634" s="10" t="inlineStr">
        <is>
          <t>Ertrag KFZ-Nutz</t>
        </is>
      </c>
      <c r="D1634" s="10" t="inlineStr">
        <is>
          <t>Gesamtleistung</t>
        </is>
      </c>
      <c r="E1634" s="7" t="n">
        <v>8815.82</v>
      </c>
      <c r="F1634" s="7" t="n">
        <v>105789.86</v>
      </c>
    </row>
    <row r="1635" ht="21" customHeight="1">
      <c r="A1635" s="7" t="n">
        <v>2030</v>
      </c>
      <c r="B1635" s="7" t="n">
        <v>3</v>
      </c>
      <c r="C1635" s="10" t="inlineStr">
        <is>
          <t>Ertr. weiterber</t>
        </is>
      </c>
      <c r="D1635" s="10" t="inlineStr">
        <is>
          <t>Gesamtleistung</t>
        </is>
      </c>
      <c r="E1635" s="7" t="n">
        <v>1104.47</v>
      </c>
      <c r="F1635" s="7" t="n">
        <v>13253.67</v>
      </c>
    </row>
    <row r="1636" ht="21" customHeight="1">
      <c r="A1636" s="7" t="n">
        <v>2028</v>
      </c>
      <c r="B1636" s="7" t="n">
        <v>3</v>
      </c>
      <c r="C1636" s="10" t="inlineStr">
        <is>
          <t>Leasing PKW</t>
        </is>
      </c>
      <c r="D1636" s="10" t="inlineStr">
        <is>
          <t>Fuhrparkkosten</t>
        </is>
      </c>
      <c r="E1636" s="7" t="n">
        <v>23256.85</v>
      </c>
      <c r="F1636" s="7" t="n">
        <v>279082.22</v>
      </c>
    </row>
    <row r="1637" ht="21" customHeight="1">
      <c r="A1637" s="7" t="n">
        <v>2028</v>
      </c>
      <c r="B1637" s="7" t="n">
        <v>3</v>
      </c>
      <c r="C1637" s="10" t="inlineStr">
        <is>
          <t>Treibstoffe, Oe</t>
        </is>
      </c>
      <c r="D1637" s="10" t="inlineStr">
        <is>
          <t>Fuhrparkkosten</t>
        </is>
      </c>
      <c r="E1637" s="7" t="n">
        <v>30417.62</v>
      </c>
      <c r="F1637" s="7" t="n">
        <v>365011.49</v>
      </c>
    </row>
    <row r="1638" ht="21" customHeight="1">
      <c r="A1638" s="7" t="n">
        <v>2029</v>
      </c>
      <c r="B1638" s="7" t="n">
        <v>3</v>
      </c>
      <c r="C1638" s="10" t="inlineStr">
        <is>
          <t>Miete PKW</t>
        </is>
      </c>
      <c r="D1638" s="10" t="inlineStr">
        <is>
          <t>Fuhrparkkosten</t>
        </is>
      </c>
      <c r="E1638" s="7" t="n">
        <v>5184.06</v>
      </c>
      <c r="F1638" s="7" t="n">
        <v>62208.67</v>
      </c>
    </row>
    <row r="1639" ht="21" customHeight="1">
      <c r="A1639" s="7" t="n">
        <v>2028</v>
      </c>
      <c r="B1639" s="7" t="n">
        <v>3</v>
      </c>
      <c r="C1639" s="10" t="inlineStr">
        <is>
          <t>Ertr. weiterber</t>
        </is>
      </c>
      <c r="D1639" s="10" t="inlineStr">
        <is>
          <t>Gesamtleistung</t>
        </is>
      </c>
      <c r="E1639" s="7" t="n">
        <v>980.91</v>
      </c>
      <c r="F1639" s="7" t="n">
        <v>11770.87</v>
      </c>
    </row>
    <row r="1640" ht="21" customHeight="1">
      <c r="A1640" s="7" t="n">
        <v>2029</v>
      </c>
      <c r="B1640" s="7" t="n">
        <v>3</v>
      </c>
      <c r="C1640" s="10" t="inlineStr">
        <is>
          <t>Instandh. BGA</t>
        </is>
      </c>
      <c r="D1640" s="10" t="inlineStr">
        <is>
          <t>Instandh. Betriebsausstattung</t>
        </is>
      </c>
      <c r="E1640" s="7" t="n">
        <v>4648.19</v>
      </c>
      <c r="F1640" s="7" t="n">
        <v>55778.31</v>
      </c>
    </row>
    <row r="1641" ht="21" customHeight="1">
      <c r="A1641" s="7" t="n">
        <v>2028</v>
      </c>
      <c r="B1641" s="7" t="n">
        <v>3</v>
      </c>
      <c r="C1641" s="10" t="inlineStr">
        <is>
          <t>Erl. so. DL Dt.</t>
        </is>
      </c>
      <c r="D1641" s="10" t="inlineStr">
        <is>
          <t>Gesamtleistung</t>
        </is>
      </c>
      <c r="E1641" s="7" t="n">
        <v>2095866.37</v>
      </c>
      <c r="F1641" s="7" t="n">
        <v>25150396.49</v>
      </c>
    </row>
    <row r="1642" ht="21" customHeight="1">
      <c r="A1642" s="7" t="n">
        <v>2028</v>
      </c>
      <c r="B1642" s="7" t="n">
        <v>3</v>
      </c>
      <c r="C1642" s="10" t="inlineStr">
        <is>
          <t>IT-Aufwendungen</t>
        </is>
      </c>
      <c r="D1642" s="10" t="inlineStr">
        <is>
          <t>Verwaltungskosten</t>
        </is>
      </c>
      <c r="E1642" s="7" t="n">
        <v>11944.12</v>
      </c>
      <c r="F1642" s="7" t="n">
        <v>143329.39</v>
      </c>
    </row>
    <row r="1643" ht="21" customHeight="1">
      <c r="A1643" s="7" t="n">
        <v>2029</v>
      </c>
      <c r="B1643" s="7" t="n">
        <v>3</v>
      </c>
      <c r="C1643" s="10" t="inlineStr">
        <is>
          <t>Ueb. bezog.Leis</t>
        </is>
      </c>
      <c r="D1643" s="10" t="inlineStr">
        <is>
          <t>Vorleistungen</t>
        </is>
      </c>
      <c r="E1643" s="7" t="n">
        <v>1364260.58</v>
      </c>
      <c r="F1643" s="7" t="n">
        <v>16371126.93</v>
      </c>
    </row>
    <row r="1644" ht="21" customHeight="1">
      <c r="A1644" s="7" t="n">
        <v>2031</v>
      </c>
      <c r="B1644" s="7" t="n">
        <v>3</v>
      </c>
      <c r="C1644" s="10" t="inlineStr">
        <is>
          <t>Sonderz. Prämie</t>
        </is>
      </c>
      <c r="D1644" s="10" t="inlineStr">
        <is>
          <t>Personalaufwand</t>
        </is>
      </c>
      <c r="E1644" s="7" t="n">
        <v>26838.18</v>
      </c>
      <c r="F1644" s="7" t="n">
        <v>322058.2</v>
      </c>
    </row>
    <row r="1645" ht="21" customHeight="1">
      <c r="A1645" s="7" t="n">
        <v>2029</v>
      </c>
      <c r="B1645" s="7" t="n">
        <v>3</v>
      </c>
      <c r="C1645" s="10" t="inlineStr">
        <is>
          <t>Verwaltungskost</t>
        </is>
      </c>
      <c r="D1645" s="10" t="inlineStr">
        <is>
          <t>Verwaltungskosten</t>
        </is>
      </c>
      <c r="E1645" s="7" t="n">
        <v>7098.98</v>
      </c>
      <c r="F1645" s="7" t="n">
        <v>85187.74000000001</v>
      </c>
    </row>
    <row r="1646" ht="21" customHeight="1">
      <c r="A1646" s="7" t="n">
        <v>2028</v>
      </c>
      <c r="B1646" s="7" t="n">
        <v>3</v>
      </c>
      <c r="C1646" s="10" t="inlineStr">
        <is>
          <t>Ertrag KFZ-Nutz</t>
        </is>
      </c>
      <c r="D1646" s="10" t="inlineStr">
        <is>
          <t>Gesamtleistung</t>
        </is>
      </c>
      <c r="E1646" s="7" t="n">
        <v>8405.780000000001</v>
      </c>
      <c r="F1646" s="7" t="n">
        <v>100869.3</v>
      </c>
    </row>
    <row r="1647" ht="21" customHeight="1">
      <c r="A1647" s="7" t="n">
        <v>2030</v>
      </c>
      <c r="B1647" s="7" t="n">
        <v>3</v>
      </c>
      <c r="C1647" s="10" t="inlineStr">
        <is>
          <t>Sonst Fuhrparkkosten</t>
        </is>
      </c>
      <c r="D1647" s="10" t="inlineStr">
        <is>
          <t>Fuhrparkkosten</t>
        </is>
      </c>
      <c r="E1647" s="7" t="n">
        <v>5942.26</v>
      </c>
      <c r="F1647" s="7" t="n">
        <v>71307.13</v>
      </c>
    </row>
    <row r="1648" ht="21" customHeight="1">
      <c r="A1648" s="7" t="n">
        <v>2028</v>
      </c>
      <c r="B1648" s="7" t="n">
        <v>3</v>
      </c>
      <c r="C1648" s="10" t="inlineStr">
        <is>
          <t>Rechts- u. Beratungs</t>
        </is>
      </c>
      <c r="D1648" s="10" t="inlineStr">
        <is>
          <t>Verwaltungskosten</t>
        </is>
      </c>
      <c r="E1648" s="7" t="n">
        <v>26405.07</v>
      </c>
      <c r="F1648" s="7" t="n">
        <v>316860.83</v>
      </c>
    </row>
    <row r="1649" ht="21" customHeight="1">
      <c r="A1649" s="7" t="n">
        <v>2027</v>
      </c>
      <c r="B1649" s="7" t="n">
        <v>3</v>
      </c>
      <c r="C1649" s="10" t="inlineStr">
        <is>
          <t>Leasing LKW</t>
        </is>
      </c>
      <c r="D1649" s="10" t="inlineStr">
        <is>
          <t>Fuhrparkkosten</t>
        </is>
      </c>
      <c r="E1649" s="7" t="n">
        <v>2305.28</v>
      </c>
      <c r="F1649" s="7" t="n">
        <v>27663.3</v>
      </c>
    </row>
    <row r="1650" ht="21" customHeight="1">
      <c r="A1650" s="7" t="n">
        <v>2031</v>
      </c>
      <c r="B1650" s="7" t="n">
        <v>3</v>
      </c>
      <c r="C1650" s="10" t="inlineStr">
        <is>
          <t>Fremdl. Fuhrlei</t>
        </is>
      </c>
      <c r="D1650" s="10" t="inlineStr">
        <is>
          <t>Vorleistungen</t>
        </is>
      </c>
      <c r="E1650" s="7" t="n">
        <v>374.24</v>
      </c>
      <c r="F1650" s="7" t="n">
        <v>4490.84</v>
      </c>
    </row>
    <row r="1651" ht="21" customHeight="1">
      <c r="A1651" s="7" t="n">
        <v>2029</v>
      </c>
      <c r="B1651" s="7" t="n">
        <v>3</v>
      </c>
      <c r="C1651" s="10" t="inlineStr">
        <is>
          <t>Fremdl. Fuhrlei</t>
        </is>
      </c>
      <c r="D1651" s="10" t="inlineStr">
        <is>
          <t>Vorleistungen</t>
        </is>
      </c>
      <c r="E1651" s="7" t="n">
        <v>362.07</v>
      </c>
      <c r="F1651" s="7" t="n">
        <v>4344.88</v>
      </c>
    </row>
    <row r="1652" ht="21" customHeight="1">
      <c r="A1652" s="7" t="n">
        <v>2028</v>
      </c>
      <c r="B1652" s="7" t="n">
        <v>3</v>
      </c>
      <c r="C1652" s="10" t="inlineStr">
        <is>
          <t>Vertriebskosten</t>
        </is>
      </c>
      <c r="D1652" s="10" t="inlineStr">
        <is>
          <t>Vertriebskosten</t>
        </is>
      </c>
      <c r="E1652" s="7" t="n">
        <v>11375</v>
      </c>
      <c r="F1652" s="7" t="n">
        <v>136500</v>
      </c>
    </row>
    <row r="1653" ht="21" customHeight="1">
      <c r="A1653" s="7" t="n">
        <v>2031</v>
      </c>
      <c r="B1653" s="7" t="n">
        <v>3</v>
      </c>
      <c r="C1653" s="10" t="inlineStr">
        <is>
          <t>Aufw. so. Hilfs</t>
        </is>
      </c>
      <c r="D1653" s="10" t="inlineStr">
        <is>
          <t>Vorleistungen</t>
        </is>
      </c>
      <c r="E1653" s="7" t="n">
        <v>-17544.22</v>
      </c>
      <c r="F1653" s="7" t="n">
        <v>-210530.6</v>
      </c>
    </row>
    <row r="1654" ht="21" customHeight="1">
      <c r="A1654" s="7" t="n">
        <v>2029</v>
      </c>
      <c r="B1654" s="7" t="n">
        <v>3</v>
      </c>
      <c r="C1654" s="10" t="inlineStr">
        <is>
          <t>Ankauf Rohstoff</t>
        </is>
      </c>
      <c r="D1654" s="10" t="inlineStr">
        <is>
          <t>Vorleistungen</t>
        </is>
      </c>
      <c r="E1654" s="7" t="n">
        <v>1473.64</v>
      </c>
      <c r="F1654" s="7" t="n">
        <v>17683.65</v>
      </c>
    </row>
    <row r="1655" ht="21" customHeight="1">
      <c r="A1655" s="7" t="n">
        <v>2028</v>
      </c>
      <c r="B1655" s="7" t="n">
        <v>3</v>
      </c>
      <c r="C1655" s="10" t="inlineStr">
        <is>
          <t>Sonstige Steuer</t>
        </is>
      </c>
      <c r="D1655" s="10" t="inlineStr">
        <is>
          <t>Fuhrparkkosten</t>
        </is>
      </c>
      <c r="E1655" s="7" t="n">
        <v>1587.15</v>
      </c>
      <c r="F1655" s="7" t="n">
        <v>19045.76</v>
      </c>
    </row>
    <row r="1656" ht="21" customHeight="1">
      <c r="A1656" s="7" t="n">
        <v>2030</v>
      </c>
      <c r="B1656" s="7" t="n">
        <v>3</v>
      </c>
      <c r="C1656" s="10" t="inlineStr">
        <is>
          <t>Weiterber. Frem</t>
        </is>
      </c>
      <c r="D1656" s="10" t="inlineStr">
        <is>
          <t>Vorleistungen</t>
        </is>
      </c>
      <c r="E1656" s="7" t="n">
        <v>0</v>
      </c>
      <c r="F1656" s="7" t="n">
        <v>0</v>
      </c>
    </row>
    <row r="1657" ht="21" customHeight="1">
      <c r="A1657" s="7" t="n">
        <v>2031</v>
      </c>
      <c r="B1657" s="7" t="n">
        <v>3</v>
      </c>
      <c r="C1657" s="10" t="inlineStr">
        <is>
          <t>Miete Behälter</t>
        </is>
      </c>
      <c r="D1657" s="10" t="inlineStr">
        <is>
          <t>Instandh. Betriebsausstattung</t>
        </is>
      </c>
      <c r="E1657" s="7" t="n">
        <v>27.88</v>
      </c>
      <c r="F1657" s="7" t="n">
        <v>334.55</v>
      </c>
    </row>
    <row r="1658" ht="21" customHeight="1">
      <c r="A1658" s="7" t="n">
        <v>2027</v>
      </c>
      <c r="B1658" s="7" t="n">
        <v>3</v>
      </c>
      <c r="C1658" s="10" t="inlineStr">
        <is>
          <t>Miete Grdst/Gebäud</t>
        </is>
      </c>
      <c r="D1658" s="10" t="inlineStr">
        <is>
          <t>Raumkosten</t>
        </is>
      </c>
      <c r="E1658" s="7" t="n">
        <v>15284.77</v>
      </c>
      <c r="F1658" s="7" t="n">
        <v>183417.26</v>
      </c>
    </row>
    <row r="1659" ht="21" customHeight="1">
      <c r="A1659" s="7" t="n">
        <v>2028</v>
      </c>
      <c r="B1659" s="7" t="n">
        <v>3</v>
      </c>
      <c r="C1659" s="10" t="inlineStr">
        <is>
          <t>Aufw. f. Alters</t>
        </is>
      </c>
      <c r="D1659" s="10" t="inlineStr">
        <is>
          <t>Personalaufwand</t>
        </is>
      </c>
      <c r="E1659" s="7" t="n">
        <v>1290.05</v>
      </c>
      <c r="F1659" s="7" t="n">
        <v>15480.56</v>
      </c>
    </row>
    <row r="1660" ht="21" customHeight="1">
      <c r="A1660" s="7" t="n">
        <v>2028</v>
      </c>
      <c r="B1660" s="7" t="n">
        <v>3</v>
      </c>
      <c r="C1660" s="10" t="inlineStr">
        <is>
          <t>Fremdl. Persona</t>
        </is>
      </c>
      <c r="D1660" s="10" t="inlineStr">
        <is>
          <t>Vorleistungen</t>
        </is>
      </c>
      <c r="E1660" s="7" t="n">
        <v>69.04000000000001</v>
      </c>
      <c r="F1660" s="7" t="n">
        <v>828.42</v>
      </c>
    </row>
    <row r="1661" ht="21" customHeight="1">
      <c r="A1661" s="7" t="n">
        <v>2030</v>
      </c>
      <c r="B1661" s="7" t="n">
        <v>3</v>
      </c>
      <c r="C1661" s="10" t="inlineStr">
        <is>
          <t>Vertriebskosten</t>
        </is>
      </c>
      <c r="D1661" s="10" t="inlineStr">
        <is>
          <t>Vertriebskosten</t>
        </is>
      </c>
      <c r="E1661" s="7" t="n">
        <v>12540.94</v>
      </c>
      <c r="F1661" s="7" t="n">
        <v>150491.26</v>
      </c>
    </row>
    <row r="1662" ht="21" customHeight="1">
      <c r="A1662" s="7" t="n">
        <v>2030</v>
      </c>
      <c r="B1662" s="7" t="n">
        <v>3</v>
      </c>
      <c r="C1662" s="10" t="inlineStr">
        <is>
          <t>Aufw. so. Hilfs</t>
        </is>
      </c>
      <c r="D1662" s="10" t="inlineStr">
        <is>
          <t>Vorleistungen</t>
        </is>
      </c>
      <c r="E1662" s="7" t="n">
        <v>-17197.35</v>
      </c>
      <c r="F1662" s="7" t="n">
        <v>-206368.2</v>
      </c>
    </row>
    <row r="1663" ht="21" customHeight="1">
      <c r="A1663" s="7" t="n">
        <v>2029</v>
      </c>
      <c r="B1663" s="7" t="n">
        <v>3</v>
      </c>
      <c r="C1663" s="10" t="inlineStr">
        <is>
          <t>Aufw. so. Hilfs</t>
        </is>
      </c>
      <c r="D1663" s="10" t="inlineStr">
        <is>
          <t>Vorleistungen</t>
        </is>
      </c>
      <c r="E1663" s="7" t="n">
        <v>-16834.66</v>
      </c>
      <c r="F1663" s="7" t="n">
        <v>-202015.88</v>
      </c>
    </row>
    <row r="1664" ht="21" customHeight="1">
      <c r="A1664" s="7" t="n">
        <v>2027</v>
      </c>
      <c r="B1664" s="7" t="n">
        <v>3</v>
      </c>
      <c r="C1664" s="10" t="inlineStr">
        <is>
          <t>Miete PKW</t>
        </is>
      </c>
      <c r="D1664" s="10" t="inlineStr">
        <is>
          <t>Fuhrparkkosten</t>
        </is>
      </c>
      <c r="E1664" s="7" t="n">
        <v>4613.79</v>
      </c>
      <c r="F1664" s="7" t="n">
        <v>55365.51</v>
      </c>
    </row>
    <row r="1665" ht="21" customHeight="1">
      <c r="A1665" s="7" t="n">
        <v>2030</v>
      </c>
      <c r="B1665" s="7" t="n">
        <v>3</v>
      </c>
      <c r="C1665" s="10" t="inlineStr">
        <is>
          <t>Fremdl. Fuhrlei</t>
        </is>
      </c>
      <c r="D1665" s="10" t="inlineStr">
        <is>
          <t>Vorleistungen</t>
        </is>
      </c>
      <c r="E1665" s="7" t="n">
        <v>368.3</v>
      </c>
      <c r="F1665" s="7" t="n">
        <v>4419.56</v>
      </c>
    </row>
    <row r="1666" ht="21" customHeight="1">
      <c r="A1666" s="7" t="n">
        <v>2030</v>
      </c>
      <c r="B1666" s="7" t="n">
        <v>3</v>
      </c>
      <c r="C1666" s="10" t="inlineStr">
        <is>
          <t>Miete PKW</t>
        </is>
      </c>
      <c r="D1666" s="10" t="inlineStr">
        <is>
          <t>Fuhrparkkosten</t>
        </is>
      </c>
      <c r="E1666" s="7" t="n">
        <v>5495.1</v>
      </c>
      <c r="F1666" s="7" t="n">
        <v>65941.19</v>
      </c>
    </row>
    <row r="1667" ht="21" customHeight="1">
      <c r="A1667" s="7" t="n">
        <v>2027</v>
      </c>
      <c r="B1667" s="7" t="n">
        <v>3</v>
      </c>
      <c r="C1667" s="10" t="inlineStr">
        <is>
          <t>Erl. Waren Dt.</t>
        </is>
      </c>
      <c r="D1667" s="10" t="inlineStr">
        <is>
          <t>Gesamtleistung</t>
        </is>
      </c>
      <c r="E1667" s="7" t="n">
        <v>42246.46</v>
      </c>
      <c r="F1667" s="7" t="n">
        <v>506957.51</v>
      </c>
    </row>
    <row r="1668" ht="21" customHeight="1">
      <c r="A1668" s="7" t="n">
        <v>2029</v>
      </c>
      <c r="B1668" s="7" t="n">
        <v>3</v>
      </c>
      <c r="C1668" s="10" t="inlineStr">
        <is>
          <t>Bestandsveraend</t>
        </is>
      </c>
      <c r="D1668" s="10" t="inlineStr">
        <is>
          <t>Gesamtleistung</t>
        </is>
      </c>
      <c r="E1668" s="7" t="n">
        <v>0</v>
      </c>
      <c r="F1668" s="7" t="n">
        <v>0</v>
      </c>
    </row>
    <row r="1669" ht="21" customHeight="1">
      <c r="A1669" s="7" t="n">
        <v>2031</v>
      </c>
      <c r="B1669" s="7" t="n">
        <v>3</v>
      </c>
      <c r="C1669" s="10" t="inlineStr">
        <is>
          <t>Leasing PKW</t>
        </is>
      </c>
      <c r="D1669" s="10" t="inlineStr">
        <is>
          <t>Fuhrparkkosten</t>
        </is>
      </c>
      <c r="E1669" s="7" t="n">
        <v>27699.28</v>
      </c>
      <c r="F1669" s="7" t="n">
        <v>332391.4</v>
      </c>
    </row>
    <row r="1670" ht="21" customHeight="1">
      <c r="A1670" s="7" t="n">
        <v>2029</v>
      </c>
      <c r="B1670" s="7" t="n">
        <v>3</v>
      </c>
      <c r="C1670" s="10" t="inlineStr">
        <is>
          <t>Behaelterkosten</t>
        </is>
      </c>
      <c r="D1670" s="10" t="inlineStr">
        <is>
          <t>Instandh. Betriebsausstattung</t>
        </is>
      </c>
      <c r="E1670" s="7" t="n">
        <v>12.15</v>
      </c>
      <c r="F1670" s="7" t="n">
        <v>145.74</v>
      </c>
    </row>
    <row r="1671" ht="21" customHeight="1">
      <c r="A1671" s="7" t="n">
        <v>2029</v>
      </c>
      <c r="B1671" s="7" t="n">
        <v>3</v>
      </c>
      <c r="C1671" s="10" t="inlineStr">
        <is>
          <t>Aufwand Umlage</t>
        </is>
      </c>
      <c r="D1671" s="10" t="inlineStr">
        <is>
          <t>Verwaltungskosten</t>
        </is>
      </c>
      <c r="E1671" s="7" t="n">
        <v>3589.28</v>
      </c>
      <c r="F1671" s="7" t="n">
        <v>43071.39</v>
      </c>
    </row>
    <row r="1672" ht="21" customHeight="1">
      <c r="A1672" s="7" t="n">
        <v>2030</v>
      </c>
      <c r="B1672" s="7" t="n">
        <v>3</v>
      </c>
      <c r="C1672" s="10" t="inlineStr">
        <is>
          <t>Instandh.Fuhrp</t>
        </is>
      </c>
      <c r="D1672" s="10" t="inlineStr">
        <is>
          <t>Fuhrparkkosten</t>
        </is>
      </c>
      <c r="E1672" s="7" t="n">
        <v>36157.89</v>
      </c>
      <c r="F1672" s="7" t="n">
        <v>433894.62</v>
      </c>
    </row>
    <row r="1673" ht="21" customHeight="1">
      <c r="A1673" s="7" t="n">
        <v>2028</v>
      </c>
      <c r="B1673" s="7" t="n">
        <v>3</v>
      </c>
      <c r="C1673" s="10" t="inlineStr">
        <is>
          <t>Sonderz. Prämie</t>
        </is>
      </c>
      <c r="D1673" s="10" t="inlineStr">
        <is>
          <t>Personalaufwand</t>
        </is>
      </c>
      <c r="E1673" s="7" t="n">
        <v>21386.26</v>
      </c>
      <c r="F1673" s="7" t="n">
        <v>256635.15</v>
      </c>
    </row>
    <row r="1674" ht="21" customHeight="1">
      <c r="A1674" s="7" t="n">
        <v>2029</v>
      </c>
      <c r="B1674" s="7" t="n">
        <v>3</v>
      </c>
      <c r="C1674" s="10" t="inlineStr">
        <is>
          <t>Aufw. f. Alters</t>
        </is>
      </c>
      <c r="D1674" s="10" t="inlineStr">
        <is>
          <t>Personalaufwand</t>
        </is>
      </c>
      <c r="E1674" s="7" t="n">
        <v>1366.43</v>
      </c>
      <c r="F1674" s="7" t="n">
        <v>16397.15</v>
      </c>
    </row>
    <row r="1675" ht="21" customHeight="1">
      <c r="A1675" s="7" t="n">
        <v>2027</v>
      </c>
      <c r="B1675" s="7" t="n">
        <v>3</v>
      </c>
      <c r="C1675" s="10" t="inlineStr">
        <is>
          <t>Ertr. weiterber</t>
        </is>
      </c>
      <c r="D1675" s="10" t="inlineStr">
        <is>
          <t>Gesamtleistung</t>
        </is>
      </c>
      <c r="E1675" s="7" t="n">
        <v>919.41</v>
      </c>
      <c r="F1675" s="7" t="n">
        <v>11032.96</v>
      </c>
    </row>
    <row r="1676" ht="21" customHeight="1">
      <c r="A1676" s="7" t="n">
        <v>2029</v>
      </c>
      <c r="B1676" s="7" t="n">
        <v>3</v>
      </c>
      <c r="C1676" s="10" t="inlineStr">
        <is>
          <t>So. betr. Aufwa</t>
        </is>
      </c>
      <c r="D1676" s="10" t="inlineStr">
        <is>
          <t>Verwaltungskosten</t>
        </is>
      </c>
      <c r="E1676" s="7" t="n">
        <v>693.25</v>
      </c>
      <c r="F1676" s="7" t="n">
        <v>8319.02</v>
      </c>
    </row>
    <row r="1677" ht="21" customHeight="1">
      <c r="A1677" s="7" t="n">
        <v>2031</v>
      </c>
      <c r="B1677" s="7" t="n">
        <v>3</v>
      </c>
      <c r="C1677" s="10" t="inlineStr">
        <is>
          <t>Ertr. weiterber</t>
        </is>
      </c>
      <c r="D1677" s="10" t="inlineStr">
        <is>
          <t>Gesamtleistung</t>
        </is>
      </c>
      <c r="E1677" s="7" t="n">
        <v>1173.93</v>
      </c>
      <c r="F1677" s="7" t="n">
        <v>14087.11</v>
      </c>
    </row>
    <row r="1678" ht="21" customHeight="1">
      <c r="A1678" s="7" t="n">
        <v>2031</v>
      </c>
      <c r="B1678" s="7" t="n">
        <v>3</v>
      </c>
      <c r="C1678" s="10" t="inlineStr">
        <is>
          <t>Ueb. bezog.Leis</t>
        </is>
      </c>
      <c r="D1678" s="10" t="inlineStr">
        <is>
          <t>Vorleistungen</t>
        </is>
      </c>
      <c r="E1678" s="7" t="n">
        <v>1404446.73</v>
      </c>
      <c r="F1678" s="7" t="n">
        <v>16853360.74</v>
      </c>
    </row>
    <row r="1679" ht="21" customHeight="1">
      <c r="A1679" s="7" t="n">
        <v>2027</v>
      </c>
      <c r="B1679" s="7" t="n">
        <v>3</v>
      </c>
      <c r="C1679" s="10" t="inlineStr">
        <is>
          <t>Fremdl. Fuhrlei</t>
        </is>
      </c>
      <c r="D1679" s="10" t="inlineStr">
        <is>
          <t>Vorleistungen</t>
        </is>
      </c>
      <c r="E1679" s="7" t="n">
        <v>371.09</v>
      </c>
      <c r="F1679" s="7" t="n">
        <v>4453.13</v>
      </c>
    </row>
    <row r="1680" ht="21" customHeight="1">
      <c r="A1680" s="7" t="n">
        <v>2027</v>
      </c>
      <c r="B1680" s="7" t="n">
        <v>3</v>
      </c>
      <c r="C1680" s="10" t="inlineStr">
        <is>
          <t>Behaelterkosten</t>
        </is>
      </c>
      <c r="D1680" s="10" t="inlineStr">
        <is>
          <t>Instandh. Betriebsausstattung</t>
        </is>
      </c>
      <c r="E1680" s="7" t="n">
        <v>11.02</v>
      </c>
      <c r="F1680" s="7" t="n">
        <v>132.19</v>
      </c>
    </row>
    <row r="1681" ht="21" customHeight="1">
      <c r="A1681" s="7" t="n">
        <v>2027</v>
      </c>
      <c r="B1681" s="7" t="n">
        <v>3</v>
      </c>
      <c r="C1681" s="10" t="inlineStr">
        <is>
          <t>Ueb Lohn-Gehalt</t>
        </is>
      </c>
      <c r="D1681" s="10" t="inlineStr">
        <is>
          <t>Personalaufwand</t>
        </is>
      </c>
      <c r="E1681" s="7" t="n">
        <v>30579.25</v>
      </c>
      <c r="F1681" s="7" t="n">
        <v>366951</v>
      </c>
    </row>
    <row r="1682" ht="21" customHeight="1">
      <c r="A1682" s="7" t="n">
        <v>2028</v>
      </c>
      <c r="B1682" s="7" t="n">
        <v>3</v>
      </c>
      <c r="C1682" s="10" t="inlineStr">
        <is>
          <t>Raumkosten</t>
        </is>
      </c>
      <c r="D1682" s="10" t="inlineStr">
        <is>
          <t>Raumkosten</t>
        </is>
      </c>
      <c r="E1682" s="7" t="n">
        <v>7023.98</v>
      </c>
      <c r="F1682" s="7" t="n">
        <v>84287.78</v>
      </c>
    </row>
    <row r="1683" ht="21" customHeight="1">
      <c r="A1683" s="7" t="n">
        <v>2031</v>
      </c>
      <c r="B1683" s="7" t="n">
        <v>3</v>
      </c>
      <c r="C1683" s="10" t="inlineStr">
        <is>
          <t>Bestandsveraend</t>
        </is>
      </c>
      <c r="D1683" s="10" t="inlineStr">
        <is>
          <t>Gesamtleistung</t>
        </is>
      </c>
      <c r="E1683" s="7" t="n">
        <v>0</v>
      </c>
      <c r="F1683" s="7" t="n">
        <v>0</v>
      </c>
    </row>
    <row r="1684" ht="21" customHeight="1">
      <c r="A1684" s="7" t="n">
        <v>2029</v>
      </c>
      <c r="B1684" s="7" t="n">
        <v>3</v>
      </c>
      <c r="C1684" s="10" t="inlineStr">
        <is>
          <t>Lohn + Gehalt</t>
        </is>
      </c>
      <c r="D1684" s="10" t="inlineStr">
        <is>
          <t>Personalaufwand</t>
        </is>
      </c>
      <c r="E1684" s="7" t="n">
        <v>356250.11</v>
      </c>
      <c r="F1684" s="7" t="n">
        <v>4275001.35</v>
      </c>
    </row>
    <row r="1685" ht="21" customHeight="1">
      <c r="A1685" s="7" t="n">
        <v>2029</v>
      </c>
      <c r="B1685" s="7" t="n">
        <v>3</v>
      </c>
      <c r="C1685" s="10" t="inlineStr">
        <is>
          <t>Aufw. Heizmat.</t>
        </is>
      </c>
      <c r="D1685" s="10" t="inlineStr">
        <is>
          <t>Vorleistungen</t>
        </is>
      </c>
      <c r="E1685" s="7" t="n">
        <v>245.07</v>
      </c>
      <c r="F1685" s="7" t="n">
        <v>2940.88</v>
      </c>
    </row>
    <row r="1686" ht="21" customHeight="1">
      <c r="A1686" s="7" t="n">
        <v>2031</v>
      </c>
      <c r="B1686" s="7" t="n">
        <v>3</v>
      </c>
      <c r="C1686" s="10" t="inlineStr">
        <is>
          <t>Verwaltungskost</t>
        </is>
      </c>
      <c r="D1686" s="10" t="inlineStr">
        <is>
          <t>Verwaltungskosten</t>
        </is>
      </c>
      <c r="E1686" s="7" t="n">
        <v>7531.31</v>
      </c>
      <c r="F1686" s="7" t="n">
        <v>90375.69</v>
      </c>
    </row>
    <row r="1687" ht="21" customHeight="1">
      <c r="A1687" s="7" t="n">
        <v>2028</v>
      </c>
      <c r="B1687" s="7" t="n">
        <v>3</v>
      </c>
      <c r="C1687" s="10" t="inlineStr">
        <is>
          <t>Erl. Waren Dt.</t>
        </is>
      </c>
      <c r="D1687" s="10" t="inlineStr">
        <is>
          <t>Gesamtleistung</t>
        </is>
      </c>
      <c r="E1687" s="7" t="n">
        <v>44950.49</v>
      </c>
      <c r="F1687" s="7" t="n">
        <v>539405.87</v>
      </c>
    </row>
    <row r="1688" ht="21" customHeight="1">
      <c r="A1688" s="7" t="n">
        <v>2030</v>
      </c>
      <c r="B1688" s="7" t="n">
        <v>3</v>
      </c>
      <c r="C1688" s="10" t="inlineStr">
        <is>
          <t>Uebr.neutr. Ert</t>
        </is>
      </c>
      <c r="D1688" s="10" t="inlineStr">
        <is>
          <t>Gesamtleistung</t>
        </is>
      </c>
      <c r="E1688" s="7" t="n">
        <v>207.38</v>
      </c>
      <c r="F1688" s="7" t="n">
        <v>2488.5</v>
      </c>
    </row>
    <row r="1689" ht="21" customHeight="1">
      <c r="A1689" s="7" t="n">
        <v>2030</v>
      </c>
      <c r="B1689" s="7" t="n">
        <v>3</v>
      </c>
      <c r="C1689" s="10" t="inlineStr">
        <is>
          <t>Raumkosten</t>
        </is>
      </c>
      <c r="D1689" s="10" t="inlineStr">
        <is>
          <t>Raumkosten</t>
        </is>
      </c>
      <c r="E1689" s="7" t="n">
        <v>7307.75</v>
      </c>
      <c r="F1689" s="7" t="n">
        <v>87693</v>
      </c>
    </row>
    <row r="1690" ht="21" customHeight="1">
      <c r="A1690" s="7" t="n">
        <v>2030</v>
      </c>
      <c r="B1690" s="7" t="n">
        <v>3</v>
      </c>
      <c r="C1690" s="10" t="inlineStr">
        <is>
          <t>Fremdl. Persona</t>
        </is>
      </c>
      <c r="D1690" s="10" t="inlineStr">
        <is>
          <t>Vorleistungen</t>
        </is>
      </c>
      <c r="E1690" s="7" t="n">
        <v>76.56999999999999</v>
      </c>
      <c r="F1690" s="7" t="n">
        <v>918.79</v>
      </c>
    </row>
    <row r="1691" ht="21" customHeight="1">
      <c r="A1691" s="7" t="n">
        <v>2027</v>
      </c>
      <c r="B1691" s="7" t="n">
        <v>3</v>
      </c>
      <c r="C1691" s="10" t="inlineStr">
        <is>
          <t>Leasing PKW</t>
        </is>
      </c>
      <c r="D1691" s="10" t="inlineStr">
        <is>
          <t>Fuhrparkkosten</t>
        </is>
      </c>
      <c r="E1691" s="7" t="n">
        <v>21940.43</v>
      </c>
      <c r="F1691" s="7" t="n">
        <v>263285.11</v>
      </c>
    </row>
    <row r="1692" ht="21" customHeight="1">
      <c r="A1692" s="7" t="n">
        <v>2030</v>
      </c>
      <c r="B1692" s="7" t="n">
        <v>3</v>
      </c>
      <c r="C1692" s="10" t="inlineStr">
        <is>
          <t>Ertrag KFZ-Nutz</t>
        </is>
      </c>
      <c r="D1692" s="10" t="inlineStr">
        <is>
          <t>Gesamtleistung</t>
        </is>
      </c>
      <c r="E1692" s="7" t="n">
        <v>9193.41</v>
      </c>
      <c r="F1692" s="7" t="n">
        <v>110320.94</v>
      </c>
    </row>
    <row r="1693" ht="21" customHeight="1">
      <c r="A1693" s="7" t="n">
        <v>2028</v>
      </c>
      <c r="B1693" s="7" t="n">
        <v>3</v>
      </c>
      <c r="C1693" s="10" t="inlineStr">
        <is>
          <t>Uebr.neutr. Ert</t>
        </is>
      </c>
      <c r="D1693" s="10" t="inlineStr">
        <is>
          <t>Gesamtleistung</t>
        </is>
      </c>
      <c r="E1693" s="7" t="n">
        <v>151.92</v>
      </c>
      <c r="F1693" s="7" t="n">
        <v>1823.08</v>
      </c>
    </row>
    <row r="1694" ht="21" customHeight="1">
      <c r="A1694" s="7" t="n">
        <v>2030</v>
      </c>
      <c r="B1694" s="7" t="n">
        <v>3</v>
      </c>
      <c r="C1694" s="10" t="inlineStr">
        <is>
          <t>Soziale Abgaben</t>
        </is>
      </c>
      <c r="D1694" s="10" t="inlineStr">
        <is>
          <t>Personalaufwand</t>
        </is>
      </c>
      <c r="E1694" s="7" t="n">
        <v>104141.87</v>
      </c>
      <c r="F1694" s="7" t="n">
        <v>1249702.47</v>
      </c>
    </row>
    <row r="1695" ht="21" customHeight="1">
      <c r="A1695" s="7" t="n">
        <v>2030</v>
      </c>
      <c r="B1695" s="7" t="n">
        <v>3</v>
      </c>
      <c r="C1695" s="10" t="inlineStr">
        <is>
          <t>Ankauf Rohstoff</t>
        </is>
      </c>
      <c r="D1695" s="10" t="inlineStr">
        <is>
          <t>Vorleistungen</t>
        </is>
      </c>
      <c r="E1695" s="7" t="n">
        <v>1483.55</v>
      </c>
      <c r="F1695" s="7" t="n">
        <v>17802.65</v>
      </c>
    </row>
    <row r="1696" ht="21" customHeight="1">
      <c r="A1696" s="7" t="n">
        <v>2031</v>
      </c>
      <c r="B1696" s="7" t="n">
        <v>3</v>
      </c>
      <c r="C1696" s="10" t="inlineStr">
        <is>
          <t>Aufw. Heizmat.</t>
        </is>
      </c>
      <c r="D1696" s="10" t="inlineStr">
        <is>
          <t>Vorleistungen</t>
        </is>
      </c>
      <c r="E1696" s="7" t="n">
        <v>216.16</v>
      </c>
      <c r="F1696" s="7" t="n">
        <v>2593.97</v>
      </c>
    </row>
    <row r="1697" ht="21" customHeight="1">
      <c r="A1697" s="7" t="n">
        <v>2030</v>
      </c>
      <c r="B1697" s="7" t="n">
        <v>3</v>
      </c>
      <c r="C1697" s="10" t="inlineStr">
        <is>
          <t>IT-Aufwendungen</t>
        </is>
      </c>
      <c r="D1697" s="10" t="inlineStr">
        <is>
          <t>Verwaltungskosten</t>
        </is>
      </c>
      <c r="E1697" s="7" t="n">
        <v>12671.51</v>
      </c>
      <c r="F1697" s="7" t="n">
        <v>152058.16</v>
      </c>
    </row>
    <row r="1698" ht="21" customHeight="1">
      <c r="A1698" s="7" t="n">
        <v>2027</v>
      </c>
      <c r="B1698" s="7" t="n">
        <v>3</v>
      </c>
      <c r="C1698" s="10" t="inlineStr">
        <is>
          <t>Treibstoffe, Oe</t>
        </is>
      </c>
      <c r="D1698" s="10" t="inlineStr">
        <is>
          <t>Fuhrparkkosten</t>
        </is>
      </c>
      <c r="E1698" s="7" t="n">
        <v>28695.87</v>
      </c>
      <c r="F1698" s="7" t="n">
        <v>344350.48</v>
      </c>
    </row>
    <row r="1699" ht="21" customHeight="1">
      <c r="A1699" s="7" t="n">
        <v>2028</v>
      </c>
      <c r="B1699" s="7" t="n">
        <v>3</v>
      </c>
      <c r="C1699" s="10" t="inlineStr">
        <is>
          <t>Aufw. Heizmat.</t>
        </is>
      </c>
      <c r="D1699" s="10" t="inlineStr">
        <is>
          <t>Vorleistungen</t>
        </is>
      </c>
      <c r="E1699" s="7" t="n">
        <v>260.43</v>
      </c>
      <c r="F1699" s="7" t="n">
        <v>3125.13</v>
      </c>
    </row>
    <row r="1700" ht="21" customHeight="1">
      <c r="A1700" s="7" t="n">
        <v>2031</v>
      </c>
      <c r="B1700" s="7" t="n">
        <v>3</v>
      </c>
      <c r="C1700" s="10" t="inlineStr">
        <is>
          <t>Ertrag KFZ-Nutz</t>
        </is>
      </c>
      <c r="D1700" s="10" t="inlineStr">
        <is>
          <t>Gesamtleistung</t>
        </is>
      </c>
      <c r="E1700" s="7" t="n">
        <v>9597.290000000001</v>
      </c>
      <c r="F1700" s="7" t="n">
        <v>115167.5</v>
      </c>
    </row>
    <row r="1701" ht="21" customHeight="1">
      <c r="A1701" s="7" t="n">
        <v>2027</v>
      </c>
      <c r="B1701" s="7" t="n">
        <v>3</v>
      </c>
      <c r="C1701" s="10" t="inlineStr">
        <is>
          <t>Raumkosten</t>
        </is>
      </c>
      <c r="D1701" s="10" t="inlineStr">
        <is>
          <t>Raumkosten</t>
        </is>
      </c>
      <c r="E1701" s="7" t="n">
        <v>5046.85</v>
      </c>
      <c r="F1701" s="7" t="n">
        <v>60562.14</v>
      </c>
    </row>
    <row r="1702" ht="21" customHeight="1">
      <c r="A1702" s="7" t="n">
        <v>2028</v>
      </c>
      <c r="B1702" s="7" t="n">
        <v>3</v>
      </c>
      <c r="C1702" s="10" t="inlineStr">
        <is>
          <t>Soziale Abgaben</t>
        </is>
      </c>
      <c r="D1702" s="10" t="inlineStr">
        <is>
          <t>Personalaufwand</t>
        </is>
      </c>
      <c r="E1702" s="7" t="n">
        <v>85007.57000000001</v>
      </c>
      <c r="F1702" s="7" t="n">
        <v>1020090.84</v>
      </c>
    </row>
    <row r="1703" ht="21" customHeight="1">
      <c r="A1703" s="7" t="n">
        <v>2029</v>
      </c>
      <c r="B1703" s="7" t="n">
        <v>3</v>
      </c>
      <c r="C1703" s="10" t="inlineStr">
        <is>
          <t>Miete Grdst/Gebäud</t>
        </is>
      </c>
      <c r="D1703" s="10" t="inlineStr">
        <is>
          <t>Raumkosten</t>
        </is>
      </c>
      <c r="E1703" s="7" t="n">
        <v>18238.55</v>
      </c>
      <c r="F1703" s="7" t="n">
        <v>218862.64</v>
      </c>
    </row>
    <row r="1704" ht="21" customHeight="1">
      <c r="A1704" s="7" t="n">
        <v>2031</v>
      </c>
      <c r="B1704" s="7" t="n">
        <v>3</v>
      </c>
      <c r="C1704" s="10" t="inlineStr">
        <is>
          <t>Raumkosten</t>
        </is>
      </c>
      <c r="D1704" s="10" t="inlineStr">
        <is>
          <t>Raumkosten</t>
        </is>
      </c>
      <c r="E1704" s="7" t="n">
        <v>7453.91</v>
      </c>
      <c r="F1704" s="7" t="n">
        <v>89446.89</v>
      </c>
    </row>
    <row r="1705" ht="21" customHeight="1">
      <c r="A1705" s="7" t="n">
        <v>2031</v>
      </c>
      <c r="B1705" s="7" t="n">
        <v>3</v>
      </c>
      <c r="C1705" s="10" t="inlineStr">
        <is>
          <t>Behaelterkosten</t>
        </is>
      </c>
      <c r="D1705" s="10" t="inlineStr">
        <is>
          <t>Instandh. Betriebsausstattung</t>
        </is>
      </c>
      <c r="E1705" s="7" t="n">
        <v>13.39</v>
      </c>
      <c r="F1705" s="7" t="n">
        <v>160.68</v>
      </c>
    </row>
    <row r="1706" ht="21" customHeight="1">
      <c r="A1706" s="7" t="n">
        <v>2031</v>
      </c>
      <c r="B1706" s="7" t="n">
        <v>3</v>
      </c>
      <c r="C1706" s="10" t="inlineStr">
        <is>
          <t>Instandh.Fuhrp</t>
        </is>
      </c>
      <c r="D1706" s="10" t="inlineStr">
        <is>
          <t>Fuhrparkkosten</t>
        </is>
      </c>
      <c r="E1706" s="7" t="n">
        <v>38327.36</v>
      </c>
      <c r="F1706" s="7" t="n">
        <v>459928.28</v>
      </c>
    </row>
    <row r="1707" ht="21" customHeight="1">
      <c r="A1707" s="7" t="n">
        <v>2030</v>
      </c>
      <c r="B1707" s="7" t="n">
        <v>3</v>
      </c>
      <c r="C1707" s="10" t="inlineStr">
        <is>
          <t>Ueb. bezog.Leis</t>
        </is>
      </c>
      <c r="D1707" s="10" t="inlineStr">
        <is>
          <t>Vorleistungen</t>
        </is>
      </c>
      <c r="E1707" s="7" t="n">
        <v>1385029.28</v>
      </c>
      <c r="F1707" s="7" t="n">
        <v>16620351.38</v>
      </c>
    </row>
    <row r="1708" ht="21" customHeight="1">
      <c r="A1708" s="7" t="n">
        <v>2027</v>
      </c>
      <c r="B1708" s="7" t="n">
        <v>3</v>
      </c>
      <c r="C1708" s="10" t="inlineStr">
        <is>
          <t>Miete LKW,Schiffe</t>
        </is>
      </c>
      <c r="D1708" s="10" t="inlineStr">
        <is>
          <t>Fuhrparkkosten</t>
        </is>
      </c>
      <c r="E1708" s="7" t="n">
        <v>36751.61</v>
      </c>
      <c r="F1708" s="7" t="n">
        <v>441019.28</v>
      </c>
    </row>
    <row r="1709" ht="21" customHeight="1">
      <c r="A1709" s="7" t="n">
        <v>2030</v>
      </c>
      <c r="B1709" s="7" t="n">
        <v>3</v>
      </c>
      <c r="C1709" s="10" t="inlineStr">
        <is>
          <t>Leasing LKW</t>
        </is>
      </c>
      <c r="D1709" s="10" t="inlineStr">
        <is>
          <t>Fuhrparkkosten</t>
        </is>
      </c>
      <c r="E1709" s="7" t="n">
        <v>2745.62</v>
      </c>
      <c r="F1709" s="7" t="n">
        <v>32947.44</v>
      </c>
    </row>
    <row r="1710" ht="21" customHeight="1">
      <c r="A1710" s="7" t="n">
        <v>2031</v>
      </c>
      <c r="B1710" s="7" t="n">
        <v>3</v>
      </c>
      <c r="C1710" s="10" t="inlineStr">
        <is>
          <t>Vertriebskosten</t>
        </is>
      </c>
      <c r="D1710" s="10" t="inlineStr">
        <is>
          <t>Vertriebskosten</t>
        </is>
      </c>
      <c r="E1710" s="7" t="n">
        <v>13167.99</v>
      </c>
      <c r="F1710" s="7" t="n">
        <v>158015.82</v>
      </c>
    </row>
    <row r="1711" ht="21" customHeight="1">
      <c r="A1711" s="7" t="n">
        <v>2028</v>
      </c>
      <c r="B1711" s="7" t="n">
        <v>3</v>
      </c>
      <c r="C1711" s="10" t="inlineStr">
        <is>
          <t>Behaelterkosten</t>
        </is>
      </c>
      <c r="D1711" s="10" t="inlineStr">
        <is>
          <t>Instandh. Betriebsausstattung</t>
        </is>
      </c>
      <c r="E1711" s="7" t="n">
        <v>11.57</v>
      </c>
      <c r="F1711" s="7" t="n">
        <v>138.8</v>
      </c>
    </row>
    <row r="1712" ht="21" customHeight="1">
      <c r="A1712" s="7" t="n">
        <v>2030</v>
      </c>
      <c r="B1712" s="7" t="n">
        <v>3</v>
      </c>
      <c r="C1712" s="10" t="inlineStr">
        <is>
          <t>Verwaltungskost</t>
        </is>
      </c>
      <c r="D1712" s="10" t="inlineStr">
        <is>
          <t>Verwaltungskosten</t>
        </is>
      </c>
      <c r="E1712" s="7" t="n">
        <v>7311.95</v>
      </c>
      <c r="F1712" s="7" t="n">
        <v>87743.38</v>
      </c>
    </row>
    <row r="1713" ht="21" customHeight="1">
      <c r="A1713" s="7" t="n">
        <v>2030</v>
      </c>
      <c r="B1713" s="7" t="n">
        <v>3</v>
      </c>
      <c r="C1713" s="10" t="inlineStr">
        <is>
          <t>Rechts- u. Beratungs</t>
        </is>
      </c>
      <c r="D1713" s="10" t="inlineStr">
        <is>
          <t>Verwaltungskosten</t>
        </is>
      </c>
      <c r="E1713" s="7" t="n">
        <v>28013.14</v>
      </c>
      <c r="F1713" s="7" t="n">
        <v>336157.66</v>
      </c>
    </row>
    <row r="1714" ht="21" customHeight="1">
      <c r="A1714" s="7" t="n">
        <v>2028</v>
      </c>
      <c r="B1714" s="7" t="n">
        <v>3</v>
      </c>
      <c r="C1714" s="10" t="inlineStr">
        <is>
          <t>Sonst Fuhrparkkosten</t>
        </is>
      </c>
      <c r="D1714" s="10" t="inlineStr">
        <is>
          <t>Fuhrparkkosten</t>
        </is>
      </c>
      <c r="E1714" s="7" t="n">
        <v>5288.59</v>
      </c>
      <c r="F1714" s="7" t="n">
        <v>63463.1</v>
      </c>
    </row>
    <row r="1715" ht="21" customHeight="1">
      <c r="A1715" s="7" t="n">
        <v>2029</v>
      </c>
      <c r="B1715" s="7" t="n">
        <v>3</v>
      </c>
      <c r="C1715" s="10" t="inlineStr">
        <is>
          <t>Erl. so. DL Dt.</t>
        </is>
      </c>
      <c r="D1715" s="10" t="inlineStr">
        <is>
          <t>Gesamtleistung</t>
        </is>
      </c>
      <c r="E1715" s="7" t="n">
        <v>2200755.15</v>
      </c>
      <c r="F1715" s="7" t="n">
        <v>26409061.76</v>
      </c>
    </row>
    <row r="1716" ht="21" customHeight="1">
      <c r="A1716" s="7" t="n">
        <v>2031</v>
      </c>
      <c r="B1716" s="7" t="n">
        <v>3</v>
      </c>
      <c r="C1716" s="10" t="inlineStr">
        <is>
          <t>Uebr.neutr. Ert</t>
        </is>
      </c>
      <c r="D1716" s="10" t="inlineStr">
        <is>
          <t>Gesamtleistung</t>
        </is>
      </c>
      <c r="E1716" s="7" t="n">
        <v>227.28</v>
      </c>
      <c r="F1716" s="7" t="n">
        <v>2727.33</v>
      </c>
    </row>
    <row r="1717" ht="21" customHeight="1">
      <c r="A1717" s="7" t="n">
        <v>2030</v>
      </c>
      <c r="B1717" s="7" t="n">
        <v>3</v>
      </c>
      <c r="C1717" s="10" t="inlineStr">
        <is>
          <t>Erl. Waren Dt.</t>
        </is>
      </c>
      <c r="D1717" s="10" t="inlineStr">
        <is>
          <t>Gesamtleistung</t>
        </is>
      </c>
      <c r="E1717" s="7" t="n">
        <v>49038.99</v>
      </c>
      <c r="F1717" s="7" t="n">
        <v>588467.85</v>
      </c>
    </row>
    <row r="1718" ht="21" customHeight="1">
      <c r="A1718" s="7" t="n">
        <v>2028</v>
      </c>
      <c r="B1718" s="7" t="n">
        <v>3</v>
      </c>
      <c r="C1718" s="10" t="inlineStr">
        <is>
          <t>Weiterber. Frem</t>
        </is>
      </c>
      <c r="D1718" s="10" t="inlineStr">
        <is>
          <t>Vorleistungen</t>
        </is>
      </c>
      <c r="E1718" s="7" t="n">
        <v>0</v>
      </c>
      <c r="F1718" s="7" t="n">
        <v>0</v>
      </c>
    </row>
    <row r="1719" ht="21" customHeight="1">
      <c r="A1719" s="7" t="n">
        <v>2027</v>
      </c>
      <c r="B1719" s="7" t="n">
        <v>3</v>
      </c>
      <c r="C1719" s="10" t="inlineStr">
        <is>
          <t>IT-Aufwendungen</t>
        </is>
      </c>
      <c r="D1719" s="10" t="inlineStr">
        <is>
          <t>Verwaltungskosten</t>
        </is>
      </c>
      <c r="E1719" s="7" t="n">
        <v>11596.23</v>
      </c>
      <c r="F1719" s="7" t="n">
        <v>139154.76</v>
      </c>
    </row>
    <row r="1720" ht="21" customHeight="1">
      <c r="A1720" s="7" t="n">
        <v>2028</v>
      </c>
      <c r="B1720" s="7" t="n">
        <v>3</v>
      </c>
      <c r="C1720" s="10" t="inlineStr">
        <is>
          <t>Leasing LKW</t>
        </is>
      </c>
      <c r="D1720" s="10" t="inlineStr">
        <is>
          <t>Fuhrparkkosten</t>
        </is>
      </c>
      <c r="E1720" s="7" t="n">
        <v>2443.59</v>
      </c>
      <c r="F1720" s="7" t="n">
        <v>29323.11</v>
      </c>
    </row>
    <row r="1721" ht="21" customHeight="1">
      <c r="A1721" s="7" t="n">
        <v>2031</v>
      </c>
      <c r="B1721" s="7" t="n">
        <v>3</v>
      </c>
      <c r="C1721" s="10" t="inlineStr">
        <is>
          <t>Weiterber. Frem</t>
        </is>
      </c>
      <c r="D1721" s="10" t="inlineStr">
        <is>
          <t>Vorleistungen</t>
        </is>
      </c>
      <c r="E1721" s="7" t="n">
        <v>0</v>
      </c>
      <c r="F1721" s="7" t="n">
        <v>0</v>
      </c>
    </row>
    <row r="1722" ht="21" customHeight="1">
      <c r="A1722" s="7" t="n">
        <v>2028</v>
      </c>
      <c r="B1722" s="7" t="n">
        <v>3</v>
      </c>
      <c r="C1722" s="10" t="inlineStr">
        <is>
          <t>Lohn + Gehalt</t>
        </is>
      </c>
      <c r="D1722" s="10" t="inlineStr">
        <is>
          <t>Personalaufwand</t>
        </is>
      </c>
      <c r="E1722" s="7" t="n">
        <v>321097.26</v>
      </c>
      <c r="F1722" s="7" t="n">
        <v>3853167.13</v>
      </c>
    </row>
    <row r="1723" ht="21" customHeight="1">
      <c r="A1723" s="7" t="n">
        <v>2029</v>
      </c>
      <c r="B1723" s="7" t="n">
        <v>3</v>
      </c>
      <c r="C1723" s="10" t="inlineStr">
        <is>
          <t>Miete LKW,Schiffe</t>
        </is>
      </c>
      <c r="D1723" s="10" t="inlineStr">
        <is>
          <t>Fuhrparkkosten</t>
        </is>
      </c>
      <c r="E1723" s="7" t="n">
        <v>41294.11</v>
      </c>
      <c r="F1723" s="7" t="n">
        <v>495529.28</v>
      </c>
    </row>
    <row r="1724" ht="21" customHeight="1">
      <c r="A1724" s="7" t="n">
        <v>2030</v>
      </c>
      <c r="B1724" s="7" t="n">
        <v>3</v>
      </c>
      <c r="C1724" s="10" t="inlineStr">
        <is>
          <t>Erl. so. DL Dt.</t>
        </is>
      </c>
      <c r="D1724" s="10" t="inlineStr">
        <is>
          <t>Gesamtleistung</t>
        </is>
      </c>
      <c r="E1724" s="7" t="n">
        <v>2311684.01</v>
      </c>
      <c r="F1724" s="7" t="n">
        <v>27740208.09</v>
      </c>
    </row>
    <row r="1725" ht="21" customHeight="1">
      <c r="A1725" s="7" t="n">
        <v>2030</v>
      </c>
      <c r="B1725" s="7" t="n">
        <v>3</v>
      </c>
      <c r="C1725" s="10" t="inlineStr">
        <is>
          <t>Versicherungskosten</t>
        </is>
      </c>
      <c r="D1725" s="10" t="inlineStr">
        <is>
          <t>Verwaltungskosten</t>
        </is>
      </c>
      <c r="E1725" s="7" t="n">
        <v>11790.1</v>
      </c>
      <c r="F1725" s="7" t="n">
        <v>141481.23</v>
      </c>
    </row>
    <row r="1726" ht="21" customHeight="1">
      <c r="A1726" s="7" t="n">
        <v>2029</v>
      </c>
      <c r="B1726" s="7" t="n">
        <v>3</v>
      </c>
      <c r="C1726" s="10" t="inlineStr">
        <is>
          <t>Sonstige Steuer</t>
        </is>
      </c>
      <c r="D1726" s="10" t="inlineStr">
        <is>
          <t>Fuhrparkkosten</t>
        </is>
      </c>
      <c r="E1726" s="7" t="n">
        <v>1682.38</v>
      </c>
      <c r="F1726" s="7" t="n">
        <v>20188.51</v>
      </c>
    </row>
    <row r="1727" ht="21" customHeight="1">
      <c r="A1727" s="7" t="n">
        <v>2027</v>
      </c>
      <c r="B1727" s="7" t="n">
        <v>3</v>
      </c>
      <c r="C1727" s="10" t="inlineStr">
        <is>
          <t>Sonst Fuhrparkkosten</t>
        </is>
      </c>
      <c r="D1727" s="10" t="inlineStr">
        <is>
          <t>Fuhrparkkosten</t>
        </is>
      </c>
      <c r="E1727" s="7" t="n">
        <v>4989.24</v>
      </c>
      <c r="F1727" s="7" t="n">
        <v>59870.86</v>
      </c>
    </row>
    <row r="1728" ht="21" customHeight="1">
      <c r="A1728" s="7" t="n">
        <v>2028</v>
      </c>
      <c r="B1728" s="7" t="n">
        <v>3</v>
      </c>
      <c r="C1728" s="10" t="inlineStr">
        <is>
          <t>Bestandsveraend</t>
        </is>
      </c>
      <c r="D1728" s="10" t="inlineStr">
        <is>
          <t>Gesamtleistung</t>
        </is>
      </c>
      <c r="E1728" s="7" t="n">
        <v>0</v>
      </c>
      <c r="F1728" s="7" t="n">
        <v>0</v>
      </c>
    </row>
    <row r="1729" ht="21" customHeight="1">
      <c r="A1729" s="7" t="n">
        <v>2028</v>
      </c>
      <c r="B1729" s="7" t="n">
        <v>3</v>
      </c>
      <c r="C1729" s="10" t="inlineStr">
        <is>
          <t>So. betr. Aufwa</t>
        </is>
      </c>
      <c r="D1729" s="10" t="inlineStr">
        <is>
          <t>Verwaltungskosten</t>
        </is>
      </c>
      <c r="E1729" s="7" t="n">
        <v>673.0599999999999</v>
      </c>
      <c r="F1729" s="7" t="n">
        <v>8076.71</v>
      </c>
    </row>
    <row r="1730" ht="21" customHeight="1">
      <c r="A1730" s="7" t="n">
        <v>2030</v>
      </c>
      <c r="B1730" s="7" t="n">
        <v>3</v>
      </c>
      <c r="C1730" s="10" t="inlineStr">
        <is>
          <t>Miete LKW,Schiffe</t>
        </is>
      </c>
      <c r="D1730" s="10" t="inlineStr">
        <is>
          <t>Fuhrparkkosten</t>
        </is>
      </c>
      <c r="E1730" s="7" t="n">
        <v>43771.75</v>
      </c>
      <c r="F1730" s="7" t="n">
        <v>525261.04</v>
      </c>
    </row>
    <row r="1731" ht="21" customHeight="1">
      <c r="A1731" s="7" t="n">
        <v>2028</v>
      </c>
      <c r="B1731" s="7" t="n">
        <v>3</v>
      </c>
      <c r="C1731" s="10" t="inlineStr">
        <is>
          <t>Miete LKW,Schiffe</t>
        </is>
      </c>
      <c r="D1731" s="10" t="inlineStr">
        <is>
          <t>Fuhrparkkosten</t>
        </is>
      </c>
      <c r="E1731" s="7" t="n">
        <v>38956.71</v>
      </c>
      <c r="F1731" s="7" t="n">
        <v>467480.47</v>
      </c>
    </row>
    <row r="1732" ht="21" customHeight="1">
      <c r="A1732" s="7" t="n">
        <v>2028</v>
      </c>
      <c r="B1732" s="7" t="n">
        <v>3</v>
      </c>
      <c r="C1732" s="10" t="inlineStr">
        <is>
          <t>sonst Personalk</t>
        </is>
      </c>
      <c r="D1732" s="10" t="inlineStr">
        <is>
          <t>Personalaufwand</t>
        </is>
      </c>
      <c r="E1732" s="7" t="n">
        <v>12597.51</v>
      </c>
      <c r="F1732" s="7" t="n">
        <v>151170.09</v>
      </c>
    </row>
    <row r="1733" ht="21" customHeight="1">
      <c r="A1733" s="7" t="n">
        <v>2030</v>
      </c>
      <c r="B1733" s="7" t="n">
        <v>3</v>
      </c>
      <c r="C1733" s="10" t="inlineStr">
        <is>
          <t>Leasing PKW</t>
        </is>
      </c>
      <c r="D1733" s="10" t="inlineStr">
        <is>
          <t>Fuhrparkkosten</t>
        </is>
      </c>
      <c r="E1733" s="7" t="n">
        <v>26131.4</v>
      </c>
      <c r="F1733" s="7" t="n">
        <v>313576.76</v>
      </c>
    </row>
    <row r="1734" ht="21" customHeight="1">
      <c r="A1734" s="7" t="n">
        <v>2031</v>
      </c>
      <c r="B1734" s="7" t="n">
        <v>3</v>
      </c>
      <c r="C1734" s="10" t="inlineStr">
        <is>
          <t>Aufwand Umlage</t>
        </is>
      </c>
      <c r="D1734" s="10" t="inlineStr">
        <is>
          <t>Verwaltungskosten</t>
        </is>
      </c>
      <c r="E1734" s="7" t="n">
        <v>3807.87</v>
      </c>
      <c r="F1734" s="7" t="n">
        <v>45694.43</v>
      </c>
    </row>
    <row r="1735" ht="21" customHeight="1">
      <c r="A1735" s="7" t="n">
        <v>2031</v>
      </c>
      <c r="B1735" s="7" t="n">
        <v>3</v>
      </c>
      <c r="C1735" s="10" t="inlineStr">
        <is>
          <t>sonst Personalk</t>
        </is>
      </c>
      <c r="D1735" s="10" t="inlineStr">
        <is>
          <t>Personalaufwand</t>
        </is>
      </c>
      <c r="E1735" s="7" t="n">
        <v>17070.54</v>
      </c>
      <c r="F1735" s="7" t="n">
        <v>204846.51</v>
      </c>
    </row>
    <row r="1736" ht="21" customHeight="1">
      <c r="A1736" s="7" t="n">
        <v>2027</v>
      </c>
      <c r="B1736" s="7" t="n">
        <v>3</v>
      </c>
      <c r="C1736" s="10" t="inlineStr">
        <is>
          <t>sonst Personalk</t>
        </is>
      </c>
      <c r="D1736" s="10" t="inlineStr">
        <is>
          <t>Personalaufwand</t>
        </is>
      </c>
      <c r="E1736" s="7" t="n">
        <v>10949.84</v>
      </c>
      <c r="F1736" s="7" t="n">
        <v>131398.1</v>
      </c>
    </row>
    <row r="1737" ht="21" customHeight="1">
      <c r="A1737" s="7" t="n">
        <v>2031</v>
      </c>
      <c r="B1737" s="7" t="n">
        <v>3</v>
      </c>
      <c r="C1737" s="10" t="inlineStr">
        <is>
          <t>Miete PKW</t>
        </is>
      </c>
      <c r="D1737" s="10" t="inlineStr">
        <is>
          <t>Fuhrparkkosten</t>
        </is>
      </c>
      <c r="E1737" s="7" t="n">
        <v>5824.81</v>
      </c>
      <c r="F1737" s="7" t="n">
        <v>69897.67</v>
      </c>
    </row>
    <row r="1738" ht="21" customHeight="1">
      <c r="A1738" s="7" t="n">
        <v>2029</v>
      </c>
      <c r="B1738" s="7" t="n">
        <v>3</v>
      </c>
      <c r="C1738" s="10" t="inlineStr">
        <is>
          <t>Raumkosten</t>
        </is>
      </c>
      <c r="D1738" s="10" t="inlineStr">
        <is>
          <t>Raumkosten</t>
        </is>
      </c>
      <c r="E1738" s="7" t="n">
        <v>7164.46</v>
      </c>
      <c r="F1738" s="7" t="n">
        <v>85973.53</v>
      </c>
    </row>
    <row r="1739" ht="21" customHeight="1">
      <c r="A1739" s="7" t="n">
        <v>2031</v>
      </c>
      <c r="B1739" s="7" t="n">
        <v>3</v>
      </c>
      <c r="C1739" s="10" t="inlineStr">
        <is>
          <t>Aufw. f. Alters</t>
        </is>
      </c>
      <c r="D1739" s="10" t="inlineStr">
        <is>
          <t>Personalaufwand</t>
        </is>
      </c>
      <c r="E1739" s="7" t="n">
        <v>1434.03</v>
      </c>
      <c r="F1739" s="7" t="n">
        <v>17208.41</v>
      </c>
    </row>
    <row r="1740" ht="21" customHeight="1">
      <c r="A1740" s="7" t="n">
        <v>2031</v>
      </c>
      <c r="B1740" s="7" t="n">
        <v>3</v>
      </c>
      <c r="C1740" s="10" t="inlineStr">
        <is>
          <t>IT-Aufwendungen</t>
        </is>
      </c>
      <c r="D1740" s="10" t="inlineStr">
        <is>
          <t>Verwaltungskosten</t>
        </is>
      </c>
      <c r="E1740" s="7" t="n">
        <v>13051.66</v>
      </c>
      <c r="F1740" s="7" t="n">
        <v>156619.9</v>
      </c>
    </row>
    <row r="1741" ht="21" customHeight="1">
      <c r="A1741" s="7" t="n">
        <v>2028</v>
      </c>
      <c r="B1741" s="7" t="n">
        <v>3</v>
      </c>
      <c r="C1741" s="10" t="inlineStr">
        <is>
          <t>Miete Grdst/Gebäud</t>
        </is>
      </c>
      <c r="D1741" s="10" t="inlineStr">
        <is>
          <t>Raumkosten</t>
        </is>
      </c>
      <c r="E1741" s="7" t="n">
        <v>17880.93</v>
      </c>
      <c r="F1741" s="7" t="n">
        <v>214571.21</v>
      </c>
    </row>
    <row r="1742" ht="21" customHeight="1">
      <c r="A1742" s="7" t="n">
        <v>2027</v>
      </c>
      <c r="B1742" s="7" t="n">
        <v>3</v>
      </c>
      <c r="C1742" s="10" t="inlineStr">
        <is>
          <t>Erloesschmaeler</t>
        </is>
      </c>
      <c r="D1742" s="10" t="inlineStr">
        <is>
          <t>Gesamtleistung</t>
        </is>
      </c>
      <c r="E1742" s="7" t="n">
        <v>-7483.88</v>
      </c>
      <c r="F1742" s="7" t="n">
        <v>-89806.53</v>
      </c>
    </row>
    <row r="1743" ht="21" customHeight="1">
      <c r="A1743" s="7" t="n">
        <v>2029</v>
      </c>
      <c r="B1743" s="7" t="n">
        <v>3</v>
      </c>
      <c r="C1743" s="10" t="inlineStr">
        <is>
          <t>sonst Personalk</t>
        </is>
      </c>
      <c r="D1743" s="10" t="inlineStr">
        <is>
          <t>Personalaufwand</t>
        </is>
      </c>
      <c r="E1743" s="7" t="n">
        <v>13957.15</v>
      </c>
      <c r="F1743" s="7" t="n">
        <v>167485.78</v>
      </c>
    </row>
    <row r="1744" ht="21" customHeight="1">
      <c r="A1744" s="7" t="n">
        <v>2028</v>
      </c>
      <c r="B1744" s="7" t="n">
        <v>3</v>
      </c>
      <c r="C1744" s="10" t="inlineStr">
        <is>
          <t>Fremdl. Fuhrlei</t>
        </is>
      </c>
      <c r="D1744" s="10" t="inlineStr">
        <is>
          <t>Vorleistungen</t>
        </is>
      </c>
      <c r="E1744" s="7" t="n">
        <v>363.29</v>
      </c>
      <c r="F1744" s="7" t="n">
        <v>4359.52</v>
      </c>
    </row>
    <row r="1745" ht="21" customHeight="1">
      <c r="A1745" s="7" t="n">
        <v>2027</v>
      </c>
      <c r="B1745" s="7" t="n">
        <v>3</v>
      </c>
      <c r="C1745" s="10" t="inlineStr">
        <is>
          <t>Erl. so. DL Dt.</t>
        </is>
      </c>
      <c r="D1745" s="10" t="inlineStr">
        <is>
          <t>Gesamtleistung</t>
        </is>
      </c>
      <c r="E1745" s="7" t="n">
        <v>1996174.37</v>
      </c>
      <c r="F1745" s="7" t="n">
        <v>23954092.45</v>
      </c>
    </row>
    <row r="1746" ht="21" customHeight="1">
      <c r="A1746" s="7" t="n">
        <v>2027</v>
      </c>
      <c r="B1746" s="7" t="n">
        <v>3</v>
      </c>
      <c r="C1746" s="10" t="inlineStr">
        <is>
          <t>Aufw. Heizmat.</t>
        </is>
      </c>
      <c r="D1746" s="10" t="inlineStr">
        <is>
          <t>Vorleistungen</t>
        </is>
      </c>
      <c r="E1746" s="7" t="n">
        <v>275.72</v>
      </c>
      <c r="F1746" s="7" t="n">
        <v>3308.65</v>
      </c>
    </row>
    <row r="1747" ht="21" customHeight="1">
      <c r="A1747" s="7" t="n">
        <v>2028</v>
      </c>
      <c r="B1747" s="7" t="n">
        <v>3</v>
      </c>
      <c r="C1747" s="10" t="inlineStr">
        <is>
          <t>Versicherungskosten</t>
        </is>
      </c>
      <c r="D1747" s="10" t="inlineStr">
        <is>
          <t>Verwaltungskosten</t>
        </is>
      </c>
      <c r="E1747" s="7" t="n">
        <v>11113.3</v>
      </c>
      <c r="F1747" s="7" t="n">
        <v>133359.63</v>
      </c>
    </row>
    <row r="1748" ht="21" customHeight="1">
      <c r="A1748" s="7" t="n">
        <v>2031</v>
      </c>
      <c r="B1748" s="7" t="n">
        <v>3</v>
      </c>
      <c r="C1748" s="10" t="inlineStr">
        <is>
          <t>Miete LKW,Schiffe</t>
        </is>
      </c>
      <c r="D1748" s="10" t="inlineStr">
        <is>
          <t>Fuhrparkkosten</t>
        </is>
      </c>
      <c r="E1748" s="7" t="n">
        <v>46398.06</v>
      </c>
      <c r="F1748" s="7" t="n">
        <v>556776.71</v>
      </c>
    </row>
    <row r="1749" ht="21" customHeight="1">
      <c r="A1749" s="7" t="n">
        <v>2027</v>
      </c>
      <c r="B1749" s="7" t="n">
        <v>3</v>
      </c>
      <c r="C1749" s="10" t="inlineStr">
        <is>
          <t>Weiterber. Frem</t>
        </is>
      </c>
      <c r="D1749" s="10" t="inlineStr">
        <is>
          <t>Vorleistungen</t>
        </is>
      </c>
      <c r="E1749" s="7" t="n">
        <v>0</v>
      </c>
      <c r="F1749" s="7" t="n">
        <v>0</v>
      </c>
    </row>
    <row r="1750" ht="21" customHeight="1">
      <c r="A1750" s="7" t="n">
        <v>2028</v>
      </c>
      <c r="B1750" s="7" t="n">
        <v>3</v>
      </c>
      <c r="C1750" s="10" t="inlineStr">
        <is>
          <t>Erloesschmaeler</t>
        </is>
      </c>
      <c r="D1750" s="10" t="inlineStr">
        <is>
          <t>Gesamtleistung</t>
        </is>
      </c>
      <c r="E1750" s="7" t="n">
        <v>-8355.469999999999</v>
      </c>
      <c r="F1750" s="7" t="n">
        <v>-100265.61</v>
      </c>
    </row>
    <row r="1751" ht="21" customHeight="1">
      <c r="A1751" s="7" t="n">
        <v>2027</v>
      </c>
      <c r="B1751" s="7" t="n">
        <v>3</v>
      </c>
      <c r="C1751" s="10" t="inlineStr">
        <is>
          <t>Uebr.neutr. Ert</t>
        </is>
      </c>
      <c r="D1751" s="10" t="inlineStr">
        <is>
          <t>Gesamtleistung</t>
        </is>
      </c>
      <c r="E1751" s="7" t="n">
        <v>113.94</v>
      </c>
      <c r="F1751" s="7" t="n">
        <v>1367.31</v>
      </c>
    </row>
    <row r="1752" ht="21" customHeight="1">
      <c r="A1752" s="7" t="n">
        <v>2028</v>
      </c>
      <c r="B1752" s="7" t="n">
        <v>3</v>
      </c>
      <c r="C1752" s="10" t="inlineStr">
        <is>
          <t>Miete Behälter</t>
        </is>
      </c>
      <c r="D1752" s="10" t="inlineStr">
        <is>
          <t>Instandh. Betriebsausstattung</t>
        </is>
      </c>
      <c r="E1752" s="7" t="n">
        <v>24.08</v>
      </c>
      <c r="F1752" s="7" t="n">
        <v>289</v>
      </c>
    </row>
    <row r="1753" ht="21" customHeight="1">
      <c r="A1753" s="7" t="n">
        <v>2028</v>
      </c>
      <c r="B1753" s="7" t="n">
        <v>3</v>
      </c>
      <c r="C1753" s="10" t="inlineStr">
        <is>
          <t>Aufw. so. Hilfs</t>
        </is>
      </c>
      <c r="D1753" s="10" t="inlineStr">
        <is>
          <t>Vorleistungen</t>
        </is>
      </c>
      <c r="E1753" s="7" t="n">
        <v>-16546.31</v>
      </c>
      <c r="F1753" s="7" t="n">
        <v>-198555.67</v>
      </c>
    </row>
    <row r="1754" ht="21" customHeight="1">
      <c r="A1754" s="7" t="n">
        <v>2030</v>
      </c>
      <c r="B1754" s="7" t="n">
        <v>3</v>
      </c>
      <c r="C1754" s="10" t="inlineStr">
        <is>
          <t>Treibstoffe, Oe</t>
        </is>
      </c>
      <c r="D1754" s="10" t="inlineStr">
        <is>
          <t>Fuhrparkkosten</t>
        </is>
      </c>
      <c r="E1754" s="7" t="n">
        <v>34177.25</v>
      </c>
      <c r="F1754" s="7" t="n">
        <v>410126.96</v>
      </c>
    </row>
    <row r="1755" ht="21" customHeight="1">
      <c r="A1755" s="7" t="n">
        <v>2030</v>
      </c>
      <c r="B1755" s="7" t="n">
        <v>3</v>
      </c>
      <c r="C1755" s="10" t="inlineStr">
        <is>
          <t>Ueb Lohn-Gehalt</t>
        </is>
      </c>
      <c r="D1755" s="10" t="inlineStr">
        <is>
          <t>Personalaufwand</t>
        </is>
      </c>
      <c r="E1755" s="7" t="n">
        <v>41842.02</v>
      </c>
      <c r="F1755" s="7" t="n">
        <v>502104.18</v>
      </c>
    </row>
    <row r="1756" ht="21" customHeight="1">
      <c r="A1756" s="7" t="n">
        <v>2030</v>
      </c>
      <c r="B1756" s="7" t="n">
        <v>3</v>
      </c>
      <c r="C1756" s="10" t="inlineStr">
        <is>
          <t>Aufw. f. Alters</t>
        </is>
      </c>
      <c r="D1756" s="10" t="inlineStr">
        <is>
          <t>Personalaufwand</t>
        </is>
      </c>
      <c r="E1756" s="7" t="n">
        <v>1387.56</v>
      </c>
      <c r="F1756" s="7" t="n">
        <v>16650.69</v>
      </c>
    </row>
    <row r="1757" ht="21" customHeight="1">
      <c r="A1757" s="7" t="n">
        <v>2031</v>
      </c>
      <c r="B1757" s="7" t="n">
        <v>3</v>
      </c>
      <c r="C1757" s="10" t="inlineStr">
        <is>
          <t>Fremdl. Persona</t>
        </is>
      </c>
      <c r="D1757" s="10" t="inlineStr">
        <is>
          <t>Vorleistungen</t>
        </is>
      </c>
      <c r="E1757" s="7" t="n">
        <v>79.40000000000001</v>
      </c>
      <c r="F1757" s="7" t="n">
        <v>952.79</v>
      </c>
    </row>
    <row r="1758" ht="21" customHeight="1">
      <c r="A1758" s="7" t="n">
        <v>2029</v>
      </c>
      <c r="B1758" s="7" t="n">
        <v>4</v>
      </c>
      <c r="C1758" s="10" t="inlineStr">
        <is>
          <t>Sonderz. Prämie</t>
        </is>
      </c>
      <c r="D1758" s="10" t="inlineStr">
        <is>
          <t>Personalaufwand</t>
        </is>
      </c>
      <c r="E1758" s="7" t="n">
        <v>23292.21</v>
      </c>
      <c r="F1758" s="7" t="n">
        <v>279506.56</v>
      </c>
    </row>
    <row r="1759" ht="21" customHeight="1">
      <c r="A1759" s="7" t="n">
        <v>2030</v>
      </c>
      <c r="B1759" s="7" t="n">
        <v>4</v>
      </c>
      <c r="C1759" s="10" t="inlineStr">
        <is>
          <t>sonst Personalk</t>
        </is>
      </c>
      <c r="D1759" s="10" t="inlineStr">
        <is>
          <t>Personalaufwand</t>
        </is>
      </c>
      <c r="E1759" s="7" t="n">
        <v>15558.93</v>
      </c>
      <c r="F1759" s="7" t="n">
        <v>186707.19</v>
      </c>
    </row>
    <row r="1760" ht="21" customHeight="1">
      <c r="A1760" s="7" t="n">
        <v>2031</v>
      </c>
      <c r="B1760" s="7" t="n">
        <v>4</v>
      </c>
      <c r="C1760" s="10" t="inlineStr">
        <is>
          <t>Ankauf Rohstoff</t>
        </is>
      </c>
      <c r="D1760" s="10" t="inlineStr">
        <is>
          <t>Vorleistungen</t>
        </is>
      </c>
      <c r="E1760" s="7" t="n">
        <v>1489.65</v>
      </c>
      <c r="F1760" s="7" t="n">
        <v>17875.76</v>
      </c>
    </row>
    <row r="1761" ht="21" customHeight="1">
      <c r="A1761" s="7" t="n">
        <v>2029</v>
      </c>
      <c r="B1761" s="7" t="n">
        <v>4</v>
      </c>
      <c r="C1761" s="10" t="inlineStr">
        <is>
          <t>Weiterber. Frem</t>
        </is>
      </c>
      <c r="D1761" s="10" t="inlineStr">
        <is>
          <t>Vorleistungen</t>
        </is>
      </c>
      <c r="E1761" s="7" t="n">
        <v>0</v>
      </c>
      <c r="F1761" s="7" t="n">
        <v>0</v>
      </c>
    </row>
    <row r="1762" ht="21" customHeight="1">
      <c r="A1762" s="7" t="n">
        <v>2031</v>
      </c>
      <c r="B1762" s="7" t="n">
        <v>4</v>
      </c>
      <c r="C1762" s="10" t="inlineStr">
        <is>
          <t>Sonstige Steuer</t>
        </is>
      </c>
      <c r="D1762" s="10" t="inlineStr">
        <is>
          <t>Fuhrparkkosten</t>
        </is>
      </c>
      <c r="E1762" s="7" t="n">
        <v>1890.32</v>
      </c>
      <c r="F1762" s="7" t="n">
        <v>22683.81</v>
      </c>
    </row>
    <row r="1763" ht="21" customHeight="1">
      <c r="A1763" s="7" t="n">
        <v>2030</v>
      </c>
      <c r="B1763" s="7" t="n">
        <v>4</v>
      </c>
      <c r="C1763" s="10" t="inlineStr">
        <is>
          <t>Bestandsveraend</t>
        </is>
      </c>
      <c r="D1763" s="10" t="inlineStr">
        <is>
          <t>Gesamtleistung</t>
        </is>
      </c>
      <c r="E1763" s="7" t="n">
        <v>0</v>
      </c>
      <c r="F1763" s="7" t="n">
        <v>0</v>
      </c>
    </row>
    <row r="1764" ht="21" customHeight="1">
      <c r="A1764" s="7" t="n">
        <v>2031</v>
      </c>
      <c r="B1764" s="7" t="n">
        <v>4</v>
      </c>
      <c r="C1764" s="10" t="inlineStr">
        <is>
          <t>Erl. so. DL Dt.</t>
        </is>
      </c>
      <c r="D1764" s="10" t="inlineStr">
        <is>
          <t>Gesamtleistung</t>
        </is>
      </c>
      <c r="E1764" s="7" t="n">
        <v>2428139.11</v>
      </c>
      <c r="F1764" s="7" t="n">
        <v>29137669.32</v>
      </c>
    </row>
    <row r="1765" ht="21" customHeight="1">
      <c r="A1765" s="7" t="n">
        <v>2030</v>
      </c>
      <c r="B1765" s="7" t="n">
        <v>4</v>
      </c>
      <c r="C1765" s="10" t="inlineStr">
        <is>
          <t>Sonstige Steuer</t>
        </is>
      </c>
      <c r="D1765" s="10" t="inlineStr">
        <is>
          <t>Fuhrparkkosten</t>
        </is>
      </c>
      <c r="E1765" s="7" t="n">
        <v>1783.32</v>
      </c>
      <c r="F1765" s="7" t="n">
        <v>21399.82</v>
      </c>
    </row>
    <row r="1766" ht="21" customHeight="1">
      <c r="A1766" s="7" t="n">
        <v>2030</v>
      </c>
      <c r="B1766" s="7" t="n">
        <v>4</v>
      </c>
      <c r="C1766" s="10" t="inlineStr">
        <is>
          <t>Sonderz. Prämie</t>
        </is>
      </c>
      <c r="D1766" s="10" t="inlineStr">
        <is>
          <t>Personalaufwand</t>
        </is>
      </c>
      <c r="E1766" s="7" t="n">
        <v>25004.1</v>
      </c>
      <c r="F1766" s="7" t="n">
        <v>300049.14</v>
      </c>
    </row>
    <row r="1767" ht="21" customHeight="1">
      <c r="A1767" s="7" t="n">
        <v>2029</v>
      </c>
      <c r="B1767" s="7" t="n">
        <v>4</v>
      </c>
      <c r="C1767" s="10" t="inlineStr">
        <is>
          <t>Soziale Abgaben</t>
        </is>
      </c>
      <c r="D1767" s="10" t="inlineStr">
        <is>
          <t>Personalaufwand</t>
        </is>
      </c>
      <c r="E1767" s="7" t="n">
        <v>94488.11</v>
      </c>
      <c r="F1767" s="7" t="n">
        <v>1133857.35</v>
      </c>
    </row>
    <row r="1768" ht="21" customHeight="1">
      <c r="A1768" s="7" t="n">
        <v>2031</v>
      </c>
      <c r="B1768" s="7" t="n">
        <v>4</v>
      </c>
      <c r="C1768" s="10" t="inlineStr">
        <is>
          <t>So. betr. Aufwa</t>
        </is>
      </c>
      <c r="D1768" s="10" t="inlineStr">
        <is>
          <t>Verwaltungskosten</t>
        </is>
      </c>
      <c r="E1768" s="7" t="n">
        <v>735.47</v>
      </c>
      <c r="F1768" s="7" t="n">
        <v>8825.639999999999</v>
      </c>
    </row>
    <row r="1769" ht="21" customHeight="1">
      <c r="A1769" s="7" t="n">
        <v>2027</v>
      </c>
      <c r="B1769" s="7" t="n">
        <v>4</v>
      </c>
      <c r="C1769" s="10" t="inlineStr">
        <is>
          <t>Lohn + Gehalt</t>
        </is>
      </c>
      <c r="D1769" s="10" t="inlineStr">
        <is>
          <t>Personalaufwand</t>
        </is>
      </c>
      <c r="E1769" s="7" t="n">
        <v>287946.36</v>
      </c>
      <c r="F1769" s="7" t="n">
        <v>3455356.33</v>
      </c>
    </row>
    <row r="1770" ht="21" customHeight="1">
      <c r="A1770" s="7" t="n">
        <v>2027</v>
      </c>
      <c r="B1770" s="7" t="n">
        <v>4</v>
      </c>
      <c r="C1770" s="10" t="inlineStr">
        <is>
          <t>So. betr. Aufwa</t>
        </is>
      </c>
      <c r="D1770" s="10" t="inlineStr">
        <is>
          <t>Verwaltungskosten</t>
        </is>
      </c>
      <c r="E1770" s="7" t="n">
        <v>653.45</v>
      </c>
      <c r="F1770" s="7" t="n">
        <v>7841.45</v>
      </c>
    </row>
    <row r="1771" ht="21" customHeight="1">
      <c r="A1771" s="7" t="n">
        <v>2028</v>
      </c>
      <c r="B1771" s="7" t="n">
        <v>4</v>
      </c>
      <c r="C1771" s="10" t="inlineStr">
        <is>
          <t>Ueb Lohn-Gehalt</t>
        </is>
      </c>
      <c r="D1771" s="10" t="inlineStr">
        <is>
          <t>Personalaufwand</t>
        </is>
      </c>
      <c r="E1771" s="7" t="n">
        <v>34332.83</v>
      </c>
      <c r="F1771" s="7" t="n">
        <v>411993.96</v>
      </c>
    </row>
    <row r="1772" ht="21" customHeight="1">
      <c r="A1772" s="7" t="n">
        <v>2027</v>
      </c>
      <c r="B1772" s="7" t="n">
        <v>4</v>
      </c>
      <c r="C1772" s="10" t="inlineStr">
        <is>
          <t>Verwaltungskost</t>
        </is>
      </c>
      <c r="D1772" s="10" t="inlineStr">
        <is>
          <t>Verwaltungskosten</t>
        </is>
      </c>
      <c r="E1772" s="7" t="n">
        <v>6691.47</v>
      </c>
      <c r="F1772" s="7" t="n">
        <v>80297.62</v>
      </c>
    </row>
    <row r="1773" ht="21" customHeight="1">
      <c r="A1773" s="7" t="n">
        <v>2030</v>
      </c>
      <c r="B1773" s="7" t="n">
        <v>4</v>
      </c>
      <c r="C1773" s="10" t="inlineStr">
        <is>
          <t>Aufw. Heizmat.</t>
        </is>
      </c>
      <c r="D1773" s="10" t="inlineStr">
        <is>
          <t>Vorleistungen</t>
        </is>
      </c>
      <c r="E1773" s="7" t="n">
        <v>230.4</v>
      </c>
      <c r="F1773" s="7" t="n">
        <v>2764.82</v>
      </c>
    </row>
    <row r="1774" ht="21" customHeight="1">
      <c r="A1774" s="7" t="n">
        <v>2027</v>
      </c>
      <c r="B1774" s="7" t="n">
        <v>4</v>
      </c>
      <c r="C1774" s="10" t="inlineStr">
        <is>
          <t>Versicherungskosten</t>
        </is>
      </c>
      <c r="D1774" s="10" t="inlineStr">
        <is>
          <t>Verwaltungskosten</t>
        </is>
      </c>
      <c r="E1774" s="7" t="n">
        <v>10789.61</v>
      </c>
      <c r="F1774" s="7" t="n">
        <v>129475.37</v>
      </c>
    </row>
    <row r="1775" ht="21" customHeight="1">
      <c r="A1775" s="7" t="n">
        <v>2031</v>
      </c>
      <c r="B1775" s="7" t="n">
        <v>4</v>
      </c>
      <c r="C1775" s="10" t="inlineStr">
        <is>
          <t>Instandh. BGA</t>
        </is>
      </c>
      <c r="D1775" s="10" t="inlineStr">
        <is>
          <t>Instandh. Betriebsausstattung</t>
        </is>
      </c>
      <c r="E1775" s="7" t="n">
        <v>5124.63</v>
      </c>
      <c r="F1775" s="7" t="n">
        <v>61495.58</v>
      </c>
    </row>
    <row r="1776" ht="21" customHeight="1">
      <c r="A1776" s="7" t="n">
        <v>2029</v>
      </c>
      <c r="B1776" s="7" t="n">
        <v>4</v>
      </c>
      <c r="C1776" s="10" t="inlineStr">
        <is>
          <t>Treibstoffe, Oe</t>
        </is>
      </c>
      <c r="D1776" s="10" t="inlineStr">
        <is>
          <t>Fuhrparkkosten</t>
        </is>
      </c>
      <c r="E1776" s="7" t="n">
        <v>32242.68</v>
      </c>
      <c r="F1776" s="7" t="n">
        <v>386912.19</v>
      </c>
    </row>
    <row r="1777" ht="21" customHeight="1">
      <c r="A1777" s="7" t="n">
        <v>2027</v>
      </c>
      <c r="B1777" s="7" t="n">
        <v>4</v>
      </c>
      <c r="C1777" s="10" t="inlineStr">
        <is>
          <t>Instandh. BGA</t>
        </is>
      </c>
      <c r="D1777" s="10" t="inlineStr">
        <is>
          <t>Instandh. Betriebsausstattung</t>
        </is>
      </c>
      <c r="E1777" s="7" t="n">
        <v>4216.05</v>
      </c>
      <c r="F1777" s="7" t="n">
        <v>50592.58</v>
      </c>
    </row>
    <row r="1778" ht="21" customHeight="1">
      <c r="A1778" s="7" t="n">
        <v>2029</v>
      </c>
      <c r="B1778" s="7" t="n">
        <v>4</v>
      </c>
      <c r="C1778" s="10" t="inlineStr">
        <is>
          <t>Ueb Lohn-Gehalt</t>
        </is>
      </c>
      <c r="D1778" s="10" t="inlineStr">
        <is>
          <t>Personalaufwand</t>
        </is>
      </c>
      <c r="E1778" s="7" t="n">
        <v>37989.9</v>
      </c>
      <c r="F1778" s="7" t="n">
        <v>455878.84</v>
      </c>
    </row>
    <row r="1779" ht="21" customHeight="1">
      <c r="A1779" s="7" t="n">
        <v>2031</v>
      </c>
      <c r="B1779" s="7" t="n">
        <v>4</v>
      </c>
      <c r="C1779" s="10" t="inlineStr">
        <is>
          <t>Erl. Waren Dt.</t>
        </is>
      </c>
      <c r="D1779" s="10" t="inlineStr">
        <is>
          <t>Gesamtleistung</t>
        </is>
      </c>
      <c r="E1779" s="7" t="n">
        <v>50865.59</v>
      </c>
      <c r="F1779" s="7" t="n">
        <v>610387.05</v>
      </c>
    </row>
    <row r="1780" ht="21" customHeight="1">
      <c r="A1780" s="7" t="n">
        <v>2027</v>
      </c>
      <c r="B1780" s="7" t="n">
        <v>4</v>
      </c>
      <c r="C1780" s="10" t="inlineStr">
        <is>
          <t>Fremdl. Persona</t>
        </is>
      </c>
      <c r="D1780" s="10" t="inlineStr">
        <is>
          <t>Vorleistungen</t>
        </is>
      </c>
      <c r="E1780" s="7" t="n">
        <v>61.31</v>
      </c>
      <c r="F1780" s="7" t="n">
        <v>735.66</v>
      </c>
    </row>
    <row r="1781" ht="21" customHeight="1">
      <c r="A1781" s="7" t="n">
        <v>2027</v>
      </c>
      <c r="B1781" s="7" t="n">
        <v>4</v>
      </c>
      <c r="C1781" s="10" t="inlineStr">
        <is>
          <t>Aufwand Umlage</t>
        </is>
      </c>
      <c r="D1781" s="10" t="inlineStr">
        <is>
          <t>Verwaltungskosten</t>
        </is>
      </c>
      <c r="E1781" s="7" t="n">
        <v>3383.24</v>
      </c>
      <c r="F1781" s="7" t="n">
        <v>40598.91</v>
      </c>
    </row>
    <row r="1782" ht="21" customHeight="1">
      <c r="A1782" s="7" t="n">
        <v>2031</v>
      </c>
      <c r="B1782" s="7" t="n">
        <v>4</v>
      </c>
      <c r="C1782" s="10" t="inlineStr">
        <is>
          <t>Ueb Lohn-Gehalt</t>
        </is>
      </c>
      <c r="D1782" s="10" t="inlineStr">
        <is>
          <t>Personalaufwand</t>
        </is>
      </c>
      <c r="E1782" s="7" t="n">
        <v>45675.82</v>
      </c>
      <c r="F1782" s="7" t="n">
        <v>548109.79</v>
      </c>
    </row>
    <row r="1783" ht="21" customHeight="1">
      <c r="A1783" s="7" t="n">
        <v>2027</v>
      </c>
      <c r="B1783" s="7" t="n">
        <v>4</v>
      </c>
      <c r="C1783" s="10" t="inlineStr">
        <is>
          <t>Rechts- u. Beratungs</t>
        </is>
      </c>
      <c r="D1783" s="10" t="inlineStr">
        <is>
          <t>Verwaltungskosten</t>
        </is>
      </c>
      <c r="E1783" s="7" t="n">
        <v>25635.99</v>
      </c>
      <c r="F1783" s="7" t="n">
        <v>307631.89</v>
      </c>
    </row>
    <row r="1784" ht="21" customHeight="1">
      <c r="A1784" s="7" t="n">
        <v>2028</v>
      </c>
      <c r="B1784" s="7" t="n">
        <v>4</v>
      </c>
      <c r="C1784" s="10" t="inlineStr">
        <is>
          <t>Verwaltungskost</t>
        </is>
      </c>
      <c r="D1784" s="10" t="inlineStr">
        <is>
          <t>Verwaltungskosten</t>
        </is>
      </c>
      <c r="E1784" s="7" t="n">
        <v>6892.21</v>
      </c>
      <c r="F1784" s="7" t="n">
        <v>82706.56</v>
      </c>
    </row>
    <row r="1785" ht="21" customHeight="1">
      <c r="A1785" s="7" t="n">
        <v>2028</v>
      </c>
      <c r="B1785" s="7" t="n">
        <v>4</v>
      </c>
      <c r="C1785" s="10" t="inlineStr">
        <is>
          <t>Ueb. bezog.Leis</t>
        </is>
      </c>
      <c r="D1785" s="10" t="inlineStr">
        <is>
          <t>Vorleistungen</t>
        </is>
      </c>
      <c r="E1785" s="7" t="n">
        <v>1342498.67</v>
      </c>
      <c r="F1785" s="7" t="n">
        <v>16109983.99</v>
      </c>
    </row>
    <row r="1786" ht="21" customHeight="1">
      <c r="A1786" s="7" t="n">
        <v>2028</v>
      </c>
      <c r="B1786" s="7" t="n">
        <v>4</v>
      </c>
      <c r="C1786" s="10" t="inlineStr">
        <is>
          <t>Ankauf Rohstoff</t>
        </is>
      </c>
      <c r="D1786" s="10" t="inlineStr">
        <is>
          <t>Vorleistungen</t>
        </is>
      </c>
      <c r="E1786" s="7" t="n">
        <v>1457.38</v>
      </c>
      <c r="F1786" s="7" t="n">
        <v>17488.61</v>
      </c>
    </row>
    <row r="1787" ht="21" customHeight="1">
      <c r="A1787" s="7" t="n">
        <v>2029</v>
      </c>
      <c r="B1787" s="7" t="n">
        <v>4</v>
      </c>
      <c r="C1787" s="10" t="inlineStr">
        <is>
          <t>Erloesschmaeler</t>
        </is>
      </c>
      <c r="D1787" s="10" t="inlineStr">
        <is>
          <t>Gesamtleistung</t>
        </is>
      </c>
      <c r="E1787" s="7" t="n">
        <v>-9048.01</v>
      </c>
      <c r="F1787" s="7" t="n">
        <v>-108576.08</v>
      </c>
    </row>
    <row r="1788" ht="21" customHeight="1">
      <c r="A1788" s="7" t="n">
        <v>2029</v>
      </c>
      <c r="B1788" s="7" t="n">
        <v>4</v>
      </c>
      <c r="C1788" s="10" t="inlineStr">
        <is>
          <t>Leasing PKW</t>
        </is>
      </c>
      <c r="D1788" s="10" t="inlineStr">
        <is>
          <t>Fuhrparkkosten</t>
        </is>
      </c>
      <c r="E1788" s="7" t="n">
        <v>24652.26</v>
      </c>
      <c r="F1788" s="7" t="n">
        <v>295827.14</v>
      </c>
    </row>
    <row r="1789" ht="21" customHeight="1">
      <c r="A1789" s="7" t="n">
        <v>2029</v>
      </c>
      <c r="B1789" s="7" t="n">
        <v>4</v>
      </c>
      <c r="C1789" s="10" t="inlineStr">
        <is>
          <t>Fremdl. Persona</t>
        </is>
      </c>
      <c r="D1789" s="10" t="inlineStr">
        <is>
          <t>Vorleistungen</t>
        </is>
      </c>
      <c r="E1789" s="7" t="n">
        <v>73.3</v>
      </c>
      <c r="F1789" s="7" t="n">
        <v>879.54</v>
      </c>
    </row>
    <row r="1790" ht="21" customHeight="1">
      <c r="A1790" s="7" t="n">
        <v>2028</v>
      </c>
      <c r="B1790" s="7" t="n">
        <v>4</v>
      </c>
      <c r="C1790" s="10" t="inlineStr">
        <is>
          <t>Aufwand Umlage</t>
        </is>
      </c>
      <c r="D1790" s="10" t="inlineStr">
        <is>
          <t>Verwaltungskosten</t>
        </is>
      </c>
      <c r="E1790" s="7" t="n">
        <v>3484.74</v>
      </c>
      <c r="F1790" s="7" t="n">
        <v>41816.88</v>
      </c>
    </row>
    <row r="1791" ht="21" customHeight="1">
      <c r="A1791" s="7" t="n">
        <v>2027</v>
      </c>
      <c r="B1791" s="7" t="n">
        <v>4</v>
      </c>
      <c r="C1791" s="10" t="inlineStr">
        <is>
          <t>Ankauf Rohstoff</t>
        </is>
      </c>
      <c r="D1791" s="10" t="inlineStr">
        <is>
          <t>Vorleistungen</t>
        </is>
      </c>
      <c r="E1791" s="7" t="n">
        <v>1408.24</v>
      </c>
      <c r="F1791" s="7" t="n">
        <v>16898.9</v>
      </c>
    </row>
    <row r="1792" ht="21" customHeight="1">
      <c r="A1792" s="7" t="n">
        <v>2030</v>
      </c>
      <c r="B1792" s="7" t="n">
        <v>4</v>
      </c>
      <c r="C1792" s="10" t="inlineStr">
        <is>
          <t>Erloesschmaeler</t>
        </is>
      </c>
      <c r="D1792" s="10" t="inlineStr">
        <is>
          <t>Gesamtleistung</t>
        </is>
      </c>
      <c r="E1792" s="7" t="n">
        <v>-9690.75</v>
      </c>
      <c r="F1792" s="7" t="n">
        <v>-116289.05</v>
      </c>
    </row>
    <row r="1793" ht="21" customHeight="1">
      <c r="A1793" s="7" t="n">
        <v>2029</v>
      </c>
      <c r="B1793" s="7" t="n">
        <v>4</v>
      </c>
      <c r="C1793" s="10" t="inlineStr">
        <is>
          <t>Sonst Fuhrparkkosten</t>
        </is>
      </c>
      <c r="D1793" s="10" t="inlineStr">
        <is>
          <t>Fuhrparkkosten</t>
        </is>
      </c>
      <c r="E1793" s="7" t="n">
        <v>5605.91</v>
      </c>
      <c r="F1793" s="7" t="n">
        <v>67270.89</v>
      </c>
    </row>
    <row r="1794" ht="21" customHeight="1">
      <c r="A1794" s="7" t="n">
        <v>2027</v>
      </c>
      <c r="B1794" s="7" t="n">
        <v>4</v>
      </c>
      <c r="C1794" s="10" t="inlineStr">
        <is>
          <t>Soziale Abgaben</t>
        </is>
      </c>
      <c r="D1794" s="10" t="inlineStr">
        <is>
          <t>Personalaufwand</t>
        </is>
      </c>
      <c r="E1794" s="7" t="n">
        <v>75903.69</v>
      </c>
      <c r="F1794" s="7" t="n">
        <v>910844.28</v>
      </c>
    </row>
    <row r="1795" ht="21" customHeight="1">
      <c r="A1795" s="7" t="n">
        <v>2031</v>
      </c>
      <c r="B1795" s="7" t="n">
        <v>4</v>
      </c>
      <c r="C1795" s="10" t="inlineStr">
        <is>
          <t>Erloesschmaeler</t>
        </is>
      </c>
      <c r="D1795" s="10" t="inlineStr">
        <is>
          <t>Gesamtleistung</t>
        </is>
      </c>
      <c r="E1795" s="7" t="n">
        <v>-10347.15</v>
      </c>
      <c r="F1795" s="7" t="n">
        <v>-124165.81</v>
      </c>
    </row>
    <row r="1796" ht="21" customHeight="1">
      <c r="A1796" s="7" t="n">
        <v>2029</v>
      </c>
      <c r="B1796" s="7" t="n">
        <v>4</v>
      </c>
      <c r="C1796" s="10" t="inlineStr">
        <is>
          <t>Ertr. weiterber</t>
        </is>
      </c>
      <c r="D1796" s="10" t="inlineStr">
        <is>
          <t>Gesamtleistung</t>
        </is>
      </c>
      <c r="E1796" s="7" t="n">
        <v>1036.39</v>
      </c>
      <c r="F1796" s="7" t="n">
        <v>12436.69</v>
      </c>
    </row>
    <row r="1797" ht="21" customHeight="1">
      <c r="A1797" s="7" t="n">
        <v>2027</v>
      </c>
      <c r="B1797" s="7" t="n">
        <v>4</v>
      </c>
      <c r="C1797" s="10" t="inlineStr">
        <is>
          <t>Sonderz. Prämie</t>
        </is>
      </c>
      <c r="D1797" s="10" t="inlineStr">
        <is>
          <t>Personalaufwand</t>
        </is>
      </c>
      <c r="E1797" s="7" t="n">
        <v>19636.08</v>
      </c>
      <c r="F1797" s="7" t="n">
        <v>235633</v>
      </c>
    </row>
    <row r="1798" ht="21" customHeight="1">
      <c r="A1798" s="7" t="n">
        <v>2027</v>
      </c>
      <c r="B1798" s="7" t="n">
        <v>4</v>
      </c>
      <c r="C1798" s="10" t="inlineStr">
        <is>
          <t>Miete Behälter</t>
        </is>
      </c>
      <c r="D1798" s="10" t="inlineStr">
        <is>
          <t>Instandh. Betriebsausstattung</t>
        </is>
      </c>
      <c r="E1798" s="7" t="n">
        <v>22.94</v>
      </c>
      <c r="F1798" s="7" t="n">
        <v>275.23</v>
      </c>
    </row>
    <row r="1799" ht="21" customHeight="1">
      <c r="A1799" s="7" t="n">
        <v>2031</v>
      </c>
      <c r="B1799" s="7" t="n">
        <v>4</v>
      </c>
      <c r="C1799" s="10" t="inlineStr">
        <is>
          <t>Versicherungskosten</t>
        </is>
      </c>
      <c r="D1799" s="10" t="inlineStr">
        <is>
          <t>Verwaltungskosten</t>
        </is>
      </c>
      <c r="E1799" s="7" t="n">
        <v>12143.81</v>
      </c>
      <c r="F1799" s="7" t="n">
        <v>145725.66</v>
      </c>
    </row>
    <row r="1800" ht="21" customHeight="1">
      <c r="A1800" s="7" t="n">
        <v>2029</v>
      </c>
      <c r="B1800" s="7" t="n">
        <v>4</v>
      </c>
      <c r="C1800" s="10" t="inlineStr">
        <is>
          <t>Rechts- u. Beratungs</t>
        </is>
      </c>
      <c r="D1800" s="10" t="inlineStr">
        <is>
          <t>Verwaltungskosten</t>
        </is>
      </c>
      <c r="E1800" s="7" t="n">
        <v>27197.22</v>
      </c>
      <c r="F1800" s="7" t="n">
        <v>326366.65</v>
      </c>
    </row>
    <row r="1801" ht="21" customHeight="1">
      <c r="A1801" s="7" t="n">
        <v>2028</v>
      </c>
      <c r="B1801" s="7" t="n">
        <v>4</v>
      </c>
      <c r="C1801" s="10" t="inlineStr">
        <is>
          <t>Instandh.Fuhrp</t>
        </is>
      </c>
      <c r="D1801" s="10" t="inlineStr">
        <is>
          <t>Fuhrparkkosten</t>
        </is>
      </c>
      <c r="E1801" s="7" t="n">
        <v>32180.39</v>
      </c>
      <c r="F1801" s="7" t="n">
        <v>386164.66</v>
      </c>
    </row>
    <row r="1802" ht="21" customHeight="1">
      <c r="A1802" s="7" t="n">
        <v>2030</v>
      </c>
      <c r="B1802" s="7" t="n">
        <v>4</v>
      </c>
      <c r="C1802" s="10" t="inlineStr">
        <is>
          <t>Miete Grdst/Gebäud</t>
        </is>
      </c>
      <c r="D1802" s="10" t="inlineStr">
        <is>
          <t>Raumkosten</t>
        </is>
      </c>
      <c r="E1802" s="7" t="n">
        <v>18603.32</v>
      </c>
      <c r="F1802" s="7" t="n">
        <v>223239.88</v>
      </c>
    </row>
    <row r="1803" ht="21" customHeight="1">
      <c r="A1803" s="7" t="n">
        <v>2027</v>
      </c>
      <c r="B1803" s="7" t="n">
        <v>4</v>
      </c>
      <c r="C1803" s="10" t="inlineStr">
        <is>
          <t>Ueb. bezog.Leis</t>
        </is>
      </c>
      <c r="D1803" s="10" t="inlineStr">
        <is>
          <t>Vorleistungen</t>
        </is>
      </c>
      <c r="E1803" s="7" t="n">
        <v>1319862.34</v>
      </c>
      <c r="F1803" s="7" t="n">
        <v>15838348.13</v>
      </c>
    </row>
    <row r="1804" ht="21" customHeight="1">
      <c r="A1804" s="7" t="n">
        <v>2029</v>
      </c>
      <c r="B1804" s="7" t="n">
        <v>4</v>
      </c>
      <c r="C1804" s="10" t="inlineStr">
        <is>
          <t>Erl. Waren Dt.</t>
        </is>
      </c>
      <c r="D1804" s="10" t="inlineStr">
        <is>
          <t>Gesamtleistung</t>
        </is>
      </c>
      <c r="E1804" s="7" t="n">
        <v>47334.08</v>
      </c>
      <c r="F1804" s="7" t="n">
        <v>568008.92</v>
      </c>
    </row>
    <row r="1805" ht="21" customHeight="1">
      <c r="A1805" s="7" t="n">
        <v>2031</v>
      </c>
      <c r="B1805" s="7" t="n">
        <v>4</v>
      </c>
      <c r="C1805" s="10" t="inlineStr">
        <is>
          <t>Treibstoffe, Oe</t>
        </is>
      </c>
      <c r="D1805" s="10" t="inlineStr">
        <is>
          <t>Fuhrparkkosten</t>
        </is>
      </c>
      <c r="E1805" s="7" t="n">
        <v>36227.88</v>
      </c>
      <c r="F1805" s="7" t="n">
        <v>434734.54</v>
      </c>
    </row>
    <row r="1806" ht="21" customHeight="1">
      <c r="A1806" s="7" t="n">
        <v>2029</v>
      </c>
      <c r="B1806" s="7" t="n">
        <v>4</v>
      </c>
      <c r="C1806" s="10" t="inlineStr">
        <is>
          <t>Miete Behälter</t>
        </is>
      </c>
      <c r="D1806" s="10" t="inlineStr">
        <is>
          <t>Instandh. Betriebsausstattung</t>
        </is>
      </c>
      <c r="E1806" s="7" t="n">
        <v>25.29</v>
      </c>
      <c r="F1806" s="7" t="n">
        <v>303.45</v>
      </c>
    </row>
    <row r="1807" ht="21" customHeight="1">
      <c r="A1807" s="7" t="n">
        <v>2030</v>
      </c>
      <c r="B1807" s="7" t="n">
        <v>4</v>
      </c>
      <c r="C1807" s="10" t="inlineStr">
        <is>
          <t>Instandh. BGA</t>
        </is>
      </c>
      <c r="D1807" s="10" t="inlineStr">
        <is>
          <t>Instandh. Betriebsausstattung</t>
        </is>
      </c>
      <c r="E1807" s="7" t="n">
        <v>4880.6</v>
      </c>
      <c r="F1807" s="7" t="n">
        <v>58567.23</v>
      </c>
    </row>
    <row r="1808" ht="21" customHeight="1">
      <c r="A1808" s="7" t="n">
        <v>2030</v>
      </c>
      <c r="B1808" s="7" t="n">
        <v>4</v>
      </c>
      <c r="C1808" s="10" t="inlineStr">
        <is>
          <t>Lohn + Gehalt</t>
        </is>
      </c>
      <c r="D1808" s="10" t="inlineStr">
        <is>
          <t>Personalaufwand</t>
        </is>
      </c>
      <c r="E1808" s="7" t="n">
        <v>392030.8</v>
      </c>
      <c r="F1808" s="7" t="n">
        <v>4704369.59</v>
      </c>
    </row>
    <row r="1809" ht="21" customHeight="1">
      <c r="A1809" s="7" t="n">
        <v>2027</v>
      </c>
      <c r="B1809" s="7" t="n">
        <v>4</v>
      </c>
      <c r="C1809" s="10" t="inlineStr">
        <is>
          <t>Bestandsveraend</t>
        </is>
      </c>
      <c r="D1809" s="10" t="inlineStr">
        <is>
          <t>Gesamtleistung</t>
        </is>
      </c>
      <c r="E1809" s="7" t="n">
        <v>0</v>
      </c>
      <c r="F1809" s="7" t="n">
        <v>0</v>
      </c>
    </row>
    <row r="1810" ht="21" customHeight="1">
      <c r="A1810" s="7" t="n">
        <v>2027</v>
      </c>
      <c r="B1810" s="7" t="n">
        <v>4</v>
      </c>
      <c r="C1810" s="10" t="inlineStr">
        <is>
          <t>Aufw. so. Hilfs</t>
        </is>
      </c>
      <c r="D1810" s="10" t="inlineStr">
        <is>
          <t>Vorleistungen</t>
        </is>
      </c>
      <c r="E1810" s="7" t="n">
        <v>-16362.04</v>
      </c>
      <c r="F1810" s="7" t="n">
        <v>-196344.47</v>
      </c>
    </row>
    <row r="1811" ht="21" customHeight="1">
      <c r="A1811" s="7" t="n">
        <v>2027</v>
      </c>
      <c r="B1811" s="7" t="n">
        <v>4</v>
      </c>
      <c r="C1811" s="10" t="inlineStr">
        <is>
          <t>Aufw. f. Alters</t>
        </is>
      </c>
      <c r="D1811" s="10" t="inlineStr">
        <is>
          <t>Personalaufwand</t>
        </is>
      </c>
      <c r="E1811" s="7" t="n">
        <v>1234.77</v>
      </c>
      <c r="F1811" s="7" t="n">
        <v>14817.29</v>
      </c>
    </row>
    <row r="1812" ht="21" customHeight="1">
      <c r="A1812" s="7" t="n">
        <v>2027</v>
      </c>
      <c r="B1812" s="7" t="n">
        <v>4</v>
      </c>
      <c r="C1812" s="10" t="inlineStr">
        <is>
          <t>Vertriebskosten</t>
        </is>
      </c>
      <c r="D1812" s="10" t="inlineStr">
        <is>
          <t>Vertriebskosten</t>
        </is>
      </c>
      <c r="E1812" s="7" t="n">
        <v>10833.33</v>
      </c>
      <c r="F1812" s="7" t="n">
        <v>130000</v>
      </c>
    </row>
    <row r="1813" ht="21" customHeight="1">
      <c r="A1813" s="7" t="n">
        <v>2027</v>
      </c>
      <c r="B1813" s="7" t="n">
        <v>4</v>
      </c>
      <c r="C1813" s="10" t="inlineStr">
        <is>
          <t>Ertrag KFZ-Nutz</t>
        </is>
      </c>
      <c r="D1813" s="10" t="inlineStr">
        <is>
          <t>Gesamtleistung</t>
        </is>
      </c>
      <c r="E1813" s="7" t="n">
        <v>8029.69</v>
      </c>
      <c r="F1813" s="7" t="n">
        <v>96356.3</v>
      </c>
    </row>
    <row r="1814" ht="21" customHeight="1">
      <c r="A1814" s="7" t="n">
        <v>2031</v>
      </c>
      <c r="B1814" s="7" t="n">
        <v>4</v>
      </c>
      <c r="C1814" s="10" t="inlineStr">
        <is>
          <t>Lohn + Gehalt</t>
        </is>
      </c>
      <c r="D1814" s="10" t="inlineStr">
        <is>
          <t>Personalaufwand</t>
        </is>
      </c>
      <c r="E1814" s="7" t="n">
        <v>428257.62</v>
      </c>
      <c r="F1814" s="7" t="n">
        <v>5139091.39</v>
      </c>
    </row>
    <row r="1815" ht="21" customHeight="1">
      <c r="A1815" s="7" t="n">
        <v>2031</v>
      </c>
      <c r="B1815" s="7" t="n">
        <v>4</v>
      </c>
      <c r="C1815" s="10" t="inlineStr">
        <is>
          <t>Soziale Abgaben</t>
        </is>
      </c>
      <c r="D1815" s="10" t="inlineStr">
        <is>
          <t>Personalaufwand</t>
        </is>
      </c>
      <c r="E1815" s="7" t="n">
        <v>113909.76</v>
      </c>
      <c r="F1815" s="7" t="n">
        <v>1366917.09</v>
      </c>
    </row>
    <row r="1816" ht="21" customHeight="1">
      <c r="A1816" s="7" t="n">
        <v>2031</v>
      </c>
      <c r="B1816" s="7" t="n">
        <v>4</v>
      </c>
      <c r="C1816" s="10" t="inlineStr">
        <is>
          <t>Sonst Fuhrparkkosten</t>
        </is>
      </c>
      <c r="D1816" s="10" t="inlineStr">
        <is>
          <t>Fuhrparkkosten</t>
        </is>
      </c>
      <c r="E1816" s="7" t="n">
        <v>6298.8</v>
      </c>
      <c r="F1816" s="7" t="n">
        <v>75585.56</v>
      </c>
    </row>
    <row r="1817" ht="21" customHeight="1">
      <c r="A1817" s="7" t="n">
        <v>2030</v>
      </c>
      <c r="B1817" s="7" t="n">
        <v>4</v>
      </c>
      <c r="C1817" s="10" t="inlineStr">
        <is>
          <t>Miete Behälter</t>
        </is>
      </c>
      <c r="D1817" s="10" t="inlineStr">
        <is>
          <t>Instandh. Betriebsausstattung</t>
        </is>
      </c>
      <c r="E1817" s="7" t="n">
        <v>26.55</v>
      </c>
      <c r="F1817" s="7" t="n">
        <v>318.62</v>
      </c>
    </row>
    <row r="1818" ht="21" customHeight="1">
      <c r="A1818" s="7" t="n">
        <v>2028</v>
      </c>
      <c r="B1818" s="7" t="n">
        <v>4</v>
      </c>
      <c r="C1818" s="10" t="inlineStr">
        <is>
          <t>Miete PKW</t>
        </is>
      </c>
      <c r="D1818" s="10" t="inlineStr">
        <is>
          <t>Fuhrparkkosten</t>
        </is>
      </c>
      <c r="E1818" s="7" t="n">
        <v>4890.62</v>
      </c>
      <c r="F1818" s="7" t="n">
        <v>58687.43</v>
      </c>
    </row>
    <row r="1819" ht="21" customHeight="1">
      <c r="A1819" s="7" t="n">
        <v>2030</v>
      </c>
      <c r="B1819" s="7" t="n">
        <v>4</v>
      </c>
      <c r="C1819" s="10" t="inlineStr">
        <is>
          <t>Aufwand Umlage</t>
        </is>
      </c>
      <c r="D1819" s="10" t="inlineStr">
        <is>
          <t>Verwaltungskosten</t>
        </is>
      </c>
      <c r="E1819" s="7" t="n">
        <v>3696.96</v>
      </c>
      <c r="F1819" s="7" t="n">
        <v>44363.53</v>
      </c>
    </row>
    <row r="1820" ht="21" customHeight="1">
      <c r="A1820" s="7" t="n">
        <v>2030</v>
      </c>
      <c r="B1820" s="7" t="n">
        <v>4</v>
      </c>
      <c r="C1820" s="10" t="inlineStr">
        <is>
          <t>So. betr. Aufwa</t>
        </is>
      </c>
      <c r="D1820" s="10" t="inlineStr">
        <is>
          <t>Verwaltungskosten</t>
        </is>
      </c>
      <c r="E1820" s="7" t="n">
        <v>714.05</v>
      </c>
      <c r="F1820" s="7" t="n">
        <v>8568.57</v>
      </c>
    </row>
    <row r="1821" ht="21" customHeight="1">
      <c r="A1821" s="7" t="n">
        <v>2029</v>
      </c>
      <c r="B1821" s="7" t="n">
        <v>4</v>
      </c>
      <c r="C1821" s="10" t="inlineStr">
        <is>
          <t>Versicherungskosten</t>
        </is>
      </c>
      <c r="D1821" s="10" t="inlineStr">
        <is>
          <t>Verwaltungskosten</t>
        </is>
      </c>
      <c r="E1821" s="7" t="n">
        <v>11446.7</v>
      </c>
      <c r="F1821" s="7" t="n">
        <v>137360.42</v>
      </c>
    </row>
    <row r="1822" ht="21" customHeight="1">
      <c r="A1822" s="7" t="n">
        <v>2027</v>
      </c>
      <c r="B1822" s="7" t="n">
        <v>4</v>
      </c>
      <c r="C1822" s="10" t="inlineStr">
        <is>
          <t>Sonstige Steuer</t>
        </is>
      </c>
      <c r="D1822" s="10" t="inlineStr">
        <is>
          <t>Fuhrparkkosten</t>
        </is>
      </c>
      <c r="E1822" s="7" t="n">
        <v>1497.31</v>
      </c>
      <c r="F1822" s="7" t="n">
        <v>17967.71</v>
      </c>
    </row>
    <row r="1823" ht="21" customHeight="1">
      <c r="A1823" s="7" t="n">
        <v>2031</v>
      </c>
      <c r="B1823" s="7" t="n">
        <v>4</v>
      </c>
      <c r="C1823" s="10" t="inlineStr">
        <is>
          <t>Leasing LKW</t>
        </is>
      </c>
      <c r="D1823" s="10" t="inlineStr">
        <is>
          <t>Fuhrparkkosten</t>
        </is>
      </c>
      <c r="E1823" s="7" t="n">
        <v>2910.36</v>
      </c>
      <c r="F1823" s="7" t="n">
        <v>34924.28</v>
      </c>
    </row>
    <row r="1824" ht="21" customHeight="1">
      <c r="A1824" s="7" t="n">
        <v>2029</v>
      </c>
      <c r="B1824" s="7" t="n">
        <v>4</v>
      </c>
      <c r="C1824" s="10" t="inlineStr">
        <is>
          <t>Leasing LKW</t>
        </is>
      </c>
      <c r="D1824" s="10" t="inlineStr">
        <is>
          <t>Fuhrparkkosten</t>
        </is>
      </c>
      <c r="E1824" s="7" t="n">
        <v>2590.21</v>
      </c>
      <c r="F1824" s="7" t="n">
        <v>31082.49</v>
      </c>
    </row>
    <row r="1825" ht="21" customHeight="1">
      <c r="A1825" s="7" t="n">
        <v>2027</v>
      </c>
      <c r="B1825" s="7" t="n">
        <v>4</v>
      </c>
      <c r="C1825" s="10" t="inlineStr">
        <is>
          <t>Instandh.Fuhrp</t>
        </is>
      </c>
      <c r="D1825" s="10" t="inlineStr">
        <is>
          <t>Fuhrparkkosten</t>
        </is>
      </c>
      <c r="E1825" s="7" t="n">
        <v>30358.86</v>
      </c>
      <c r="F1825" s="7" t="n">
        <v>364306.28</v>
      </c>
    </row>
    <row r="1826" ht="21" customHeight="1">
      <c r="A1826" s="7" t="n">
        <v>2029</v>
      </c>
      <c r="B1826" s="7" t="n">
        <v>4</v>
      </c>
      <c r="C1826" s="10" t="inlineStr">
        <is>
          <t>Vertriebskosten</t>
        </is>
      </c>
      <c r="D1826" s="10" t="inlineStr">
        <is>
          <t>Vertriebskosten</t>
        </is>
      </c>
      <c r="E1826" s="7" t="n">
        <v>11943.75</v>
      </c>
      <c r="F1826" s="7" t="n">
        <v>143325</v>
      </c>
    </row>
    <row r="1827" ht="21" customHeight="1">
      <c r="A1827" s="7" t="n">
        <v>2031</v>
      </c>
      <c r="B1827" s="7" t="n">
        <v>4</v>
      </c>
      <c r="C1827" s="10" t="inlineStr">
        <is>
          <t>Miete Grdst/Gebäud</t>
        </is>
      </c>
      <c r="D1827" s="10" t="inlineStr">
        <is>
          <t>Raumkosten</t>
        </is>
      </c>
      <c r="E1827" s="7" t="n">
        <v>18975.39</v>
      </c>
      <c r="F1827" s="7" t="n">
        <v>227704.65</v>
      </c>
    </row>
    <row r="1828" ht="21" customHeight="1">
      <c r="A1828" s="7" t="n">
        <v>2029</v>
      </c>
      <c r="B1828" s="7" t="n">
        <v>4</v>
      </c>
      <c r="C1828" s="10" t="inlineStr">
        <is>
          <t>Uebr.neutr. Ert</t>
        </is>
      </c>
      <c r="D1828" s="10" t="inlineStr">
        <is>
          <t>Gesamtleistung</t>
        </is>
      </c>
      <c r="E1828" s="7" t="n">
        <v>189.9</v>
      </c>
      <c r="F1828" s="7" t="n">
        <v>2278.85</v>
      </c>
    </row>
    <row r="1829" ht="21" customHeight="1">
      <c r="A1829" s="7" t="n">
        <v>2030</v>
      </c>
      <c r="B1829" s="7" t="n">
        <v>4</v>
      </c>
      <c r="C1829" s="10" t="inlineStr">
        <is>
          <t>Behaelterkosten</t>
        </is>
      </c>
      <c r="D1829" s="10" t="inlineStr">
        <is>
          <t>Instandh. Betriebsausstattung</t>
        </is>
      </c>
      <c r="E1829" s="7" t="n">
        <v>12.75</v>
      </c>
      <c r="F1829" s="7" t="n">
        <v>153.03</v>
      </c>
    </row>
    <row r="1830" ht="21" customHeight="1">
      <c r="A1830" s="7" t="n">
        <v>2029</v>
      </c>
      <c r="B1830" s="7" t="n">
        <v>4</v>
      </c>
      <c r="C1830" s="10" t="inlineStr">
        <is>
          <t>IT-Aufwendungen</t>
        </is>
      </c>
      <c r="D1830" s="10" t="inlineStr">
        <is>
          <t>Verwaltungskosten</t>
        </is>
      </c>
      <c r="E1830" s="7" t="n">
        <v>12302.44</v>
      </c>
      <c r="F1830" s="7" t="n">
        <v>147629.28</v>
      </c>
    </row>
    <row r="1831" ht="21" customHeight="1">
      <c r="A1831" s="7" t="n">
        <v>2028</v>
      </c>
      <c r="B1831" s="7" t="n">
        <v>4</v>
      </c>
      <c r="C1831" s="10" t="inlineStr">
        <is>
          <t>Instandh. BGA</t>
        </is>
      </c>
      <c r="D1831" s="10" t="inlineStr">
        <is>
          <t>Instandh. Betriebsausstattung</t>
        </is>
      </c>
      <c r="E1831" s="7" t="n">
        <v>4426.85</v>
      </c>
      <c r="F1831" s="7" t="n">
        <v>53122.2</v>
      </c>
    </row>
    <row r="1832" ht="21" customHeight="1">
      <c r="A1832" s="7" t="n">
        <v>2029</v>
      </c>
      <c r="B1832" s="7" t="n">
        <v>4</v>
      </c>
      <c r="C1832" s="10" t="inlineStr">
        <is>
          <t>Instandh.Fuhrp</t>
        </is>
      </c>
      <c r="D1832" s="10" t="inlineStr">
        <is>
          <t>Fuhrparkkosten</t>
        </is>
      </c>
      <c r="E1832" s="7" t="n">
        <v>34111.21</v>
      </c>
      <c r="F1832" s="7" t="n">
        <v>409334.56</v>
      </c>
    </row>
    <row r="1833" ht="21" customHeight="1">
      <c r="A1833" s="7" t="n">
        <v>2031</v>
      </c>
      <c r="B1833" s="7" t="n">
        <v>4</v>
      </c>
      <c r="C1833" s="10" t="inlineStr">
        <is>
          <t>Rechts- u. Beratungs</t>
        </is>
      </c>
      <c r="D1833" s="10" t="inlineStr">
        <is>
          <t>Verwaltungskosten</t>
        </is>
      </c>
      <c r="E1833" s="7" t="n">
        <v>28853.53</v>
      </c>
      <c r="F1833" s="7" t="n">
        <v>346242.38</v>
      </c>
    </row>
    <row r="1834" ht="21" customHeight="1">
      <c r="A1834" s="7" t="n">
        <v>2029</v>
      </c>
      <c r="B1834" s="7" t="n">
        <v>4</v>
      </c>
      <c r="C1834" s="10" t="inlineStr">
        <is>
          <t>Ertrag KFZ-Nutz</t>
        </is>
      </c>
      <c r="D1834" s="10" t="inlineStr">
        <is>
          <t>Gesamtleistung</t>
        </is>
      </c>
      <c r="E1834" s="7" t="n">
        <v>8815.82</v>
      </c>
      <c r="F1834" s="7" t="n">
        <v>105789.86</v>
      </c>
    </row>
    <row r="1835" ht="21" customHeight="1">
      <c r="A1835" s="7" t="n">
        <v>2030</v>
      </c>
      <c r="B1835" s="7" t="n">
        <v>4</v>
      </c>
      <c r="C1835" s="10" t="inlineStr">
        <is>
          <t>Ertr. weiterber</t>
        </is>
      </c>
      <c r="D1835" s="10" t="inlineStr">
        <is>
          <t>Gesamtleistung</t>
        </is>
      </c>
      <c r="E1835" s="7" t="n">
        <v>1104.47</v>
      </c>
      <c r="F1835" s="7" t="n">
        <v>13253.67</v>
      </c>
    </row>
    <row r="1836" ht="21" customHeight="1">
      <c r="A1836" s="7" t="n">
        <v>2028</v>
      </c>
      <c r="B1836" s="7" t="n">
        <v>4</v>
      </c>
      <c r="C1836" s="10" t="inlineStr">
        <is>
          <t>Leasing PKW</t>
        </is>
      </c>
      <c r="D1836" s="10" t="inlineStr">
        <is>
          <t>Fuhrparkkosten</t>
        </is>
      </c>
      <c r="E1836" s="7" t="n">
        <v>23256.85</v>
      </c>
      <c r="F1836" s="7" t="n">
        <v>279082.22</v>
      </c>
    </row>
    <row r="1837" ht="21" customHeight="1">
      <c r="A1837" s="7" t="n">
        <v>2028</v>
      </c>
      <c r="B1837" s="7" t="n">
        <v>4</v>
      </c>
      <c r="C1837" s="10" t="inlineStr">
        <is>
          <t>Treibstoffe, Oe</t>
        </is>
      </c>
      <c r="D1837" s="10" t="inlineStr">
        <is>
          <t>Fuhrparkkosten</t>
        </is>
      </c>
      <c r="E1837" s="7" t="n">
        <v>30417.62</v>
      </c>
      <c r="F1837" s="7" t="n">
        <v>365011.49</v>
      </c>
    </row>
    <row r="1838" ht="21" customHeight="1">
      <c r="A1838" s="7" t="n">
        <v>2029</v>
      </c>
      <c r="B1838" s="7" t="n">
        <v>4</v>
      </c>
      <c r="C1838" s="10" t="inlineStr">
        <is>
          <t>Miete PKW</t>
        </is>
      </c>
      <c r="D1838" s="10" t="inlineStr">
        <is>
          <t>Fuhrparkkosten</t>
        </is>
      </c>
      <c r="E1838" s="7" t="n">
        <v>5184.06</v>
      </c>
      <c r="F1838" s="7" t="n">
        <v>62208.67</v>
      </c>
    </row>
    <row r="1839" ht="21" customHeight="1">
      <c r="A1839" s="7" t="n">
        <v>2028</v>
      </c>
      <c r="B1839" s="7" t="n">
        <v>4</v>
      </c>
      <c r="C1839" s="10" t="inlineStr">
        <is>
          <t>Ertr. weiterber</t>
        </is>
      </c>
      <c r="D1839" s="10" t="inlineStr">
        <is>
          <t>Gesamtleistung</t>
        </is>
      </c>
      <c r="E1839" s="7" t="n">
        <v>980.91</v>
      </c>
      <c r="F1839" s="7" t="n">
        <v>11770.87</v>
      </c>
    </row>
    <row r="1840" ht="21" customHeight="1">
      <c r="A1840" s="7" t="n">
        <v>2029</v>
      </c>
      <c r="B1840" s="7" t="n">
        <v>4</v>
      </c>
      <c r="C1840" s="10" t="inlineStr">
        <is>
          <t>Instandh. BGA</t>
        </is>
      </c>
      <c r="D1840" s="10" t="inlineStr">
        <is>
          <t>Instandh. Betriebsausstattung</t>
        </is>
      </c>
      <c r="E1840" s="7" t="n">
        <v>4648.19</v>
      </c>
      <c r="F1840" s="7" t="n">
        <v>55778.31</v>
      </c>
    </row>
    <row r="1841" ht="21" customHeight="1">
      <c r="A1841" s="7" t="n">
        <v>2028</v>
      </c>
      <c r="B1841" s="7" t="n">
        <v>4</v>
      </c>
      <c r="C1841" s="10" t="inlineStr">
        <is>
          <t>Erl. so. DL Dt.</t>
        </is>
      </c>
      <c r="D1841" s="10" t="inlineStr">
        <is>
          <t>Gesamtleistung</t>
        </is>
      </c>
      <c r="E1841" s="7" t="n">
        <v>2095866.37</v>
      </c>
      <c r="F1841" s="7" t="n">
        <v>25150396.49</v>
      </c>
    </row>
    <row r="1842" ht="21" customHeight="1">
      <c r="A1842" s="7" t="n">
        <v>2028</v>
      </c>
      <c r="B1842" s="7" t="n">
        <v>4</v>
      </c>
      <c r="C1842" s="10" t="inlineStr">
        <is>
          <t>IT-Aufwendungen</t>
        </is>
      </c>
      <c r="D1842" s="10" t="inlineStr">
        <is>
          <t>Verwaltungskosten</t>
        </is>
      </c>
      <c r="E1842" s="7" t="n">
        <v>11944.12</v>
      </c>
      <c r="F1842" s="7" t="n">
        <v>143329.39</v>
      </c>
    </row>
    <row r="1843" ht="21" customHeight="1">
      <c r="A1843" s="7" t="n">
        <v>2029</v>
      </c>
      <c r="B1843" s="7" t="n">
        <v>4</v>
      </c>
      <c r="C1843" s="10" t="inlineStr">
        <is>
          <t>Ueb. bezog.Leis</t>
        </is>
      </c>
      <c r="D1843" s="10" t="inlineStr">
        <is>
          <t>Vorleistungen</t>
        </is>
      </c>
      <c r="E1843" s="7" t="n">
        <v>1364260.58</v>
      </c>
      <c r="F1843" s="7" t="n">
        <v>16371126.93</v>
      </c>
    </row>
    <row r="1844" ht="21" customHeight="1">
      <c r="A1844" s="7" t="n">
        <v>2031</v>
      </c>
      <c r="B1844" s="7" t="n">
        <v>4</v>
      </c>
      <c r="C1844" s="10" t="inlineStr">
        <is>
          <t>Sonderz. Prämie</t>
        </is>
      </c>
      <c r="D1844" s="10" t="inlineStr">
        <is>
          <t>Personalaufwand</t>
        </is>
      </c>
      <c r="E1844" s="7" t="n">
        <v>26838.18</v>
      </c>
      <c r="F1844" s="7" t="n">
        <v>322058.2</v>
      </c>
    </row>
    <row r="1845" ht="21" customHeight="1">
      <c r="A1845" s="7" t="n">
        <v>2029</v>
      </c>
      <c r="B1845" s="7" t="n">
        <v>4</v>
      </c>
      <c r="C1845" s="10" t="inlineStr">
        <is>
          <t>Verwaltungskost</t>
        </is>
      </c>
      <c r="D1845" s="10" t="inlineStr">
        <is>
          <t>Verwaltungskosten</t>
        </is>
      </c>
      <c r="E1845" s="7" t="n">
        <v>7098.98</v>
      </c>
      <c r="F1845" s="7" t="n">
        <v>85187.74000000001</v>
      </c>
    </row>
    <row r="1846" ht="21" customHeight="1">
      <c r="A1846" s="7" t="n">
        <v>2028</v>
      </c>
      <c r="B1846" s="7" t="n">
        <v>4</v>
      </c>
      <c r="C1846" s="10" t="inlineStr">
        <is>
          <t>Ertrag KFZ-Nutz</t>
        </is>
      </c>
      <c r="D1846" s="10" t="inlineStr">
        <is>
          <t>Gesamtleistung</t>
        </is>
      </c>
      <c r="E1846" s="7" t="n">
        <v>8405.780000000001</v>
      </c>
      <c r="F1846" s="7" t="n">
        <v>100869.3</v>
      </c>
    </row>
    <row r="1847" ht="21" customHeight="1">
      <c r="A1847" s="7" t="n">
        <v>2030</v>
      </c>
      <c r="B1847" s="7" t="n">
        <v>4</v>
      </c>
      <c r="C1847" s="10" t="inlineStr">
        <is>
          <t>Sonst Fuhrparkkosten</t>
        </is>
      </c>
      <c r="D1847" s="10" t="inlineStr">
        <is>
          <t>Fuhrparkkosten</t>
        </is>
      </c>
      <c r="E1847" s="7" t="n">
        <v>5942.26</v>
      </c>
      <c r="F1847" s="7" t="n">
        <v>71307.13</v>
      </c>
    </row>
    <row r="1848" ht="21" customHeight="1">
      <c r="A1848" s="7" t="n">
        <v>2028</v>
      </c>
      <c r="B1848" s="7" t="n">
        <v>4</v>
      </c>
      <c r="C1848" s="10" t="inlineStr">
        <is>
          <t>Rechts- u. Beratungs</t>
        </is>
      </c>
      <c r="D1848" s="10" t="inlineStr">
        <is>
          <t>Verwaltungskosten</t>
        </is>
      </c>
      <c r="E1848" s="7" t="n">
        <v>26405.07</v>
      </c>
      <c r="F1848" s="7" t="n">
        <v>316860.83</v>
      </c>
    </row>
    <row r="1849" ht="21" customHeight="1">
      <c r="A1849" s="7" t="n">
        <v>2027</v>
      </c>
      <c r="B1849" s="7" t="n">
        <v>4</v>
      </c>
      <c r="C1849" s="10" t="inlineStr">
        <is>
          <t>Leasing LKW</t>
        </is>
      </c>
      <c r="D1849" s="10" t="inlineStr">
        <is>
          <t>Fuhrparkkosten</t>
        </is>
      </c>
      <c r="E1849" s="7" t="n">
        <v>2305.28</v>
      </c>
      <c r="F1849" s="7" t="n">
        <v>27663.3</v>
      </c>
    </row>
    <row r="1850" ht="21" customHeight="1">
      <c r="A1850" s="7" t="n">
        <v>2031</v>
      </c>
      <c r="B1850" s="7" t="n">
        <v>4</v>
      </c>
      <c r="C1850" s="10" t="inlineStr">
        <is>
          <t>Fremdl. Fuhrlei</t>
        </is>
      </c>
      <c r="D1850" s="10" t="inlineStr">
        <is>
          <t>Vorleistungen</t>
        </is>
      </c>
      <c r="E1850" s="7" t="n">
        <v>374.24</v>
      </c>
      <c r="F1850" s="7" t="n">
        <v>4490.84</v>
      </c>
    </row>
    <row r="1851" ht="21" customHeight="1">
      <c r="A1851" s="7" t="n">
        <v>2029</v>
      </c>
      <c r="B1851" s="7" t="n">
        <v>4</v>
      </c>
      <c r="C1851" s="10" t="inlineStr">
        <is>
          <t>Fremdl. Fuhrlei</t>
        </is>
      </c>
      <c r="D1851" s="10" t="inlineStr">
        <is>
          <t>Vorleistungen</t>
        </is>
      </c>
      <c r="E1851" s="7" t="n">
        <v>362.07</v>
      </c>
      <c r="F1851" s="7" t="n">
        <v>4344.88</v>
      </c>
    </row>
    <row r="1852" ht="21" customHeight="1">
      <c r="A1852" s="7" t="n">
        <v>2028</v>
      </c>
      <c r="B1852" s="7" t="n">
        <v>4</v>
      </c>
      <c r="C1852" s="10" t="inlineStr">
        <is>
          <t>Vertriebskosten</t>
        </is>
      </c>
      <c r="D1852" s="10" t="inlineStr">
        <is>
          <t>Vertriebskosten</t>
        </is>
      </c>
      <c r="E1852" s="7" t="n">
        <v>11375</v>
      </c>
      <c r="F1852" s="7" t="n">
        <v>136500</v>
      </c>
    </row>
    <row r="1853" ht="21" customHeight="1">
      <c r="A1853" s="7" t="n">
        <v>2031</v>
      </c>
      <c r="B1853" s="7" t="n">
        <v>4</v>
      </c>
      <c r="C1853" s="10" t="inlineStr">
        <is>
          <t>Aufw. so. Hilfs</t>
        </is>
      </c>
      <c r="D1853" s="10" t="inlineStr">
        <is>
          <t>Vorleistungen</t>
        </is>
      </c>
      <c r="E1853" s="7" t="n">
        <v>-17544.22</v>
      </c>
      <c r="F1853" s="7" t="n">
        <v>-210530.6</v>
      </c>
    </row>
    <row r="1854" ht="21" customHeight="1">
      <c r="A1854" s="7" t="n">
        <v>2029</v>
      </c>
      <c r="B1854" s="7" t="n">
        <v>4</v>
      </c>
      <c r="C1854" s="10" t="inlineStr">
        <is>
          <t>Ankauf Rohstoff</t>
        </is>
      </c>
      <c r="D1854" s="10" t="inlineStr">
        <is>
          <t>Vorleistungen</t>
        </is>
      </c>
      <c r="E1854" s="7" t="n">
        <v>1473.64</v>
      </c>
      <c r="F1854" s="7" t="n">
        <v>17683.65</v>
      </c>
    </row>
    <row r="1855" ht="21" customHeight="1">
      <c r="A1855" s="7" t="n">
        <v>2028</v>
      </c>
      <c r="B1855" s="7" t="n">
        <v>4</v>
      </c>
      <c r="C1855" s="10" t="inlineStr">
        <is>
          <t>Sonstige Steuer</t>
        </is>
      </c>
      <c r="D1855" s="10" t="inlineStr">
        <is>
          <t>Fuhrparkkosten</t>
        </is>
      </c>
      <c r="E1855" s="7" t="n">
        <v>1587.15</v>
      </c>
      <c r="F1855" s="7" t="n">
        <v>19045.76</v>
      </c>
    </row>
    <row r="1856" ht="21" customHeight="1">
      <c r="A1856" s="7" t="n">
        <v>2030</v>
      </c>
      <c r="B1856" s="7" t="n">
        <v>4</v>
      </c>
      <c r="C1856" s="10" t="inlineStr">
        <is>
          <t>Weiterber. Frem</t>
        </is>
      </c>
      <c r="D1856" s="10" t="inlineStr">
        <is>
          <t>Vorleistungen</t>
        </is>
      </c>
      <c r="E1856" s="7" t="n">
        <v>0</v>
      </c>
      <c r="F1856" s="7" t="n">
        <v>0</v>
      </c>
    </row>
    <row r="1857" ht="21" customHeight="1">
      <c r="A1857" s="7" t="n">
        <v>2031</v>
      </c>
      <c r="B1857" s="7" t="n">
        <v>4</v>
      </c>
      <c r="C1857" s="10" t="inlineStr">
        <is>
          <t>Miete Behälter</t>
        </is>
      </c>
      <c r="D1857" s="10" t="inlineStr">
        <is>
          <t>Instandh. Betriebsausstattung</t>
        </is>
      </c>
      <c r="E1857" s="7" t="n">
        <v>27.88</v>
      </c>
      <c r="F1857" s="7" t="n">
        <v>334.55</v>
      </c>
    </row>
    <row r="1858" ht="21" customHeight="1">
      <c r="A1858" s="7" t="n">
        <v>2027</v>
      </c>
      <c r="B1858" s="7" t="n">
        <v>4</v>
      </c>
      <c r="C1858" s="10" t="inlineStr">
        <is>
          <t>Miete Grdst/Gebäud</t>
        </is>
      </c>
      <c r="D1858" s="10" t="inlineStr">
        <is>
          <t>Raumkosten</t>
        </is>
      </c>
      <c r="E1858" s="7" t="n">
        <v>15284.77</v>
      </c>
      <c r="F1858" s="7" t="n">
        <v>183417.26</v>
      </c>
    </row>
    <row r="1859" ht="21" customHeight="1">
      <c r="A1859" s="7" t="n">
        <v>2028</v>
      </c>
      <c r="B1859" s="7" t="n">
        <v>4</v>
      </c>
      <c r="C1859" s="10" t="inlineStr">
        <is>
          <t>Aufw. f. Alters</t>
        </is>
      </c>
      <c r="D1859" s="10" t="inlineStr">
        <is>
          <t>Personalaufwand</t>
        </is>
      </c>
      <c r="E1859" s="7" t="n">
        <v>1290.05</v>
      </c>
      <c r="F1859" s="7" t="n">
        <v>15480.56</v>
      </c>
    </row>
    <row r="1860" ht="21" customHeight="1">
      <c r="A1860" s="7" t="n">
        <v>2028</v>
      </c>
      <c r="B1860" s="7" t="n">
        <v>4</v>
      </c>
      <c r="C1860" s="10" t="inlineStr">
        <is>
          <t>Fremdl. Persona</t>
        </is>
      </c>
      <c r="D1860" s="10" t="inlineStr">
        <is>
          <t>Vorleistungen</t>
        </is>
      </c>
      <c r="E1860" s="7" t="n">
        <v>69.04000000000001</v>
      </c>
      <c r="F1860" s="7" t="n">
        <v>828.42</v>
      </c>
    </row>
    <row r="1861" ht="21" customHeight="1">
      <c r="A1861" s="7" t="n">
        <v>2030</v>
      </c>
      <c r="B1861" s="7" t="n">
        <v>4</v>
      </c>
      <c r="C1861" s="10" t="inlineStr">
        <is>
          <t>Vertriebskosten</t>
        </is>
      </c>
      <c r="D1861" s="10" t="inlineStr">
        <is>
          <t>Vertriebskosten</t>
        </is>
      </c>
      <c r="E1861" s="7" t="n">
        <v>12540.94</v>
      </c>
      <c r="F1861" s="7" t="n">
        <v>150491.26</v>
      </c>
    </row>
    <row r="1862" ht="21" customHeight="1">
      <c r="A1862" s="7" t="n">
        <v>2030</v>
      </c>
      <c r="B1862" s="7" t="n">
        <v>4</v>
      </c>
      <c r="C1862" s="10" t="inlineStr">
        <is>
          <t>Aufw. so. Hilfs</t>
        </is>
      </c>
      <c r="D1862" s="10" t="inlineStr">
        <is>
          <t>Vorleistungen</t>
        </is>
      </c>
      <c r="E1862" s="7" t="n">
        <v>-17197.35</v>
      </c>
      <c r="F1862" s="7" t="n">
        <v>-206368.2</v>
      </c>
    </row>
    <row r="1863" ht="21" customHeight="1">
      <c r="A1863" s="7" t="n">
        <v>2029</v>
      </c>
      <c r="B1863" s="7" t="n">
        <v>4</v>
      </c>
      <c r="C1863" s="10" t="inlineStr">
        <is>
          <t>Aufw. so. Hilfs</t>
        </is>
      </c>
      <c r="D1863" s="10" t="inlineStr">
        <is>
          <t>Vorleistungen</t>
        </is>
      </c>
      <c r="E1863" s="7" t="n">
        <v>-16834.66</v>
      </c>
      <c r="F1863" s="7" t="n">
        <v>-202015.88</v>
      </c>
    </row>
    <row r="1864" ht="21" customHeight="1">
      <c r="A1864" s="7" t="n">
        <v>2027</v>
      </c>
      <c r="B1864" s="7" t="n">
        <v>4</v>
      </c>
      <c r="C1864" s="10" t="inlineStr">
        <is>
          <t>Miete PKW</t>
        </is>
      </c>
      <c r="D1864" s="10" t="inlineStr">
        <is>
          <t>Fuhrparkkosten</t>
        </is>
      </c>
      <c r="E1864" s="7" t="n">
        <v>4613.79</v>
      </c>
      <c r="F1864" s="7" t="n">
        <v>55365.51</v>
      </c>
    </row>
    <row r="1865" ht="21" customHeight="1">
      <c r="A1865" s="7" t="n">
        <v>2030</v>
      </c>
      <c r="B1865" s="7" t="n">
        <v>4</v>
      </c>
      <c r="C1865" s="10" t="inlineStr">
        <is>
          <t>Fremdl. Fuhrlei</t>
        </is>
      </c>
      <c r="D1865" s="10" t="inlineStr">
        <is>
          <t>Vorleistungen</t>
        </is>
      </c>
      <c r="E1865" s="7" t="n">
        <v>368.3</v>
      </c>
      <c r="F1865" s="7" t="n">
        <v>4419.56</v>
      </c>
    </row>
    <row r="1866" ht="21" customHeight="1">
      <c r="A1866" s="7" t="n">
        <v>2030</v>
      </c>
      <c r="B1866" s="7" t="n">
        <v>4</v>
      </c>
      <c r="C1866" s="10" t="inlineStr">
        <is>
          <t>Miete PKW</t>
        </is>
      </c>
      <c r="D1866" s="10" t="inlineStr">
        <is>
          <t>Fuhrparkkosten</t>
        </is>
      </c>
      <c r="E1866" s="7" t="n">
        <v>5495.1</v>
      </c>
      <c r="F1866" s="7" t="n">
        <v>65941.19</v>
      </c>
    </row>
    <row r="1867" ht="21" customHeight="1">
      <c r="A1867" s="7" t="n">
        <v>2027</v>
      </c>
      <c r="B1867" s="7" t="n">
        <v>4</v>
      </c>
      <c r="C1867" s="10" t="inlineStr">
        <is>
          <t>Erl. Waren Dt.</t>
        </is>
      </c>
      <c r="D1867" s="10" t="inlineStr">
        <is>
          <t>Gesamtleistung</t>
        </is>
      </c>
      <c r="E1867" s="7" t="n">
        <v>42246.46</v>
      </c>
      <c r="F1867" s="7" t="n">
        <v>506957.51</v>
      </c>
    </row>
    <row r="1868" ht="21" customHeight="1">
      <c r="A1868" s="7" t="n">
        <v>2029</v>
      </c>
      <c r="B1868" s="7" t="n">
        <v>4</v>
      </c>
      <c r="C1868" s="10" t="inlineStr">
        <is>
          <t>Bestandsveraend</t>
        </is>
      </c>
      <c r="D1868" s="10" t="inlineStr">
        <is>
          <t>Gesamtleistung</t>
        </is>
      </c>
      <c r="E1868" s="7" t="n">
        <v>0</v>
      </c>
      <c r="F1868" s="7" t="n">
        <v>0</v>
      </c>
    </row>
    <row r="1869" ht="21" customHeight="1">
      <c r="A1869" s="7" t="n">
        <v>2031</v>
      </c>
      <c r="B1869" s="7" t="n">
        <v>4</v>
      </c>
      <c r="C1869" s="10" t="inlineStr">
        <is>
          <t>Leasing PKW</t>
        </is>
      </c>
      <c r="D1869" s="10" t="inlineStr">
        <is>
          <t>Fuhrparkkosten</t>
        </is>
      </c>
      <c r="E1869" s="7" t="n">
        <v>27699.28</v>
      </c>
      <c r="F1869" s="7" t="n">
        <v>332391.4</v>
      </c>
    </row>
    <row r="1870" ht="21" customHeight="1">
      <c r="A1870" s="7" t="n">
        <v>2029</v>
      </c>
      <c r="B1870" s="7" t="n">
        <v>4</v>
      </c>
      <c r="C1870" s="10" t="inlineStr">
        <is>
          <t>Behaelterkosten</t>
        </is>
      </c>
      <c r="D1870" s="10" t="inlineStr">
        <is>
          <t>Instandh. Betriebsausstattung</t>
        </is>
      </c>
      <c r="E1870" s="7" t="n">
        <v>12.15</v>
      </c>
      <c r="F1870" s="7" t="n">
        <v>145.74</v>
      </c>
    </row>
    <row r="1871" ht="21" customHeight="1">
      <c r="A1871" s="7" t="n">
        <v>2029</v>
      </c>
      <c r="B1871" s="7" t="n">
        <v>4</v>
      </c>
      <c r="C1871" s="10" t="inlineStr">
        <is>
          <t>Aufwand Umlage</t>
        </is>
      </c>
      <c r="D1871" s="10" t="inlineStr">
        <is>
          <t>Verwaltungskosten</t>
        </is>
      </c>
      <c r="E1871" s="7" t="n">
        <v>3589.28</v>
      </c>
      <c r="F1871" s="7" t="n">
        <v>43071.39</v>
      </c>
    </row>
    <row r="1872" ht="21" customHeight="1">
      <c r="A1872" s="7" t="n">
        <v>2030</v>
      </c>
      <c r="B1872" s="7" t="n">
        <v>4</v>
      </c>
      <c r="C1872" s="10" t="inlineStr">
        <is>
          <t>Instandh.Fuhrp</t>
        </is>
      </c>
      <c r="D1872" s="10" t="inlineStr">
        <is>
          <t>Fuhrparkkosten</t>
        </is>
      </c>
      <c r="E1872" s="7" t="n">
        <v>36157.89</v>
      </c>
      <c r="F1872" s="7" t="n">
        <v>433894.62</v>
      </c>
    </row>
    <row r="1873" ht="21" customHeight="1">
      <c r="A1873" s="7" t="n">
        <v>2028</v>
      </c>
      <c r="B1873" s="7" t="n">
        <v>4</v>
      </c>
      <c r="C1873" s="10" t="inlineStr">
        <is>
          <t>Sonderz. Prämie</t>
        </is>
      </c>
      <c r="D1873" s="10" t="inlineStr">
        <is>
          <t>Personalaufwand</t>
        </is>
      </c>
      <c r="E1873" s="7" t="n">
        <v>21386.26</v>
      </c>
      <c r="F1873" s="7" t="n">
        <v>256635.15</v>
      </c>
    </row>
    <row r="1874" ht="21" customHeight="1">
      <c r="A1874" s="7" t="n">
        <v>2029</v>
      </c>
      <c r="B1874" s="7" t="n">
        <v>4</v>
      </c>
      <c r="C1874" s="10" t="inlineStr">
        <is>
          <t>Aufw. f. Alters</t>
        </is>
      </c>
      <c r="D1874" s="10" t="inlineStr">
        <is>
          <t>Personalaufwand</t>
        </is>
      </c>
      <c r="E1874" s="7" t="n">
        <v>1366.43</v>
      </c>
      <c r="F1874" s="7" t="n">
        <v>16397.15</v>
      </c>
    </row>
    <row r="1875" ht="21" customHeight="1">
      <c r="A1875" s="7" t="n">
        <v>2027</v>
      </c>
      <c r="B1875" s="7" t="n">
        <v>4</v>
      </c>
      <c r="C1875" s="10" t="inlineStr">
        <is>
          <t>Ertr. weiterber</t>
        </is>
      </c>
      <c r="D1875" s="10" t="inlineStr">
        <is>
          <t>Gesamtleistung</t>
        </is>
      </c>
      <c r="E1875" s="7" t="n">
        <v>919.41</v>
      </c>
      <c r="F1875" s="7" t="n">
        <v>11032.96</v>
      </c>
    </row>
    <row r="1876" ht="21" customHeight="1">
      <c r="A1876" s="7" t="n">
        <v>2029</v>
      </c>
      <c r="B1876" s="7" t="n">
        <v>4</v>
      </c>
      <c r="C1876" s="10" t="inlineStr">
        <is>
          <t>So. betr. Aufwa</t>
        </is>
      </c>
      <c r="D1876" s="10" t="inlineStr">
        <is>
          <t>Verwaltungskosten</t>
        </is>
      </c>
      <c r="E1876" s="7" t="n">
        <v>693.25</v>
      </c>
      <c r="F1876" s="7" t="n">
        <v>8319.02</v>
      </c>
    </row>
    <row r="1877" ht="21" customHeight="1">
      <c r="A1877" s="7" t="n">
        <v>2031</v>
      </c>
      <c r="B1877" s="7" t="n">
        <v>4</v>
      </c>
      <c r="C1877" s="10" t="inlineStr">
        <is>
          <t>Ertr. weiterber</t>
        </is>
      </c>
      <c r="D1877" s="10" t="inlineStr">
        <is>
          <t>Gesamtleistung</t>
        </is>
      </c>
      <c r="E1877" s="7" t="n">
        <v>1173.93</v>
      </c>
      <c r="F1877" s="7" t="n">
        <v>14087.11</v>
      </c>
    </row>
    <row r="1878" ht="21" customHeight="1">
      <c r="A1878" s="7" t="n">
        <v>2031</v>
      </c>
      <c r="B1878" s="7" t="n">
        <v>4</v>
      </c>
      <c r="C1878" s="10" t="inlineStr">
        <is>
          <t>Ueb. bezog.Leis</t>
        </is>
      </c>
      <c r="D1878" s="10" t="inlineStr">
        <is>
          <t>Vorleistungen</t>
        </is>
      </c>
      <c r="E1878" s="7" t="n">
        <v>1404446.73</v>
      </c>
      <c r="F1878" s="7" t="n">
        <v>16853360.74</v>
      </c>
    </row>
    <row r="1879" ht="21" customHeight="1">
      <c r="A1879" s="7" t="n">
        <v>2027</v>
      </c>
      <c r="B1879" s="7" t="n">
        <v>4</v>
      </c>
      <c r="C1879" s="10" t="inlineStr">
        <is>
          <t>Fremdl. Fuhrlei</t>
        </is>
      </c>
      <c r="D1879" s="10" t="inlineStr">
        <is>
          <t>Vorleistungen</t>
        </is>
      </c>
      <c r="E1879" s="7" t="n">
        <v>371.09</v>
      </c>
      <c r="F1879" s="7" t="n">
        <v>4453.13</v>
      </c>
    </row>
    <row r="1880" ht="21" customHeight="1">
      <c r="A1880" s="7" t="n">
        <v>2027</v>
      </c>
      <c r="B1880" s="7" t="n">
        <v>4</v>
      </c>
      <c r="C1880" s="10" t="inlineStr">
        <is>
          <t>Behaelterkosten</t>
        </is>
      </c>
      <c r="D1880" s="10" t="inlineStr">
        <is>
          <t>Instandh. Betriebsausstattung</t>
        </is>
      </c>
      <c r="E1880" s="7" t="n">
        <v>11.02</v>
      </c>
      <c r="F1880" s="7" t="n">
        <v>132.19</v>
      </c>
    </row>
    <row r="1881" ht="21" customHeight="1">
      <c r="A1881" s="7" t="n">
        <v>2027</v>
      </c>
      <c r="B1881" s="7" t="n">
        <v>4</v>
      </c>
      <c r="C1881" s="10" t="inlineStr">
        <is>
          <t>Ueb Lohn-Gehalt</t>
        </is>
      </c>
      <c r="D1881" s="10" t="inlineStr">
        <is>
          <t>Personalaufwand</t>
        </is>
      </c>
      <c r="E1881" s="7" t="n">
        <v>30579.25</v>
      </c>
      <c r="F1881" s="7" t="n">
        <v>366951</v>
      </c>
    </row>
    <row r="1882" ht="21" customHeight="1">
      <c r="A1882" s="7" t="n">
        <v>2028</v>
      </c>
      <c r="B1882" s="7" t="n">
        <v>4</v>
      </c>
      <c r="C1882" s="10" t="inlineStr">
        <is>
          <t>Raumkosten</t>
        </is>
      </c>
      <c r="D1882" s="10" t="inlineStr">
        <is>
          <t>Raumkosten</t>
        </is>
      </c>
      <c r="E1882" s="7" t="n">
        <v>7023.98</v>
      </c>
      <c r="F1882" s="7" t="n">
        <v>84287.78</v>
      </c>
    </row>
    <row r="1883" ht="21" customHeight="1">
      <c r="A1883" s="7" t="n">
        <v>2031</v>
      </c>
      <c r="B1883" s="7" t="n">
        <v>4</v>
      </c>
      <c r="C1883" s="10" t="inlineStr">
        <is>
          <t>Bestandsveraend</t>
        </is>
      </c>
      <c r="D1883" s="10" t="inlineStr">
        <is>
          <t>Gesamtleistung</t>
        </is>
      </c>
      <c r="E1883" s="7" t="n">
        <v>0</v>
      </c>
      <c r="F1883" s="7" t="n">
        <v>0</v>
      </c>
    </row>
    <row r="1884" ht="21" customHeight="1">
      <c r="A1884" s="7" t="n">
        <v>2029</v>
      </c>
      <c r="B1884" s="7" t="n">
        <v>4</v>
      </c>
      <c r="C1884" s="10" t="inlineStr">
        <is>
          <t>Lohn + Gehalt</t>
        </is>
      </c>
      <c r="D1884" s="10" t="inlineStr">
        <is>
          <t>Personalaufwand</t>
        </is>
      </c>
      <c r="E1884" s="7" t="n">
        <v>356250.11</v>
      </c>
      <c r="F1884" s="7" t="n">
        <v>4275001.35</v>
      </c>
    </row>
    <row r="1885" ht="21" customHeight="1">
      <c r="A1885" s="7" t="n">
        <v>2029</v>
      </c>
      <c r="B1885" s="7" t="n">
        <v>4</v>
      </c>
      <c r="C1885" s="10" t="inlineStr">
        <is>
          <t>Aufw. Heizmat.</t>
        </is>
      </c>
      <c r="D1885" s="10" t="inlineStr">
        <is>
          <t>Vorleistungen</t>
        </is>
      </c>
      <c r="E1885" s="7" t="n">
        <v>245.07</v>
      </c>
      <c r="F1885" s="7" t="n">
        <v>2940.88</v>
      </c>
    </row>
    <row r="1886" ht="21" customHeight="1">
      <c r="A1886" s="7" t="n">
        <v>2031</v>
      </c>
      <c r="B1886" s="7" t="n">
        <v>4</v>
      </c>
      <c r="C1886" s="10" t="inlineStr">
        <is>
          <t>Verwaltungskost</t>
        </is>
      </c>
      <c r="D1886" s="10" t="inlineStr">
        <is>
          <t>Verwaltungskosten</t>
        </is>
      </c>
      <c r="E1886" s="7" t="n">
        <v>7531.31</v>
      </c>
      <c r="F1886" s="7" t="n">
        <v>90375.69</v>
      </c>
    </row>
    <row r="1887" ht="21" customHeight="1">
      <c r="A1887" s="7" t="n">
        <v>2028</v>
      </c>
      <c r="B1887" s="7" t="n">
        <v>4</v>
      </c>
      <c r="C1887" s="10" t="inlineStr">
        <is>
          <t>Erl. Waren Dt.</t>
        </is>
      </c>
      <c r="D1887" s="10" t="inlineStr">
        <is>
          <t>Gesamtleistung</t>
        </is>
      </c>
      <c r="E1887" s="7" t="n">
        <v>44950.49</v>
      </c>
      <c r="F1887" s="7" t="n">
        <v>539405.87</v>
      </c>
    </row>
    <row r="1888" ht="21" customHeight="1">
      <c r="A1888" s="7" t="n">
        <v>2030</v>
      </c>
      <c r="B1888" s="7" t="n">
        <v>4</v>
      </c>
      <c r="C1888" s="10" t="inlineStr">
        <is>
          <t>Uebr.neutr. Ert</t>
        </is>
      </c>
      <c r="D1888" s="10" t="inlineStr">
        <is>
          <t>Gesamtleistung</t>
        </is>
      </c>
      <c r="E1888" s="7" t="n">
        <v>207.38</v>
      </c>
      <c r="F1888" s="7" t="n">
        <v>2488.5</v>
      </c>
    </row>
    <row r="1889" ht="21" customHeight="1">
      <c r="A1889" s="7" t="n">
        <v>2030</v>
      </c>
      <c r="B1889" s="7" t="n">
        <v>4</v>
      </c>
      <c r="C1889" s="10" t="inlineStr">
        <is>
          <t>Raumkosten</t>
        </is>
      </c>
      <c r="D1889" s="10" t="inlineStr">
        <is>
          <t>Raumkosten</t>
        </is>
      </c>
      <c r="E1889" s="7" t="n">
        <v>7307.75</v>
      </c>
      <c r="F1889" s="7" t="n">
        <v>87693</v>
      </c>
    </row>
    <row r="1890" ht="21" customHeight="1">
      <c r="A1890" s="7" t="n">
        <v>2030</v>
      </c>
      <c r="B1890" s="7" t="n">
        <v>4</v>
      </c>
      <c r="C1890" s="10" t="inlineStr">
        <is>
          <t>Fremdl. Persona</t>
        </is>
      </c>
      <c r="D1890" s="10" t="inlineStr">
        <is>
          <t>Vorleistungen</t>
        </is>
      </c>
      <c r="E1890" s="7" t="n">
        <v>76.56999999999999</v>
      </c>
      <c r="F1890" s="7" t="n">
        <v>918.79</v>
      </c>
    </row>
    <row r="1891" ht="21" customHeight="1">
      <c r="A1891" s="7" t="n">
        <v>2027</v>
      </c>
      <c r="B1891" s="7" t="n">
        <v>4</v>
      </c>
      <c r="C1891" s="10" t="inlineStr">
        <is>
          <t>Leasing PKW</t>
        </is>
      </c>
      <c r="D1891" s="10" t="inlineStr">
        <is>
          <t>Fuhrparkkosten</t>
        </is>
      </c>
      <c r="E1891" s="7" t="n">
        <v>21940.43</v>
      </c>
      <c r="F1891" s="7" t="n">
        <v>263285.11</v>
      </c>
    </row>
    <row r="1892" ht="21" customHeight="1">
      <c r="A1892" s="7" t="n">
        <v>2030</v>
      </c>
      <c r="B1892" s="7" t="n">
        <v>4</v>
      </c>
      <c r="C1892" s="10" t="inlineStr">
        <is>
          <t>Ertrag KFZ-Nutz</t>
        </is>
      </c>
      <c r="D1892" s="10" t="inlineStr">
        <is>
          <t>Gesamtleistung</t>
        </is>
      </c>
      <c r="E1892" s="7" t="n">
        <v>9193.41</v>
      </c>
      <c r="F1892" s="7" t="n">
        <v>110320.94</v>
      </c>
    </row>
    <row r="1893" ht="21" customHeight="1">
      <c r="A1893" s="7" t="n">
        <v>2028</v>
      </c>
      <c r="B1893" s="7" t="n">
        <v>4</v>
      </c>
      <c r="C1893" s="10" t="inlineStr">
        <is>
          <t>Uebr.neutr. Ert</t>
        </is>
      </c>
      <c r="D1893" s="10" t="inlineStr">
        <is>
          <t>Gesamtleistung</t>
        </is>
      </c>
      <c r="E1893" s="7" t="n">
        <v>151.92</v>
      </c>
      <c r="F1893" s="7" t="n">
        <v>1823.08</v>
      </c>
    </row>
    <row r="1894" ht="21" customHeight="1">
      <c r="A1894" s="7" t="n">
        <v>2030</v>
      </c>
      <c r="B1894" s="7" t="n">
        <v>4</v>
      </c>
      <c r="C1894" s="10" t="inlineStr">
        <is>
          <t>Soziale Abgaben</t>
        </is>
      </c>
      <c r="D1894" s="10" t="inlineStr">
        <is>
          <t>Personalaufwand</t>
        </is>
      </c>
      <c r="E1894" s="7" t="n">
        <v>104141.87</v>
      </c>
      <c r="F1894" s="7" t="n">
        <v>1249702.47</v>
      </c>
    </row>
    <row r="1895" ht="21" customHeight="1">
      <c r="A1895" s="7" t="n">
        <v>2030</v>
      </c>
      <c r="B1895" s="7" t="n">
        <v>4</v>
      </c>
      <c r="C1895" s="10" t="inlineStr">
        <is>
          <t>Ankauf Rohstoff</t>
        </is>
      </c>
      <c r="D1895" s="10" t="inlineStr">
        <is>
          <t>Vorleistungen</t>
        </is>
      </c>
      <c r="E1895" s="7" t="n">
        <v>1483.55</v>
      </c>
      <c r="F1895" s="7" t="n">
        <v>17802.65</v>
      </c>
    </row>
    <row r="1896" ht="21" customHeight="1">
      <c r="A1896" s="7" t="n">
        <v>2031</v>
      </c>
      <c r="B1896" s="7" t="n">
        <v>4</v>
      </c>
      <c r="C1896" s="10" t="inlineStr">
        <is>
          <t>Aufw. Heizmat.</t>
        </is>
      </c>
      <c r="D1896" s="10" t="inlineStr">
        <is>
          <t>Vorleistungen</t>
        </is>
      </c>
      <c r="E1896" s="7" t="n">
        <v>216.16</v>
      </c>
      <c r="F1896" s="7" t="n">
        <v>2593.97</v>
      </c>
    </row>
    <row r="1897" ht="21" customHeight="1">
      <c r="A1897" s="7" t="n">
        <v>2030</v>
      </c>
      <c r="B1897" s="7" t="n">
        <v>4</v>
      </c>
      <c r="C1897" s="10" t="inlineStr">
        <is>
          <t>IT-Aufwendungen</t>
        </is>
      </c>
      <c r="D1897" s="10" t="inlineStr">
        <is>
          <t>Verwaltungskosten</t>
        </is>
      </c>
      <c r="E1897" s="7" t="n">
        <v>12671.51</v>
      </c>
      <c r="F1897" s="7" t="n">
        <v>152058.16</v>
      </c>
    </row>
    <row r="1898" ht="21" customHeight="1">
      <c r="A1898" s="7" t="n">
        <v>2027</v>
      </c>
      <c r="B1898" s="7" t="n">
        <v>4</v>
      </c>
      <c r="C1898" s="10" t="inlineStr">
        <is>
          <t>Treibstoffe, Oe</t>
        </is>
      </c>
      <c r="D1898" s="10" t="inlineStr">
        <is>
          <t>Fuhrparkkosten</t>
        </is>
      </c>
      <c r="E1898" s="7" t="n">
        <v>28695.87</v>
      </c>
      <c r="F1898" s="7" t="n">
        <v>344350.48</v>
      </c>
    </row>
    <row r="1899" ht="21" customHeight="1">
      <c r="A1899" s="7" t="n">
        <v>2028</v>
      </c>
      <c r="B1899" s="7" t="n">
        <v>4</v>
      </c>
      <c r="C1899" s="10" t="inlineStr">
        <is>
          <t>Aufw. Heizmat.</t>
        </is>
      </c>
      <c r="D1899" s="10" t="inlineStr">
        <is>
          <t>Vorleistungen</t>
        </is>
      </c>
      <c r="E1899" s="7" t="n">
        <v>260.43</v>
      </c>
      <c r="F1899" s="7" t="n">
        <v>3125.13</v>
      </c>
    </row>
    <row r="1900" ht="21" customHeight="1">
      <c r="A1900" s="7" t="n">
        <v>2031</v>
      </c>
      <c r="B1900" s="7" t="n">
        <v>4</v>
      </c>
      <c r="C1900" s="10" t="inlineStr">
        <is>
          <t>Ertrag KFZ-Nutz</t>
        </is>
      </c>
      <c r="D1900" s="10" t="inlineStr">
        <is>
          <t>Gesamtleistung</t>
        </is>
      </c>
      <c r="E1900" s="7" t="n">
        <v>9597.290000000001</v>
      </c>
      <c r="F1900" s="7" t="n">
        <v>115167.5</v>
      </c>
    </row>
    <row r="1901" ht="21" customHeight="1">
      <c r="A1901" s="7" t="n">
        <v>2027</v>
      </c>
      <c r="B1901" s="7" t="n">
        <v>4</v>
      </c>
      <c r="C1901" s="10" t="inlineStr">
        <is>
          <t>Raumkosten</t>
        </is>
      </c>
      <c r="D1901" s="10" t="inlineStr">
        <is>
          <t>Raumkosten</t>
        </is>
      </c>
      <c r="E1901" s="7" t="n">
        <v>5046.85</v>
      </c>
      <c r="F1901" s="7" t="n">
        <v>60562.14</v>
      </c>
    </row>
    <row r="1902" ht="21" customHeight="1">
      <c r="A1902" s="7" t="n">
        <v>2028</v>
      </c>
      <c r="B1902" s="7" t="n">
        <v>4</v>
      </c>
      <c r="C1902" s="10" t="inlineStr">
        <is>
          <t>Soziale Abgaben</t>
        </is>
      </c>
      <c r="D1902" s="10" t="inlineStr">
        <is>
          <t>Personalaufwand</t>
        </is>
      </c>
      <c r="E1902" s="7" t="n">
        <v>85007.57000000001</v>
      </c>
      <c r="F1902" s="7" t="n">
        <v>1020090.84</v>
      </c>
    </row>
    <row r="1903" ht="21" customHeight="1">
      <c r="A1903" s="7" t="n">
        <v>2029</v>
      </c>
      <c r="B1903" s="7" t="n">
        <v>4</v>
      </c>
      <c r="C1903" s="10" t="inlineStr">
        <is>
          <t>Miete Grdst/Gebäud</t>
        </is>
      </c>
      <c r="D1903" s="10" t="inlineStr">
        <is>
          <t>Raumkosten</t>
        </is>
      </c>
      <c r="E1903" s="7" t="n">
        <v>18238.55</v>
      </c>
      <c r="F1903" s="7" t="n">
        <v>218862.64</v>
      </c>
    </row>
    <row r="1904" ht="21" customHeight="1">
      <c r="A1904" s="7" t="n">
        <v>2031</v>
      </c>
      <c r="B1904" s="7" t="n">
        <v>4</v>
      </c>
      <c r="C1904" s="10" t="inlineStr">
        <is>
          <t>Raumkosten</t>
        </is>
      </c>
      <c r="D1904" s="10" t="inlineStr">
        <is>
          <t>Raumkosten</t>
        </is>
      </c>
      <c r="E1904" s="7" t="n">
        <v>7453.91</v>
      </c>
      <c r="F1904" s="7" t="n">
        <v>89446.89</v>
      </c>
    </row>
    <row r="1905" ht="21" customHeight="1">
      <c r="A1905" s="7" t="n">
        <v>2031</v>
      </c>
      <c r="B1905" s="7" t="n">
        <v>4</v>
      </c>
      <c r="C1905" s="10" t="inlineStr">
        <is>
          <t>Behaelterkosten</t>
        </is>
      </c>
      <c r="D1905" s="10" t="inlineStr">
        <is>
          <t>Instandh. Betriebsausstattung</t>
        </is>
      </c>
      <c r="E1905" s="7" t="n">
        <v>13.39</v>
      </c>
      <c r="F1905" s="7" t="n">
        <v>160.68</v>
      </c>
    </row>
    <row r="1906" ht="21" customHeight="1">
      <c r="A1906" s="7" t="n">
        <v>2031</v>
      </c>
      <c r="B1906" s="7" t="n">
        <v>4</v>
      </c>
      <c r="C1906" s="10" t="inlineStr">
        <is>
          <t>Instandh.Fuhrp</t>
        </is>
      </c>
      <c r="D1906" s="10" t="inlineStr">
        <is>
          <t>Fuhrparkkosten</t>
        </is>
      </c>
      <c r="E1906" s="7" t="n">
        <v>38327.36</v>
      </c>
      <c r="F1906" s="7" t="n">
        <v>459928.28</v>
      </c>
    </row>
    <row r="1907" ht="21" customHeight="1">
      <c r="A1907" s="7" t="n">
        <v>2030</v>
      </c>
      <c r="B1907" s="7" t="n">
        <v>4</v>
      </c>
      <c r="C1907" s="10" t="inlineStr">
        <is>
          <t>Ueb. bezog.Leis</t>
        </is>
      </c>
      <c r="D1907" s="10" t="inlineStr">
        <is>
          <t>Vorleistungen</t>
        </is>
      </c>
      <c r="E1907" s="7" t="n">
        <v>1385029.28</v>
      </c>
      <c r="F1907" s="7" t="n">
        <v>16620351.38</v>
      </c>
    </row>
    <row r="1908" ht="21" customHeight="1">
      <c r="A1908" s="7" t="n">
        <v>2027</v>
      </c>
      <c r="B1908" s="7" t="n">
        <v>4</v>
      </c>
      <c r="C1908" s="10" t="inlineStr">
        <is>
          <t>Miete LKW,Schiffe</t>
        </is>
      </c>
      <c r="D1908" s="10" t="inlineStr">
        <is>
          <t>Fuhrparkkosten</t>
        </is>
      </c>
      <c r="E1908" s="7" t="n">
        <v>36751.61</v>
      </c>
      <c r="F1908" s="7" t="n">
        <v>441019.28</v>
      </c>
    </row>
    <row r="1909" ht="21" customHeight="1">
      <c r="A1909" s="7" t="n">
        <v>2030</v>
      </c>
      <c r="B1909" s="7" t="n">
        <v>4</v>
      </c>
      <c r="C1909" s="10" t="inlineStr">
        <is>
          <t>Leasing LKW</t>
        </is>
      </c>
      <c r="D1909" s="10" t="inlineStr">
        <is>
          <t>Fuhrparkkosten</t>
        </is>
      </c>
      <c r="E1909" s="7" t="n">
        <v>2745.62</v>
      </c>
      <c r="F1909" s="7" t="n">
        <v>32947.44</v>
      </c>
    </row>
    <row r="1910" ht="21" customHeight="1">
      <c r="A1910" s="7" t="n">
        <v>2031</v>
      </c>
      <c r="B1910" s="7" t="n">
        <v>4</v>
      </c>
      <c r="C1910" s="10" t="inlineStr">
        <is>
          <t>Vertriebskosten</t>
        </is>
      </c>
      <c r="D1910" s="10" t="inlineStr">
        <is>
          <t>Vertriebskosten</t>
        </is>
      </c>
      <c r="E1910" s="7" t="n">
        <v>13167.99</v>
      </c>
      <c r="F1910" s="7" t="n">
        <v>158015.82</v>
      </c>
    </row>
    <row r="1911" ht="21" customHeight="1">
      <c r="A1911" s="7" t="n">
        <v>2028</v>
      </c>
      <c r="B1911" s="7" t="n">
        <v>4</v>
      </c>
      <c r="C1911" s="10" t="inlineStr">
        <is>
          <t>Behaelterkosten</t>
        </is>
      </c>
      <c r="D1911" s="10" t="inlineStr">
        <is>
          <t>Instandh. Betriebsausstattung</t>
        </is>
      </c>
      <c r="E1911" s="7" t="n">
        <v>11.57</v>
      </c>
      <c r="F1911" s="7" t="n">
        <v>138.8</v>
      </c>
    </row>
    <row r="1912" ht="21" customHeight="1">
      <c r="A1912" s="7" t="n">
        <v>2030</v>
      </c>
      <c r="B1912" s="7" t="n">
        <v>4</v>
      </c>
      <c r="C1912" s="10" t="inlineStr">
        <is>
          <t>Verwaltungskost</t>
        </is>
      </c>
      <c r="D1912" s="10" t="inlineStr">
        <is>
          <t>Verwaltungskosten</t>
        </is>
      </c>
      <c r="E1912" s="7" t="n">
        <v>7311.95</v>
      </c>
      <c r="F1912" s="7" t="n">
        <v>87743.38</v>
      </c>
    </row>
    <row r="1913" ht="21" customHeight="1">
      <c r="A1913" s="7" t="n">
        <v>2030</v>
      </c>
      <c r="B1913" s="7" t="n">
        <v>4</v>
      </c>
      <c r="C1913" s="10" t="inlineStr">
        <is>
          <t>Rechts- u. Beratungs</t>
        </is>
      </c>
      <c r="D1913" s="10" t="inlineStr">
        <is>
          <t>Verwaltungskosten</t>
        </is>
      </c>
      <c r="E1913" s="7" t="n">
        <v>28013.14</v>
      </c>
      <c r="F1913" s="7" t="n">
        <v>336157.66</v>
      </c>
    </row>
    <row r="1914" ht="21" customHeight="1">
      <c r="A1914" s="7" t="n">
        <v>2028</v>
      </c>
      <c r="B1914" s="7" t="n">
        <v>4</v>
      </c>
      <c r="C1914" s="10" t="inlineStr">
        <is>
          <t>Sonst Fuhrparkkosten</t>
        </is>
      </c>
      <c r="D1914" s="10" t="inlineStr">
        <is>
          <t>Fuhrparkkosten</t>
        </is>
      </c>
      <c r="E1914" s="7" t="n">
        <v>5288.59</v>
      </c>
      <c r="F1914" s="7" t="n">
        <v>63463.1</v>
      </c>
    </row>
    <row r="1915" ht="21" customHeight="1">
      <c r="A1915" s="7" t="n">
        <v>2029</v>
      </c>
      <c r="B1915" s="7" t="n">
        <v>4</v>
      </c>
      <c r="C1915" s="10" t="inlineStr">
        <is>
          <t>Erl. so. DL Dt.</t>
        </is>
      </c>
      <c r="D1915" s="10" t="inlineStr">
        <is>
          <t>Gesamtleistung</t>
        </is>
      </c>
      <c r="E1915" s="7" t="n">
        <v>2200755.15</v>
      </c>
      <c r="F1915" s="7" t="n">
        <v>26409061.76</v>
      </c>
    </row>
    <row r="1916" ht="21" customHeight="1">
      <c r="A1916" s="7" t="n">
        <v>2031</v>
      </c>
      <c r="B1916" s="7" t="n">
        <v>4</v>
      </c>
      <c r="C1916" s="10" t="inlineStr">
        <is>
          <t>Uebr.neutr. Ert</t>
        </is>
      </c>
      <c r="D1916" s="10" t="inlineStr">
        <is>
          <t>Gesamtleistung</t>
        </is>
      </c>
      <c r="E1916" s="7" t="n">
        <v>227.28</v>
      </c>
      <c r="F1916" s="7" t="n">
        <v>2727.33</v>
      </c>
    </row>
    <row r="1917" ht="21" customHeight="1">
      <c r="A1917" s="7" t="n">
        <v>2030</v>
      </c>
      <c r="B1917" s="7" t="n">
        <v>4</v>
      </c>
      <c r="C1917" s="10" t="inlineStr">
        <is>
          <t>Erl. Waren Dt.</t>
        </is>
      </c>
      <c r="D1917" s="10" t="inlineStr">
        <is>
          <t>Gesamtleistung</t>
        </is>
      </c>
      <c r="E1917" s="7" t="n">
        <v>49038.99</v>
      </c>
      <c r="F1917" s="7" t="n">
        <v>588467.85</v>
      </c>
    </row>
    <row r="1918" ht="21" customHeight="1">
      <c r="A1918" s="7" t="n">
        <v>2028</v>
      </c>
      <c r="B1918" s="7" t="n">
        <v>4</v>
      </c>
      <c r="C1918" s="10" t="inlineStr">
        <is>
          <t>Weiterber. Frem</t>
        </is>
      </c>
      <c r="D1918" s="10" t="inlineStr">
        <is>
          <t>Vorleistungen</t>
        </is>
      </c>
      <c r="E1918" s="7" t="n">
        <v>0</v>
      </c>
      <c r="F1918" s="7" t="n">
        <v>0</v>
      </c>
    </row>
    <row r="1919" ht="21" customHeight="1">
      <c r="A1919" s="7" t="n">
        <v>2027</v>
      </c>
      <c r="B1919" s="7" t="n">
        <v>4</v>
      </c>
      <c r="C1919" s="10" t="inlineStr">
        <is>
          <t>IT-Aufwendungen</t>
        </is>
      </c>
      <c r="D1919" s="10" t="inlineStr">
        <is>
          <t>Verwaltungskosten</t>
        </is>
      </c>
      <c r="E1919" s="7" t="n">
        <v>11596.23</v>
      </c>
      <c r="F1919" s="7" t="n">
        <v>139154.76</v>
      </c>
    </row>
    <row r="1920" ht="21" customHeight="1">
      <c r="A1920" s="7" t="n">
        <v>2028</v>
      </c>
      <c r="B1920" s="7" t="n">
        <v>4</v>
      </c>
      <c r="C1920" s="10" t="inlineStr">
        <is>
          <t>Leasing LKW</t>
        </is>
      </c>
      <c r="D1920" s="10" t="inlineStr">
        <is>
          <t>Fuhrparkkosten</t>
        </is>
      </c>
      <c r="E1920" s="7" t="n">
        <v>2443.59</v>
      </c>
      <c r="F1920" s="7" t="n">
        <v>29323.11</v>
      </c>
    </row>
    <row r="1921" ht="21" customHeight="1">
      <c r="A1921" s="7" t="n">
        <v>2031</v>
      </c>
      <c r="B1921" s="7" t="n">
        <v>4</v>
      </c>
      <c r="C1921" s="10" t="inlineStr">
        <is>
          <t>Weiterber. Frem</t>
        </is>
      </c>
      <c r="D1921" s="10" t="inlineStr">
        <is>
          <t>Vorleistungen</t>
        </is>
      </c>
      <c r="E1921" s="7" t="n">
        <v>0</v>
      </c>
      <c r="F1921" s="7" t="n">
        <v>0</v>
      </c>
    </row>
    <row r="1922" ht="21" customHeight="1">
      <c r="A1922" s="7" t="n">
        <v>2028</v>
      </c>
      <c r="B1922" s="7" t="n">
        <v>4</v>
      </c>
      <c r="C1922" s="10" t="inlineStr">
        <is>
          <t>Lohn + Gehalt</t>
        </is>
      </c>
      <c r="D1922" s="10" t="inlineStr">
        <is>
          <t>Personalaufwand</t>
        </is>
      </c>
      <c r="E1922" s="7" t="n">
        <v>321097.26</v>
      </c>
      <c r="F1922" s="7" t="n">
        <v>3853167.13</v>
      </c>
    </row>
    <row r="1923" ht="21" customHeight="1">
      <c r="A1923" s="7" t="n">
        <v>2029</v>
      </c>
      <c r="B1923" s="7" t="n">
        <v>4</v>
      </c>
      <c r="C1923" s="10" t="inlineStr">
        <is>
          <t>Miete LKW,Schiffe</t>
        </is>
      </c>
      <c r="D1923" s="10" t="inlineStr">
        <is>
          <t>Fuhrparkkosten</t>
        </is>
      </c>
      <c r="E1923" s="7" t="n">
        <v>41294.11</v>
      </c>
      <c r="F1923" s="7" t="n">
        <v>495529.28</v>
      </c>
    </row>
    <row r="1924" ht="21" customHeight="1">
      <c r="A1924" s="7" t="n">
        <v>2030</v>
      </c>
      <c r="B1924" s="7" t="n">
        <v>4</v>
      </c>
      <c r="C1924" s="10" t="inlineStr">
        <is>
          <t>Erl. so. DL Dt.</t>
        </is>
      </c>
      <c r="D1924" s="10" t="inlineStr">
        <is>
          <t>Gesamtleistung</t>
        </is>
      </c>
      <c r="E1924" s="7" t="n">
        <v>2311684.01</v>
      </c>
      <c r="F1924" s="7" t="n">
        <v>27740208.09</v>
      </c>
    </row>
    <row r="1925" ht="21" customHeight="1">
      <c r="A1925" s="7" t="n">
        <v>2030</v>
      </c>
      <c r="B1925" s="7" t="n">
        <v>4</v>
      </c>
      <c r="C1925" s="10" t="inlineStr">
        <is>
          <t>Versicherungskosten</t>
        </is>
      </c>
      <c r="D1925" s="10" t="inlineStr">
        <is>
          <t>Verwaltungskosten</t>
        </is>
      </c>
      <c r="E1925" s="7" t="n">
        <v>11790.1</v>
      </c>
      <c r="F1925" s="7" t="n">
        <v>141481.23</v>
      </c>
    </row>
    <row r="1926" ht="21" customHeight="1">
      <c r="A1926" s="7" t="n">
        <v>2029</v>
      </c>
      <c r="B1926" s="7" t="n">
        <v>4</v>
      </c>
      <c r="C1926" s="10" t="inlineStr">
        <is>
          <t>Sonstige Steuer</t>
        </is>
      </c>
      <c r="D1926" s="10" t="inlineStr">
        <is>
          <t>Fuhrparkkosten</t>
        </is>
      </c>
      <c r="E1926" s="7" t="n">
        <v>1682.38</v>
      </c>
      <c r="F1926" s="7" t="n">
        <v>20188.51</v>
      </c>
    </row>
    <row r="1927" ht="21" customHeight="1">
      <c r="A1927" s="7" t="n">
        <v>2027</v>
      </c>
      <c r="B1927" s="7" t="n">
        <v>4</v>
      </c>
      <c r="C1927" s="10" t="inlineStr">
        <is>
          <t>Sonst Fuhrparkkosten</t>
        </is>
      </c>
      <c r="D1927" s="10" t="inlineStr">
        <is>
          <t>Fuhrparkkosten</t>
        </is>
      </c>
      <c r="E1927" s="7" t="n">
        <v>4989.24</v>
      </c>
      <c r="F1927" s="7" t="n">
        <v>59870.86</v>
      </c>
    </row>
    <row r="1928" ht="21" customHeight="1">
      <c r="A1928" s="7" t="n">
        <v>2028</v>
      </c>
      <c r="B1928" s="7" t="n">
        <v>4</v>
      </c>
      <c r="C1928" s="10" t="inlineStr">
        <is>
          <t>Bestandsveraend</t>
        </is>
      </c>
      <c r="D1928" s="10" t="inlineStr">
        <is>
          <t>Gesamtleistung</t>
        </is>
      </c>
      <c r="E1928" s="7" t="n">
        <v>0</v>
      </c>
      <c r="F1928" s="7" t="n">
        <v>0</v>
      </c>
    </row>
    <row r="1929" ht="21" customHeight="1">
      <c r="A1929" s="7" t="n">
        <v>2028</v>
      </c>
      <c r="B1929" s="7" t="n">
        <v>4</v>
      </c>
      <c r="C1929" s="10" t="inlineStr">
        <is>
          <t>So. betr. Aufwa</t>
        </is>
      </c>
      <c r="D1929" s="10" t="inlineStr">
        <is>
          <t>Verwaltungskosten</t>
        </is>
      </c>
      <c r="E1929" s="7" t="n">
        <v>673.0599999999999</v>
      </c>
      <c r="F1929" s="7" t="n">
        <v>8076.71</v>
      </c>
    </row>
    <row r="1930" ht="21" customHeight="1">
      <c r="A1930" s="7" t="n">
        <v>2030</v>
      </c>
      <c r="B1930" s="7" t="n">
        <v>4</v>
      </c>
      <c r="C1930" s="10" t="inlineStr">
        <is>
          <t>Miete LKW,Schiffe</t>
        </is>
      </c>
      <c r="D1930" s="10" t="inlineStr">
        <is>
          <t>Fuhrparkkosten</t>
        </is>
      </c>
      <c r="E1930" s="7" t="n">
        <v>43771.75</v>
      </c>
      <c r="F1930" s="7" t="n">
        <v>525261.04</v>
      </c>
    </row>
    <row r="1931" ht="21" customHeight="1">
      <c r="A1931" s="7" t="n">
        <v>2028</v>
      </c>
      <c r="B1931" s="7" t="n">
        <v>4</v>
      </c>
      <c r="C1931" s="10" t="inlineStr">
        <is>
          <t>Miete LKW,Schiffe</t>
        </is>
      </c>
      <c r="D1931" s="10" t="inlineStr">
        <is>
          <t>Fuhrparkkosten</t>
        </is>
      </c>
      <c r="E1931" s="7" t="n">
        <v>38956.71</v>
      </c>
      <c r="F1931" s="7" t="n">
        <v>467480.47</v>
      </c>
    </row>
    <row r="1932" ht="21" customHeight="1">
      <c r="A1932" s="7" t="n">
        <v>2028</v>
      </c>
      <c r="B1932" s="7" t="n">
        <v>4</v>
      </c>
      <c r="C1932" s="10" t="inlineStr">
        <is>
          <t>sonst Personalk</t>
        </is>
      </c>
      <c r="D1932" s="10" t="inlineStr">
        <is>
          <t>Personalaufwand</t>
        </is>
      </c>
      <c r="E1932" s="7" t="n">
        <v>12597.51</v>
      </c>
      <c r="F1932" s="7" t="n">
        <v>151170.09</v>
      </c>
    </row>
    <row r="1933" ht="21" customHeight="1">
      <c r="A1933" s="7" t="n">
        <v>2030</v>
      </c>
      <c r="B1933" s="7" t="n">
        <v>4</v>
      </c>
      <c r="C1933" s="10" t="inlineStr">
        <is>
          <t>Leasing PKW</t>
        </is>
      </c>
      <c r="D1933" s="10" t="inlineStr">
        <is>
          <t>Fuhrparkkosten</t>
        </is>
      </c>
      <c r="E1933" s="7" t="n">
        <v>26131.4</v>
      </c>
      <c r="F1933" s="7" t="n">
        <v>313576.76</v>
      </c>
    </row>
    <row r="1934" ht="21" customHeight="1">
      <c r="A1934" s="7" t="n">
        <v>2031</v>
      </c>
      <c r="B1934" s="7" t="n">
        <v>4</v>
      </c>
      <c r="C1934" s="10" t="inlineStr">
        <is>
          <t>Aufwand Umlage</t>
        </is>
      </c>
      <c r="D1934" s="10" t="inlineStr">
        <is>
          <t>Verwaltungskosten</t>
        </is>
      </c>
      <c r="E1934" s="7" t="n">
        <v>3807.87</v>
      </c>
      <c r="F1934" s="7" t="n">
        <v>45694.43</v>
      </c>
    </row>
    <row r="1935" ht="21" customHeight="1">
      <c r="A1935" s="7" t="n">
        <v>2031</v>
      </c>
      <c r="B1935" s="7" t="n">
        <v>4</v>
      </c>
      <c r="C1935" s="10" t="inlineStr">
        <is>
          <t>sonst Personalk</t>
        </is>
      </c>
      <c r="D1935" s="10" t="inlineStr">
        <is>
          <t>Personalaufwand</t>
        </is>
      </c>
      <c r="E1935" s="7" t="n">
        <v>17070.54</v>
      </c>
      <c r="F1935" s="7" t="n">
        <v>204846.51</v>
      </c>
    </row>
    <row r="1936" ht="21" customHeight="1">
      <c r="A1936" s="7" t="n">
        <v>2027</v>
      </c>
      <c r="B1936" s="7" t="n">
        <v>4</v>
      </c>
      <c r="C1936" s="10" t="inlineStr">
        <is>
          <t>sonst Personalk</t>
        </is>
      </c>
      <c r="D1936" s="10" t="inlineStr">
        <is>
          <t>Personalaufwand</t>
        </is>
      </c>
      <c r="E1936" s="7" t="n">
        <v>10949.84</v>
      </c>
      <c r="F1936" s="7" t="n">
        <v>131398.1</v>
      </c>
    </row>
    <row r="1937" ht="21" customHeight="1">
      <c r="A1937" s="7" t="n">
        <v>2031</v>
      </c>
      <c r="B1937" s="7" t="n">
        <v>4</v>
      </c>
      <c r="C1937" s="10" t="inlineStr">
        <is>
          <t>Miete PKW</t>
        </is>
      </c>
      <c r="D1937" s="10" t="inlineStr">
        <is>
          <t>Fuhrparkkosten</t>
        </is>
      </c>
      <c r="E1937" s="7" t="n">
        <v>5824.81</v>
      </c>
      <c r="F1937" s="7" t="n">
        <v>69897.67</v>
      </c>
    </row>
    <row r="1938" ht="21" customHeight="1">
      <c r="A1938" s="7" t="n">
        <v>2029</v>
      </c>
      <c r="B1938" s="7" t="n">
        <v>4</v>
      </c>
      <c r="C1938" s="10" t="inlineStr">
        <is>
          <t>Raumkosten</t>
        </is>
      </c>
      <c r="D1938" s="10" t="inlineStr">
        <is>
          <t>Raumkosten</t>
        </is>
      </c>
      <c r="E1938" s="7" t="n">
        <v>7164.46</v>
      </c>
      <c r="F1938" s="7" t="n">
        <v>85973.53</v>
      </c>
    </row>
    <row r="1939" ht="21" customHeight="1">
      <c r="A1939" s="7" t="n">
        <v>2031</v>
      </c>
      <c r="B1939" s="7" t="n">
        <v>4</v>
      </c>
      <c r="C1939" s="10" t="inlineStr">
        <is>
          <t>Aufw. f. Alters</t>
        </is>
      </c>
      <c r="D1939" s="10" t="inlineStr">
        <is>
          <t>Personalaufwand</t>
        </is>
      </c>
      <c r="E1939" s="7" t="n">
        <v>1434.03</v>
      </c>
      <c r="F1939" s="7" t="n">
        <v>17208.41</v>
      </c>
    </row>
    <row r="1940" ht="21" customHeight="1">
      <c r="A1940" s="7" t="n">
        <v>2031</v>
      </c>
      <c r="B1940" s="7" t="n">
        <v>4</v>
      </c>
      <c r="C1940" s="10" t="inlineStr">
        <is>
          <t>IT-Aufwendungen</t>
        </is>
      </c>
      <c r="D1940" s="10" t="inlineStr">
        <is>
          <t>Verwaltungskosten</t>
        </is>
      </c>
      <c r="E1940" s="7" t="n">
        <v>13051.66</v>
      </c>
      <c r="F1940" s="7" t="n">
        <v>156619.9</v>
      </c>
    </row>
    <row r="1941" ht="21" customHeight="1">
      <c r="A1941" s="7" t="n">
        <v>2028</v>
      </c>
      <c r="B1941" s="7" t="n">
        <v>4</v>
      </c>
      <c r="C1941" s="10" t="inlineStr">
        <is>
          <t>Miete Grdst/Gebäud</t>
        </is>
      </c>
      <c r="D1941" s="10" t="inlineStr">
        <is>
          <t>Raumkosten</t>
        </is>
      </c>
      <c r="E1941" s="7" t="n">
        <v>17880.93</v>
      </c>
      <c r="F1941" s="7" t="n">
        <v>214571.21</v>
      </c>
    </row>
    <row r="1942" ht="21" customHeight="1">
      <c r="A1942" s="7" t="n">
        <v>2027</v>
      </c>
      <c r="B1942" s="7" t="n">
        <v>4</v>
      </c>
      <c r="C1942" s="10" t="inlineStr">
        <is>
          <t>Erloesschmaeler</t>
        </is>
      </c>
      <c r="D1942" s="10" t="inlineStr">
        <is>
          <t>Gesamtleistung</t>
        </is>
      </c>
      <c r="E1942" s="7" t="n">
        <v>-7483.88</v>
      </c>
      <c r="F1942" s="7" t="n">
        <v>-89806.53</v>
      </c>
    </row>
    <row r="1943" ht="21" customHeight="1">
      <c r="A1943" s="7" t="n">
        <v>2029</v>
      </c>
      <c r="B1943" s="7" t="n">
        <v>4</v>
      </c>
      <c r="C1943" s="10" t="inlineStr">
        <is>
          <t>sonst Personalk</t>
        </is>
      </c>
      <c r="D1943" s="10" t="inlineStr">
        <is>
          <t>Personalaufwand</t>
        </is>
      </c>
      <c r="E1943" s="7" t="n">
        <v>13957.15</v>
      </c>
      <c r="F1943" s="7" t="n">
        <v>167485.78</v>
      </c>
    </row>
    <row r="1944" ht="21" customHeight="1">
      <c r="A1944" s="7" t="n">
        <v>2028</v>
      </c>
      <c r="B1944" s="7" t="n">
        <v>4</v>
      </c>
      <c r="C1944" s="10" t="inlineStr">
        <is>
          <t>Fremdl. Fuhrlei</t>
        </is>
      </c>
      <c r="D1944" s="10" t="inlineStr">
        <is>
          <t>Vorleistungen</t>
        </is>
      </c>
      <c r="E1944" s="7" t="n">
        <v>363.29</v>
      </c>
      <c r="F1944" s="7" t="n">
        <v>4359.52</v>
      </c>
    </row>
    <row r="1945" ht="21" customHeight="1">
      <c r="A1945" s="7" t="n">
        <v>2027</v>
      </c>
      <c r="B1945" s="7" t="n">
        <v>4</v>
      </c>
      <c r="C1945" s="10" t="inlineStr">
        <is>
          <t>Erl. so. DL Dt.</t>
        </is>
      </c>
      <c r="D1945" s="10" t="inlineStr">
        <is>
          <t>Gesamtleistung</t>
        </is>
      </c>
      <c r="E1945" s="7" t="n">
        <v>1996174.37</v>
      </c>
      <c r="F1945" s="7" t="n">
        <v>23954092.45</v>
      </c>
    </row>
    <row r="1946" ht="21" customHeight="1">
      <c r="A1946" s="7" t="n">
        <v>2027</v>
      </c>
      <c r="B1946" s="7" t="n">
        <v>4</v>
      </c>
      <c r="C1946" s="10" t="inlineStr">
        <is>
          <t>Aufw. Heizmat.</t>
        </is>
      </c>
      <c r="D1946" s="10" t="inlineStr">
        <is>
          <t>Vorleistungen</t>
        </is>
      </c>
      <c r="E1946" s="7" t="n">
        <v>275.72</v>
      </c>
      <c r="F1946" s="7" t="n">
        <v>3308.65</v>
      </c>
    </row>
    <row r="1947" ht="21" customHeight="1">
      <c r="A1947" s="7" t="n">
        <v>2028</v>
      </c>
      <c r="B1947" s="7" t="n">
        <v>4</v>
      </c>
      <c r="C1947" s="10" t="inlineStr">
        <is>
          <t>Versicherungskosten</t>
        </is>
      </c>
      <c r="D1947" s="10" t="inlineStr">
        <is>
          <t>Verwaltungskosten</t>
        </is>
      </c>
      <c r="E1947" s="7" t="n">
        <v>11113.3</v>
      </c>
      <c r="F1947" s="7" t="n">
        <v>133359.63</v>
      </c>
    </row>
    <row r="1948" ht="21" customHeight="1">
      <c r="A1948" s="7" t="n">
        <v>2031</v>
      </c>
      <c r="B1948" s="7" t="n">
        <v>4</v>
      </c>
      <c r="C1948" s="10" t="inlineStr">
        <is>
          <t>Miete LKW,Schiffe</t>
        </is>
      </c>
      <c r="D1948" s="10" t="inlineStr">
        <is>
          <t>Fuhrparkkosten</t>
        </is>
      </c>
      <c r="E1948" s="7" t="n">
        <v>46398.06</v>
      </c>
      <c r="F1948" s="7" t="n">
        <v>556776.71</v>
      </c>
    </row>
    <row r="1949" ht="21" customHeight="1">
      <c r="A1949" s="7" t="n">
        <v>2027</v>
      </c>
      <c r="B1949" s="7" t="n">
        <v>4</v>
      </c>
      <c r="C1949" s="10" t="inlineStr">
        <is>
          <t>Weiterber. Frem</t>
        </is>
      </c>
      <c r="D1949" s="10" t="inlineStr">
        <is>
          <t>Vorleistungen</t>
        </is>
      </c>
      <c r="E1949" s="7" t="n">
        <v>0</v>
      </c>
      <c r="F1949" s="7" t="n">
        <v>0</v>
      </c>
    </row>
    <row r="1950" ht="21" customHeight="1">
      <c r="A1950" s="7" t="n">
        <v>2028</v>
      </c>
      <c r="B1950" s="7" t="n">
        <v>4</v>
      </c>
      <c r="C1950" s="10" t="inlineStr">
        <is>
          <t>Erloesschmaeler</t>
        </is>
      </c>
      <c r="D1950" s="10" t="inlineStr">
        <is>
          <t>Gesamtleistung</t>
        </is>
      </c>
      <c r="E1950" s="7" t="n">
        <v>-8355.469999999999</v>
      </c>
      <c r="F1950" s="7" t="n">
        <v>-100265.61</v>
      </c>
    </row>
    <row r="1951" ht="21" customHeight="1">
      <c r="A1951" s="7" t="n">
        <v>2027</v>
      </c>
      <c r="B1951" s="7" t="n">
        <v>4</v>
      </c>
      <c r="C1951" s="10" t="inlineStr">
        <is>
          <t>Uebr.neutr. Ert</t>
        </is>
      </c>
      <c r="D1951" s="10" t="inlineStr">
        <is>
          <t>Gesamtleistung</t>
        </is>
      </c>
      <c r="E1951" s="7" t="n">
        <v>113.94</v>
      </c>
      <c r="F1951" s="7" t="n">
        <v>1367.31</v>
      </c>
    </row>
    <row r="1952" ht="21" customHeight="1">
      <c r="A1952" s="7" t="n">
        <v>2028</v>
      </c>
      <c r="B1952" s="7" t="n">
        <v>4</v>
      </c>
      <c r="C1952" s="10" t="inlineStr">
        <is>
          <t>Miete Behälter</t>
        </is>
      </c>
      <c r="D1952" s="10" t="inlineStr">
        <is>
          <t>Instandh. Betriebsausstattung</t>
        </is>
      </c>
      <c r="E1952" s="7" t="n">
        <v>24.08</v>
      </c>
      <c r="F1952" s="7" t="n">
        <v>289</v>
      </c>
    </row>
    <row r="1953" ht="21" customHeight="1">
      <c r="A1953" s="7" t="n">
        <v>2028</v>
      </c>
      <c r="B1953" s="7" t="n">
        <v>4</v>
      </c>
      <c r="C1953" s="10" t="inlineStr">
        <is>
          <t>Aufw. so. Hilfs</t>
        </is>
      </c>
      <c r="D1953" s="10" t="inlineStr">
        <is>
          <t>Vorleistungen</t>
        </is>
      </c>
      <c r="E1953" s="7" t="n">
        <v>-16546.31</v>
      </c>
      <c r="F1953" s="7" t="n">
        <v>-198555.67</v>
      </c>
    </row>
    <row r="1954" ht="21" customHeight="1">
      <c r="A1954" s="7" t="n">
        <v>2030</v>
      </c>
      <c r="B1954" s="7" t="n">
        <v>4</v>
      </c>
      <c r="C1954" s="10" t="inlineStr">
        <is>
          <t>Treibstoffe, Oe</t>
        </is>
      </c>
      <c r="D1954" s="10" t="inlineStr">
        <is>
          <t>Fuhrparkkosten</t>
        </is>
      </c>
      <c r="E1954" s="7" t="n">
        <v>34177.25</v>
      </c>
      <c r="F1954" s="7" t="n">
        <v>410126.96</v>
      </c>
    </row>
    <row r="1955" ht="21" customHeight="1">
      <c r="A1955" s="7" t="n">
        <v>2030</v>
      </c>
      <c r="B1955" s="7" t="n">
        <v>4</v>
      </c>
      <c r="C1955" s="10" t="inlineStr">
        <is>
          <t>Ueb Lohn-Gehalt</t>
        </is>
      </c>
      <c r="D1955" s="10" t="inlineStr">
        <is>
          <t>Personalaufwand</t>
        </is>
      </c>
      <c r="E1955" s="7" t="n">
        <v>41842.02</v>
      </c>
      <c r="F1955" s="7" t="n">
        <v>502104.18</v>
      </c>
    </row>
    <row r="1956" ht="21" customHeight="1">
      <c r="A1956" s="7" t="n">
        <v>2030</v>
      </c>
      <c r="B1956" s="7" t="n">
        <v>4</v>
      </c>
      <c r="C1956" s="10" t="inlineStr">
        <is>
          <t>Aufw. f. Alters</t>
        </is>
      </c>
      <c r="D1956" s="10" t="inlineStr">
        <is>
          <t>Personalaufwand</t>
        </is>
      </c>
      <c r="E1956" s="7" t="n">
        <v>1387.56</v>
      </c>
      <c r="F1956" s="7" t="n">
        <v>16650.69</v>
      </c>
    </row>
    <row r="1957" ht="21" customHeight="1">
      <c r="A1957" s="7" t="n">
        <v>2031</v>
      </c>
      <c r="B1957" s="7" t="n">
        <v>4</v>
      </c>
      <c r="C1957" s="10" t="inlineStr">
        <is>
          <t>Fremdl. Persona</t>
        </is>
      </c>
      <c r="D1957" s="10" t="inlineStr">
        <is>
          <t>Vorleistungen</t>
        </is>
      </c>
      <c r="E1957" s="7" t="n">
        <v>79.40000000000001</v>
      </c>
      <c r="F1957" s="7" t="n">
        <v>952.79</v>
      </c>
    </row>
    <row r="1958" ht="21" customHeight="1">
      <c r="A1958" s="7" t="n">
        <v>2029</v>
      </c>
      <c r="B1958" s="7" t="n">
        <v>5</v>
      </c>
      <c r="C1958" s="10" t="inlineStr">
        <is>
          <t>Sonderz. Prämie</t>
        </is>
      </c>
      <c r="D1958" s="10" t="inlineStr">
        <is>
          <t>Personalaufwand</t>
        </is>
      </c>
      <c r="E1958" s="7" t="n">
        <v>23292.21</v>
      </c>
      <c r="F1958" s="7" t="n">
        <v>279506.56</v>
      </c>
    </row>
    <row r="1959" ht="21" customHeight="1">
      <c r="A1959" s="7" t="n">
        <v>2030</v>
      </c>
      <c r="B1959" s="7" t="n">
        <v>5</v>
      </c>
      <c r="C1959" s="10" t="inlineStr">
        <is>
          <t>sonst Personalk</t>
        </is>
      </c>
      <c r="D1959" s="10" t="inlineStr">
        <is>
          <t>Personalaufwand</t>
        </is>
      </c>
      <c r="E1959" s="7" t="n">
        <v>15558.93</v>
      </c>
      <c r="F1959" s="7" t="n">
        <v>186707.19</v>
      </c>
    </row>
    <row r="1960" ht="21" customHeight="1">
      <c r="A1960" s="7" t="n">
        <v>2031</v>
      </c>
      <c r="B1960" s="7" t="n">
        <v>5</v>
      </c>
      <c r="C1960" s="10" t="inlineStr">
        <is>
          <t>Ankauf Rohstoff</t>
        </is>
      </c>
      <c r="D1960" s="10" t="inlineStr">
        <is>
          <t>Vorleistungen</t>
        </is>
      </c>
      <c r="E1960" s="7" t="n">
        <v>1489.65</v>
      </c>
      <c r="F1960" s="7" t="n">
        <v>17875.76</v>
      </c>
    </row>
    <row r="1961" ht="21" customHeight="1">
      <c r="A1961" s="7" t="n">
        <v>2029</v>
      </c>
      <c r="B1961" s="7" t="n">
        <v>5</v>
      </c>
      <c r="C1961" s="10" t="inlineStr">
        <is>
          <t>Weiterber. Frem</t>
        </is>
      </c>
      <c r="D1961" s="10" t="inlineStr">
        <is>
          <t>Vorleistungen</t>
        </is>
      </c>
      <c r="E1961" s="7" t="n">
        <v>0</v>
      </c>
      <c r="F1961" s="7" t="n">
        <v>0</v>
      </c>
    </row>
    <row r="1962" ht="21" customHeight="1">
      <c r="A1962" s="7" t="n">
        <v>2031</v>
      </c>
      <c r="B1962" s="7" t="n">
        <v>5</v>
      </c>
      <c r="C1962" s="10" t="inlineStr">
        <is>
          <t>Sonstige Steuer</t>
        </is>
      </c>
      <c r="D1962" s="10" t="inlineStr">
        <is>
          <t>Fuhrparkkosten</t>
        </is>
      </c>
      <c r="E1962" s="7" t="n">
        <v>1890.32</v>
      </c>
      <c r="F1962" s="7" t="n">
        <v>22683.81</v>
      </c>
    </row>
    <row r="1963" ht="21" customHeight="1">
      <c r="A1963" s="7" t="n">
        <v>2030</v>
      </c>
      <c r="B1963" s="7" t="n">
        <v>5</v>
      </c>
      <c r="C1963" s="10" t="inlineStr">
        <is>
          <t>Bestandsveraend</t>
        </is>
      </c>
      <c r="D1963" s="10" t="inlineStr">
        <is>
          <t>Gesamtleistung</t>
        </is>
      </c>
      <c r="E1963" s="7" t="n">
        <v>0</v>
      </c>
      <c r="F1963" s="7" t="n">
        <v>0</v>
      </c>
    </row>
    <row r="1964" ht="21" customHeight="1">
      <c r="A1964" s="7" t="n">
        <v>2031</v>
      </c>
      <c r="B1964" s="7" t="n">
        <v>5</v>
      </c>
      <c r="C1964" s="10" t="inlineStr">
        <is>
          <t>Erl. so. DL Dt.</t>
        </is>
      </c>
      <c r="D1964" s="10" t="inlineStr">
        <is>
          <t>Gesamtleistung</t>
        </is>
      </c>
      <c r="E1964" s="7" t="n">
        <v>2428139.11</v>
      </c>
      <c r="F1964" s="7" t="n">
        <v>29137669.32</v>
      </c>
    </row>
    <row r="1965" ht="21" customHeight="1">
      <c r="A1965" s="7" t="n">
        <v>2030</v>
      </c>
      <c r="B1965" s="7" t="n">
        <v>5</v>
      </c>
      <c r="C1965" s="10" t="inlineStr">
        <is>
          <t>Sonstige Steuer</t>
        </is>
      </c>
      <c r="D1965" s="10" t="inlineStr">
        <is>
          <t>Fuhrparkkosten</t>
        </is>
      </c>
      <c r="E1965" s="7" t="n">
        <v>1783.32</v>
      </c>
      <c r="F1965" s="7" t="n">
        <v>21399.82</v>
      </c>
    </row>
    <row r="1966" ht="21" customHeight="1">
      <c r="A1966" s="7" t="n">
        <v>2030</v>
      </c>
      <c r="B1966" s="7" t="n">
        <v>5</v>
      </c>
      <c r="C1966" s="10" t="inlineStr">
        <is>
          <t>Sonderz. Prämie</t>
        </is>
      </c>
      <c r="D1966" s="10" t="inlineStr">
        <is>
          <t>Personalaufwand</t>
        </is>
      </c>
      <c r="E1966" s="7" t="n">
        <v>25004.1</v>
      </c>
      <c r="F1966" s="7" t="n">
        <v>300049.14</v>
      </c>
    </row>
    <row r="1967" ht="21" customHeight="1">
      <c r="A1967" s="7" t="n">
        <v>2029</v>
      </c>
      <c r="B1967" s="7" t="n">
        <v>5</v>
      </c>
      <c r="C1967" s="10" t="inlineStr">
        <is>
          <t>Soziale Abgaben</t>
        </is>
      </c>
      <c r="D1967" s="10" t="inlineStr">
        <is>
          <t>Personalaufwand</t>
        </is>
      </c>
      <c r="E1967" s="7" t="n">
        <v>94488.11</v>
      </c>
      <c r="F1967" s="7" t="n">
        <v>1133857.35</v>
      </c>
    </row>
    <row r="1968" ht="21" customHeight="1">
      <c r="A1968" s="7" t="n">
        <v>2031</v>
      </c>
      <c r="B1968" s="7" t="n">
        <v>5</v>
      </c>
      <c r="C1968" s="10" t="inlineStr">
        <is>
          <t>So. betr. Aufwa</t>
        </is>
      </c>
      <c r="D1968" s="10" t="inlineStr">
        <is>
          <t>Verwaltungskosten</t>
        </is>
      </c>
      <c r="E1968" s="7" t="n">
        <v>735.47</v>
      </c>
      <c r="F1968" s="7" t="n">
        <v>8825.639999999999</v>
      </c>
    </row>
    <row r="1969" ht="21" customHeight="1">
      <c r="A1969" s="7" t="n">
        <v>2027</v>
      </c>
      <c r="B1969" s="7" t="n">
        <v>5</v>
      </c>
      <c r="C1969" s="10" t="inlineStr">
        <is>
          <t>Lohn + Gehalt</t>
        </is>
      </c>
      <c r="D1969" s="10" t="inlineStr">
        <is>
          <t>Personalaufwand</t>
        </is>
      </c>
      <c r="E1969" s="7" t="n">
        <v>287946.36</v>
      </c>
      <c r="F1969" s="7" t="n">
        <v>3455356.33</v>
      </c>
    </row>
    <row r="1970" ht="21" customHeight="1">
      <c r="A1970" s="7" t="n">
        <v>2027</v>
      </c>
      <c r="B1970" s="7" t="n">
        <v>5</v>
      </c>
      <c r="C1970" s="10" t="inlineStr">
        <is>
          <t>So. betr. Aufwa</t>
        </is>
      </c>
      <c r="D1970" s="10" t="inlineStr">
        <is>
          <t>Verwaltungskosten</t>
        </is>
      </c>
      <c r="E1970" s="7" t="n">
        <v>653.45</v>
      </c>
      <c r="F1970" s="7" t="n">
        <v>7841.45</v>
      </c>
    </row>
    <row r="1971" ht="21" customHeight="1">
      <c r="A1971" s="7" t="n">
        <v>2028</v>
      </c>
      <c r="B1971" s="7" t="n">
        <v>5</v>
      </c>
      <c r="C1971" s="10" t="inlineStr">
        <is>
          <t>Ueb Lohn-Gehalt</t>
        </is>
      </c>
      <c r="D1971" s="10" t="inlineStr">
        <is>
          <t>Personalaufwand</t>
        </is>
      </c>
      <c r="E1971" s="7" t="n">
        <v>34332.83</v>
      </c>
      <c r="F1971" s="7" t="n">
        <v>411993.96</v>
      </c>
    </row>
    <row r="1972" ht="21" customHeight="1">
      <c r="A1972" s="7" t="n">
        <v>2027</v>
      </c>
      <c r="B1972" s="7" t="n">
        <v>5</v>
      </c>
      <c r="C1972" s="10" t="inlineStr">
        <is>
          <t>Verwaltungskost</t>
        </is>
      </c>
      <c r="D1972" s="10" t="inlineStr">
        <is>
          <t>Verwaltungskosten</t>
        </is>
      </c>
      <c r="E1972" s="7" t="n">
        <v>6691.47</v>
      </c>
      <c r="F1972" s="7" t="n">
        <v>80297.62</v>
      </c>
    </row>
    <row r="1973" ht="21" customHeight="1">
      <c r="A1973" s="7" t="n">
        <v>2030</v>
      </c>
      <c r="B1973" s="7" t="n">
        <v>5</v>
      </c>
      <c r="C1973" s="10" t="inlineStr">
        <is>
          <t>Aufw. Heizmat.</t>
        </is>
      </c>
      <c r="D1973" s="10" t="inlineStr">
        <is>
          <t>Vorleistungen</t>
        </is>
      </c>
      <c r="E1973" s="7" t="n">
        <v>230.4</v>
      </c>
      <c r="F1973" s="7" t="n">
        <v>2764.82</v>
      </c>
    </row>
    <row r="1974" ht="21" customHeight="1">
      <c r="A1974" s="7" t="n">
        <v>2027</v>
      </c>
      <c r="B1974" s="7" t="n">
        <v>5</v>
      </c>
      <c r="C1974" s="10" t="inlineStr">
        <is>
          <t>Versicherungskosten</t>
        </is>
      </c>
      <c r="D1974" s="10" t="inlineStr">
        <is>
          <t>Verwaltungskosten</t>
        </is>
      </c>
      <c r="E1974" s="7" t="n">
        <v>10789.61</v>
      </c>
      <c r="F1974" s="7" t="n">
        <v>129475.37</v>
      </c>
    </row>
    <row r="1975" ht="21" customHeight="1">
      <c r="A1975" s="7" t="n">
        <v>2031</v>
      </c>
      <c r="B1975" s="7" t="n">
        <v>5</v>
      </c>
      <c r="C1975" s="10" t="inlineStr">
        <is>
          <t>Instandh. BGA</t>
        </is>
      </c>
      <c r="D1975" s="10" t="inlineStr">
        <is>
          <t>Instandh. Betriebsausstattung</t>
        </is>
      </c>
      <c r="E1975" s="7" t="n">
        <v>5124.63</v>
      </c>
      <c r="F1975" s="7" t="n">
        <v>61495.58</v>
      </c>
    </row>
    <row r="1976" ht="21" customHeight="1">
      <c r="A1976" s="7" t="n">
        <v>2029</v>
      </c>
      <c r="B1976" s="7" t="n">
        <v>5</v>
      </c>
      <c r="C1976" s="10" t="inlineStr">
        <is>
          <t>Treibstoffe, Oe</t>
        </is>
      </c>
      <c r="D1976" s="10" t="inlineStr">
        <is>
          <t>Fuhrparkkosten</t>
        </is>
      </c>
      <c r="E1976" s="7" t="n">
        <v>32242.68</v>
      </c>
      <c r="F1976" s="7" t="n">
        <v>386912.19</v>
      </c>
    </row>
    <row r="1977" ht="21" customHeight="1">
      <c r="A1977" s="7" t="n">
        <v>2027</v>
      </c>
      <c r="B1977" s="7" t="n">
        <v>5</v>
      </c>
      <c r="C1977" s="10" t="inlineStr">
        <is>
          <t>Instandh. BGA</t>
        </is>
      </c>
      <c r="D1977" s="10" t="inlineStr">
        <is>
          <t>Instandh. Betriebsausstattung</t>
        </is>
      </c>
      <c r="E1977" s="7" t="n">
        <v>4216.05</v>
      </c>
      <c r="F1977" s="7" t="n">
        <v>50592.58</v>
      </c>
    </row>
    <row r="1978" ht="21" customHeight="1">
      <c r="A1978" s="7" t="n">
        <v>2029</v>
      </c>
      <c r="B1978" s="7" t="n">
        <v>5</v>
      </c>
      <c r="C1978" s="10" t="inlineStr">
        <is>
          <t>Ueb Lohn-Gehalt</t>
        </is>
      </c>
      <c r="D1978" s="10" t="inlineStr">
        <is>
          <t>Personalaufwand</t>
        </is>
      </c>
      <c r="E1978" s="7" t="n">
        <v>37989.9</v>
      </c>
      <c r="F1978" s="7" t="n">
        <v>455878.84</v>
      </c>
    </row>
    <row r="1979" ht="21" customHeight="1">
      <c r="A1979" s="7" t="n">
        <v>2031</v>
      </c>
      <c r="B1979" s="7" t="n">
        <v>5</v>
      </c>
      <c r="C1979" s="10" t="inlineStr">
        <is>
          <t>Erl. Waren Dt.</t>
        </is>
      </c>
      <c r="D1979" s="10" t="inlineStr">
        <is>
          <t>Gesamtleistung</t>
        </is>
      </c>
      <c r="E1979" s="7" t="n">
        <v>50865.59</v>
      </c>
      <c r="F1979" s="7" t="n">
        <v>610387.05</v>
      </c>
    </row>
    <row r="1980" ht="21" customHeight="1">
      <c r="A1980" s="7" t="n">
        <v>2027</v>
      </c>
      <c r="B1980" s="7" t="n">
        <v>5</v>
      </c>
      <c r="C1980" s="10" t="inlineStr">
        <is>
          <t>Fremdl. Persona</t>
        </is>
      </c>
      <c r="D1980" s="10" t="inlineStr">
        <is>
          <t>Vorleistungen</t>
        </is>
      </c>
      <c r="E1980" s="7" t="n">
        <v>61.31</v>
      </c>
      <c r="F1980" s="7" t="n">
        <v>735.66</v>
      </c>
    </row>
    <row r="1981" ht="21" customHeight="1">
      <c r="A1981" s="7" t="n">
        <v>2027</v>
      </c>
      <c r="B1981" s="7" t="n">
        <v>5</v>
      </c>
      <c r="C1981" s="10" t="inlineStr">
        <is>
          <t>Aufwand Umlage</t>
        </is>
      </c>
      <c r="D1981" s="10" t="inlineStr">
        <is>
          <t>Verwaltungskosten</t>
        </is>
      </c>
      <c r="E1981" s="7" t="n">
        <v>3383.24</v>
      </c>
      <c r="F1981" s="7" t="n">
        <v>40598.91</v>
      </c>
    </row>
    <row r="1982" ht="21" customHeight="1">
      <c r="A1982" s="7" t="n">
        <v>2031</v>
      </c>
      <c r="B1982" s="7" t="n">
        <v>5</v>
      </c>
      <c r="C1982" s="10" t="inlineStr">
        <is>
          <t>Ueb Lohn-Gehalt</t>
        </is>
      </c>
      <c r="D1982" s="10" t="inlineStr">
        <is>
          <t>Personalaufwand</t>
        </is>
      </c>
      <c r="E1982" s="7" t="n">
        <v>45675.82</v>
      </c>
      <c r="F1982" s="7" t="n">
        <v>548109.79</v>
      </c>
    </row>
    <row r="1983" ht="21" customHeight="1">
      <c r="A1983" s="7" t="n">
        <v>2027</v>
      </c>
      <c r="B1983" s="7" t="n">
        <v>5</v>
      </c>
      <c r="C1983" s="10" t="inlineStr">
        <is>
          <t>Rechts- u. Beratungs</t>
        </is>
      </c>
      <c r="D1983" s="10" t="inlineStr">
        <is>
          <t>Verwaltungskosten</t>
        </is>
      </c>
      <c r="E1983" s="7" t="n">
        <v>25635.99</v>
      </c>
      <c r="F1983" s="7" t="n">
        <v>307631.89</v>
      </c>
    </row>
    <row r="1984" ht="21" customHeight="1">
      <c r="A1984" s="7" t="n">
        <v>2028</v>
      </c>
      <c r="B1984" s="7" t="n">
        <v>5</v>
      </c>
      <c r="C1984" s="10" t="inlineStr">
        <is>
          <t>Verwaltungskost</t>
        </is>
      </c>
      <c r="D1984" s="10" t="inlineStr">
        <is>
          <t>Verwaltungskosten</t>
        </is>
      </c>
      <c r="E1984" s="7" t="n">
        <v>6892.21</v>
      </c>
      <c r="F1984" s="7" t="n">
        <v>82706.56</v>
      </c>
    </row>
    <row r="1985" ht="21" customHeight="1">
      <c r="A1985" s="7" t="n">
        <v>2028</v>
      </c>
      <c r="B1985" s="7" t="n">
        <v>5</v>
      </c>
      <c r="C1985" s="10" t="inlineStr">
        <is>
          <t>Ueb. bezog.Leis</t>
        </is>
      </c>
      <c r="D1985" s="10" t="inlineStr">
        <is>
          <t>Vorleistungen</t>
        </is>
      </c>
      <c r="E1985" s="7" t="n">
        <v>1342498.67</v>
      </c>
      <c r="F1985" s="7" t="n">
        <v>16109983.99</v>
      </c>
    </row>
    <row r="1986" ht="21" customHeight="1">
      <c r="A1986" s="7" t="n">
        <v>2028</v>
      </c>
      <c r="B1986" s="7" t="n">
        <v>5</v>
      </c>
      <c r="C1986" s="10" t="inlineStr">
        <is>
          <t>Ankauf Rohstoff</t>
        </is>
      </c>
      <c r="D1986" s="10" t="inlineStr">
        <is>
          <t>Vorleistungen</t>
        </is>
      </c>
      <c r="E1986" s="7" t="n">
        <v>1457.38</v>
      </c>
      <c r="F1986" s="7" t="n">
        <v>17488.61</v>
      </c>
    </row>
    <row r="1987" ht="21" customHeight="1">
      <c r="A1987" s="7" t="n">
        <v>2029</v>
      </c>
      <c r="B1987" s="7" t="n">
        <v>5</v>
      </c>
      <c r="C1987" s="10" t="inlineStr">
        <is>
          <t>Erloesschmaeler</t>
        </is>
      </c>
      <c r="D1987" s="10" t="inlineStr">
        <is>
          <t>Gesamtleistung</t>
        </is>
      </c>
      <c r="E1987" s="7" t="n">
        <v>-9048.01</v>
      </c>
      <c r="F1987" s="7" t="n">
        <v>-108576.08</v>
      </c>
    </row>
    <row r="1988" ht="21" customHeight="1">
      <c r="A1988" s="7" t="n">
        <v>2029</v>
      </c>
      <c r="B1988" s="7" t="n">
        <v>5</v>
      </c>
      <c r="C1988" s="10" t="inlineStr">
        <is>
          <t>Leasing PKW</t>
        </is>
      </c>
      <c r="D1988" s="10" t="inlineStr">
        <is>
          <t>Fuhrparkkosten</t>
        </is>
      </c>
      <c r="E1988" s="7" t="n">
        <v>24652.26</v>
      </c>
      <c r="F1988" s="7" t="n">
        <v>295827.14</v>
      </c>
    </row>
    <row r="1989" ht="21" customHeight="1">
      <c r="A1989" s="7" t="n">
        <v>2029</v>
      </c>
      <c r="B1989" s="7" t="n">
        <v>5</v>
      </c>
      <c r="C1989" s="10" t="inlineStr">
        <is>
          <t>Fremdl. Persona</t>
        </is>
      </c>
      <c r="D1989" s="10" t="inlineStr">
        <is>
          <t>Vorleistungen</t>
        </is>
      </c>
      <c r="E1989" s="7" t="n">
        <v>73.3</v>
      </c>
      <c r="F1989" s="7" t="n">
        <v>879.54</v>
      </c>
    </row>
    <row r="1990" ht="21" customHeight="1">
      <c r="A1990" s="7" t="n">
        <v>2028</v>
      </c>
      <c r="B1990" s="7" t="n">
        <v>5</v>
      </c>
      <c r="C1990" s="10" t="inlineStr">
        <is>
          <t>Aufwand Umlage</t>
        </is>
      </c>
      <c r="D1990" s="10" t="inlineStr">
        <is>
          <t>Verwaltungskosten</t>
        </is>
      </c>
      <c r="E1990" s="7" t="n">
        <v>3484.74</v>
      </c>
      <c r="F1990" s="7" t="n">
        <v>41816.88</v>
      </c>
    </row>
    <row r="1991" ht="21" customHeight="1">
      <c r="A1991" s="7" t="n">
        <v>2027</v>
      </c>
      <c r="B1991" s="7" t="n">
        <v>5</v>
      </c>
      <c r="C1991" s="10" t="inlineStr">
        <is>
          <t>Ankauf Rohstoff</t>
        </is>
      </c>
      <c r="D1991" s="10" t="inlineStr">
        <is>
          <t>Vorleistungen</t>
        </is>
      </c>
      <c r="E1991" s="7" t="n">
        <v>1408.24</v>
      </c>
      <c r="F1991" s="7" t="n">
        <v>16898.9</v>
      </c>
    </row>
    <row r="1992" ht="21" customHeight="1">
      <c r="A1992" s="7" t="n">
        <v>2030</v>
      </c>
      <c r="B1992" s="7" t="n">
        <v>5</v>
      </c>
      <c r="C1992" s="10" t="inlineStr">
        <is>
          <t>Erloesschmaeler</t>
        </is>
      </c>
      <c r="D1992" s="10" t="inlineStr">
        <is>
          <t>Gesamtleistung</t>
        </is>
      </c>
      <c r="E1992" s="7" t="n">
        <v>-9690.75</v>
      </c>
      <c r="F1992" s="7" t="n">
        <v>-116289.05</v>
      </c>
    </row>
    <row r="1993" ht="21" customHeight="1">
      <c r="A1993" s="7" t="n">
        <v>2029</v>
      </c>
      <c r="B1993" s="7" t="n">
        <v>5</v>
      </c>
      <c r="C1993" s="10" t="inlineStr">
        <is>
          <t>Sonst Fuhrparkkosten</t>
        </is>
      </c>
      <c r="D1993" s="10" t="inlineStr">
        <is>
          <t>Fuhrparkkosten</t>
        </is>
      </c>
      <c r="E1993" s="7" t="n">
        <v>5605.91</v>
      </c>
      <c r="F1993" s="7" t="n">
        <v>67270.89</v>
      </c>
    </row>
    <row r="1994" ht="21" customHeight="1">
      <c r="A1994" s="7" t="n">
        <v>2027</v>
      </c>
      <c r="B1994" s="7" t="n">
        <v>5</v>
      </c>
      <c r="C1994" s="10" t="inlineStr">
        <is>
          <t>Soziale Abgaben</t>
        </is>
      </c>
      <c r="D1994" s="10" t="inlineStr">
        <is>
          <t>Personalaufwand</t>
        </is>
      </c>
      <c r="E1994" s="7" t="n">
        <v>75903.69</v>
      </c>
      <c r="F1994" s="7" t="n">
        <v>910844.28</v>
      </c>
    </row>
    <row r="1995" ht="21" customHeight="1">
      <c r="A1995" s="7" t="n">
        <v>2031</v>
      </c>
      <c r="B1995" s="7" t="n">
        <v>5</v>
      </c>
      <c r="C1995" s="10" t="inlineStr">
        <is>
          <t>Erloesschmaeler</t>
        </is>
      </c>
      <c r="D1995" s="10" t="inlineStr">
        <is>
          <t>Gesamtleistung</t>
        </is>
      </c>
      <c r="E1995" s="7" t="n">
        <v>-10347.15</v>
      </c>
      <c r="F1995" s="7" t="n">
        <v>-124165.81</v>
      </c>
    </row>
    <row r="1996" ht="21" customHeight="1">
      <c r="A1996" s="7" t="n">
        <v>2029</v>
      </c>
      <c r="B1996" s="7" t="n">
        <v>5</v>
      </c>
      <c r="C1996" s="10" t="inlineStr">
        <is>
          <t>Ertr. weiterber</t>
        </is>
      </c>
      <c r="D1996" s="10" t="inlineStr">
        <is>
          <t>Gesamtleistung</t>
        </is>
      </c>
      <c r="E1996" s="7" t="n">
        <v>1036.39</v>
      </c>
      <c r="F1996" s="7" t="n">
        <v>12436.69</v>
      </c>
    </row>
    <row r="1997" ht="21" customHeight="1">
      <c r="A1997" s="7" t="n">
        <v>2027</v>
      </c>
      <c r="B1997" s="7" t="n">
        <v>5</v>
      </c>
      <c r="C1997" s="10" t="inlineStr">
        <is>
          <t>Sonderz. Prämie</t>
        </is>
      </c>
      <c r="D1997" s="10" t="inlineStr">
        <is>
          <t>Personalaufwand</t>
        </is>
      </c>
      <c r="E1997" s="7" t="n">
        <v>19636.08</v>
      </c>
      <c r="F1997" s="7" t="n">
        <v>235633</v>
      </c>
    </row>
    <row r="1998" ht="21" customHeight="1">
      <c r="A1998" s="7" t="n">
        <v>2027</v>
      </c>
      <c r="B1998" s="7" t="n">
        <v>5</v>
      </c>
      <c r="C1998" s="10" t="inlineStr">
        <is>
          <t>Miete Behälter</t>
        </is>
      </c>
      <c r="D1998" s="10" t="inlineStr">
        <is>
          <t>Instandh. Betriebsausstattung</t>
        </is>
      </c>
      <c r="E1998" s="7" t="n">
        <v>22.94</v>
      </c>
      <c r="F1998" s="7" t="n">
        <v>275.23</v>
      </c>
    </row>
    <row r="1999" ht="21" customHeight="1">
      <c r="A1999" s="7" t="n">
        <v>2031</v>
      </c>
      <c r="B1999" s="7" t="n">
        <v>5</v>
      </c>
      <c r="C1999" s="10" t="inlineStr">
        <is>
          <t>Versicherungskosten</t>
        </is>
      </c>
      <c r="D1999" s="10" t="inlineStr">
        <is>
          <t>Verwaltungskosten</t>
        </is>
      </c>
      <c r="E1999" s="7" t="n">
        <v>12143.81</v>
      </c>
      <c r="F1999" s="7" t="n">
        <v>145725.66</v>
      </c>
    </row>
    <row r="2000" ht="21" customHeight="1">
      <c r="A2000" s="7" t="n">
        <v>2029</v>
      </c>
      <c r="B2000" s="7" t="n">
        <v>5</v>
      </c>
      <c r="C2000" s="10" t="inlineStr">
        <is>
          <t>Rechts- u. Beratungs</t>
        </is>
      </c>
      <c r="D2000" s="10" t="inlineStr">
        <is>
          <t>Verwaltungskosten</t>
        </is>
      </c>
      <c r="E2000" s="7" t="n">
        <v>27197.22</v>
      </c>
      <c r="F2000" s="7" t="n">
        <v>326366.65</v>
      </c>
    </row>
    <row r="2001" ht="21" customHeight="1">
      <c r="A2001" s="7" t="n">
        <v>2028</v>
      </c>
      <c r="B2001" s="7" t="n">
        <v>5</v>
      </c>
      <c r="C2001" s="10" t="inlineStr">
        <is>
          <t>Instandh.Fuhrp</t>
        </is>
      </c>
      <c r="D2001" s="10" t="inlineStr">
        <is>
          <t>Fuhrparkkosten</t>
        </is>
      </c>
      <c r="E2001" s="7" t="n">
        <v>32180.39</v>
      </c>
      <c r="F2001" s="7" t="n">
        <v>386164.66</v>
      </c>
    </row>
    <row r="2002" ht="21" customHeight="1">
      <c r="A2002" s="7" t="n">
        <v>2030</v>
      </c>
      <c r="B2002" s="7" t="n">
        <v>5</v>
      </c>
      <c r="C2002" s="10" t="inlineStr">
        <is>
          <t>Miete Grdst/Gebäud</t>
        </is>
      </c>
      <c r="D2002" s="10" t="inlineStr">
        <is>
          <t>Raumkosten</t>
        </is>
      </c>
      <c r="E2002" s="7" t="n">
        <v>18603.32</v>
      </c>
      <c r="F2002" s="7" t="n">
        <v>223239.88</v>
      </c>
    </row>
    <row r="2003" ht="21" customHeight="1">
      <c r="A2003" s="7" t="n">
        <v>2027</v>
      </c>
      <c r="B2003" s="7" t="n">
        <v>5</v>
      </c>
      <c r="C2003" s="10" t="inlineStr">
        <is>
          <t>Ueb. bezog.Leis</t>
        </is>
      </c>
      <c r="D2003" s="10" t="inlineStr">
        <is>
          <t>Vorleistungen</t>
        </is>
      </c>
      <c r="E2003" s="7" t="n">
        <v>1319862.34</v>
      </c>
      <c r="F2003" s="7" t="n">
        <v>15838348.13</v>
      </c>
    </row>
    <row r="2004" ht="21" customHeight="1">
      <c r="A2004" s="7" t="n">
        <v>2029</v>
      </c>
      <c r="B2004" s="7" t="n">
        <v>5</v>
      </c>
      <c r="C2004" s="10" t="inlineStr">
        <is>
          <t>Erl. Waren Dt.</t>
        </is>
      </c>
      <c r="D2004" s="10" t="inlineStr">
        <is>
          <t>Gesamtleistung</t>
        </is>
      </c>
      <c r="E2004" s="7" t="n">
        <v>47334.08</v>
      </c>
      <c r="F2004" s="7" t="n">
        <v>568008.92</v>
      </c>
    </row>
    <row r="2005" ht="21" customHeight="1">
      <c r="A2005" s="7" t="n">
        <v>2031</v>
      </c>
      <c r="B2005" s="7" t="n">
        <v>5</v>
      </c>
      <c r="C2005" s="10" t="inlineStr">
        <is>
          <t>Treibstoffe, Oe</t>
        </is>
      </c>
      <c r="D2005" s="10" t="inlineStr">
        <is>
          <t>Fuhrparkkosten</t>
        </is>
      </c>
      <c r="E2005" s="7" t="n">
        <v>36227.88</v>
      </c>
      <c r="F2005" s="7" t="n">
        <v>434734.54</v>
      </c>
    </row>
    <row r="2006" ht="21" customHeight="1">
      <c r="A2006" s="7" t="n">
        <v>2029</v>
      </c>
      <c r="B2006" s="7" t="n">
        <v>5</v>
      </c>
      <c r="C2006" s="10" t="inlineStr">
        <is>
          <t>Miete Behälter</t>
        </is>
      </c>
      <c r="D2006" s="10" t="inlineStr">
        <is>
          <t>Instandh. Betriebsausstattung</t>
        </is>
      </c>
      <c r="E2006" s="7" t="n">
        <v>25.29</v>
      </c>
      <c r="F2006" s="7" t="n">
        <v>303.45</v>
      </c>
    </row>
    <row r="2007" ht="21" customHeight="1">
      <c r="A2007" s="7" t="n">
        <v>2030</v>
      </c>
      <c r="B2007" s="7" t="n">
        <v>5</v>
      </c>
      <c r="C2007" s="10" t="inlineStr">
        <is>
          <t>Instandh. BGA</t>
        </is>
      </c>
      <c r="D2007" s="10" t="inlineStr">
        <is>
          <t>Instandh. Betriebsausstattung</t>
        </is>
      </c>
      <c r="E2007" s="7" t="n">
        <v>4880.6</v>
      </c>
      <c r="F2007" s="7" t="n">
        <v>58567.23</v>
      </c>
    </row>
    <row r="2008" ht="21" customHeight="1">
      <c r="A2008" s="7" t="n">
        <v>2030</v>
      </c>
      <c r="B2008" s="7" t="n">
        <v>5</v>
      </c>
      <c r="C2008" s="10" t="inlineStr">
        <is>
          <t>Lohn + Gehalt</t>
        </is>
      </c>
      <c r="D2008" s="10" t="inlineStr">
        <is>
          <t>Personalaufwand</t>
        </is>
      </c>
      <c r="E2008" s="7" t="n">
        <v>392030.8</v>
      </c>
      <c r="F2008" s="7" t="n">
        <v>4704369.59</v>
      </c>
    </row>
    <row r="2009" ht="21" customHeight="1">
      <c r="A2009" s="7" t="n">
        <v>2027</v>
      </c>
      <c r="B2009" s="7" t="n">
        <v>5</v>
      </c>
      <c r="C2009" s="10" t="inlineStr">
        <is>
          <t>Bestandsveraend</t>
        </is>
      </c>
      <c r="D2009" s="10" t="inlineStr">
        <is>
          <t>Gesamtleistung</t>
        </is>
      </c>
      <c r="E2009" s="7" t="n">
        <v>0</v>
      </c>
      <c r="F2009" s="7" t="n">
        <v>0</v>
      </c>
    </row>
    <row r="2010" ht="21" customHeight="1">
      <c r="A2010" s="7" t="n">
        <v>2027</v>
      </c>
      <c r="B2010" s="7" t="n">
        <v>5</v>
      </c>
      <c r="C2010" s="10" t="inlineStr">
        <is>
          <t>Aufw. so. Hilfs</t>
        </is>
      </c>
      <c r="D2010" s="10" t="inlineStr">
        <is>
          <t>Vorleistungen</t>
        </is>
      </c>
      <c r="E2010" s="7" t="n">
        <v>-16362.04</v>
      </c>
      <c r="F2010" s="7" t="n">
        <v>-196344.47</v>
      </c>
    </row>
    <row r="2011" ht="21" customHeight="1">
      <c r="A2011" s="7" t="n">
        <v>2027</v>
      </c>
      <c r="B2011" s="7" t="n">
        <v>5</v>
      </c>
      <c r="C2011" s="10" t="inlineStr">
        <is>
          <t>Aufw. f. Alters</t>
        </is>
      </c>
      <c r="D2011" s="10" t="inlineStr">
        <is>
          <t>Personalaufwand</t>
        </is>
      </c>
      <c r="E2011" s="7" t="n">
        <v>1234.77</v>
      </c>
      <c r="F2011" s="7" t="n">
        <v>14817.29</v>
      </c>
    </row>
    <row r="2012" ht="21" customHeight="1">
      <c r="A2012" s="7" t="n">
        <v>2027</v>
      </c>
      <c r="B2012" s="7" t="n">
        <v>5</v>
      </c>
      <c r="C2012" s="10" t="inlineStr">
        <is>
          <t>Vertriebskosten</t>
        </is>
      </c>
      <c r="D2012" s="10" t="inlineStr">
        <is>
          <t>Vertriebskosten</t>
        </is>
      </c>
      <c r="E2012" s="7" t="n">
        <v>10833.33</v>
      </c>
      <c r="F2012" s="7" t="n">
        <v>130000</v>
      </c>
    </row>
    <row r="2013" ht="21" customHeight="1">
      <c r="A2013" s="7" t="n">
        <v>2027</v>
      </c>
      <c r="B2013" s="7" t="n">
        <v>5</v>
      </c>
      <c r="C2013" s="10" t="inlineStr">
        <is>
          <t>Ertrag KFZ-Nutz</t>
        </is>
      </c>
      <c r="D2013" s="10" t="inlineStr">
        <is>
          <t>Gesamtleistung</t>
        </is>
      </c>
      <c r="E2013" s="7" t="n">
        <v>8029.69</v>
      </c>
      <c r="F2013" s="7" t="n">
        <v>96356.3</v>
      </c>
    </row>
    <row r="2014" ht="21" customHeight="1">
      <c r="A2014" s="7" t="n">
        <v>2031</v>
      </c>
      <c r="B2014" s="7" t="n">
        <v>5</v>
      </c>
      <c r="C2014" s="10" t="inlineStr">
        <is>
          <t>Lohn + Gehalt</t>
        </is>
      </c>
      <c r="D2014" s="10" t="inlineStr">
        <is>
          <t>Personalaufwand</t>
        </is>
      </c>
      <c r="E2014" s="7" t="n">
        <v>428257.62</v>
      </c>
      <c r="F2014" s="7" t="n">
        <v>5139091.39</v>
      </c>
    </row>
    <row r="2015" ht="21" customHeight="1">
      <c r="A2015" s="7" t="n">
        <v>2031</v>
      </c>
      <c r="B2015" s="7" t="n">
        <v>5</v>
      </c>
      <c r="C2015" s="10" t="inlineStr">
        <is>
          <t>Soziale Abgaben</t>
        </is>
      </c>
      <c r="D2015" s="10" t="inlineStr">
        <is>
          <t>Personalaufwand</t>
        </is>
      </c>
      <c r="E2015" s="7" t="n">
        <v>113909.76</v>
      </c>
      <c r="F2015" s="7" t="n">
        <v>1366917.09</v>
      </c>
    </row>
    <row r="2016" ht="21" customHeight="1">
      <c r="A2016" s="7" t="n">
        <v>2031</v>
      </c>
      <c r="B2016" s="7" t="n">
        <v>5</v>
      </c>
      <c r="C2016" s="10" t="inlineStr">
        <is>
          <t>Sonst Fuhrparkkosten</t>
        </is>
      </c>
      <c r="D2016" s="10" t="inlineStr">
        <is>
          <t>Fuhrparkkosten</t>
        </is>
      </c>
      <c r="E2016" s="7" t="n">
        <v>6298.8</v>
      </c>
      <c r="F2016" s="7" t="n">
        <v>75585.56</v>
      </c>
    </row>
    <row r="2017" ht="21" customHeight="1">
      <c r="A2017" s="7" t="n">
        <v>2030</v>
      </c>
      <c r="B2017" s="7" t="n">
        <v>5</v>
      </c>
      <c r="C2017" s="10" t="inlineStr">
        <is>
          <t>Miete Behälter</t>
        </is>
      </c>
      <c r="D2017" s="10" t="inlineStr">
        <is>
          <t>Instandh. Betriebsausstattung</t>
        </is>
      </c>
      <c r="E2017" s="7" t="n">
        <v>26.55</v>
      </c>
      <c r="F2017" s="7" t="n">
        <v>318.62</v>
      </c>
    </row>
    <row r="2018" ht="21" customHeight="1">
      <c r="A2018" s="7" t="n">
        <v>2028</v>
      </c>
      <c r="B2018" s="7" t="n">
        <v>5</v>
      </c>
      <c r="C2018" s="10" t="inlineStr">
        <is>
          <t>Miete PKW</t>
        </is>
      </c>
      <c r="D2018" s="10" t="inlineStr">
        <is>
          <t>Fuhrparkkosten</t>
        </is>
      </c>
      <c r="E2018" s="7" t="n">
        <v>4890.62</v>
      </c>
      <c r="F2018" s="7" t="n">
        <v>58687.43</v>
      </c>
    </row>
    <row r="2019" ht="21" customHeight="1">
      <c r="A2019" s="7" t="n">
        <v>2030</v>
      </c>
      <c r="B2019" s="7" t="n">
        <v>5</v>
      </c>
      <c r="C2019" s="10" t="inlineStr">
        <is>
          <t>Aufwand Umlage</t>
        </is>
      </c>
      <c r="D2019" s="10" t="inlineStr">
        <is>
          <t>Verwaltungskosten</t>
        </is>
      </c>
      <c r="E2019" s="7" t="n">
        <v>3696.96</v>
      </c>
      <c r="F2019" s="7" t="n">
        <v>44363.53</v>
      </c>
    </row>
    <row r="2020" ht="21" customHeight="1">
      <c r="A2020" s="7" t="n">
        <v>2030</v>
      </c>
      <c r="B2020" s="7" t="n">
        <v>5</v>
      </c>
      <c r="C2020" s="10" t="inlineStr">
        <is>
          <t>So. betr. Aufwa</t>
        </is>
      </c>
      <c r="D2020" s="10" t="inlineStr">
        <is>
          <t>Verwaltungskosten</t>
        </is>
      </c>
      <c r="E2020" s="7" t="n">
        <v>714.05</v>
      </c>
      <c r="F2020" s="7" t="n">
        <v>8568.57</v>
      </c>
    </row>
    <row r="2021" ht="21" customHeight="1">
      <c r="A2021" s="7" t="n">
        <v>2029</v>
      </c>
      <c r="B2021" s="7" t="n">
        <v>5</v>
      </c>
      <c r="C2021" s="10" t="inlineStr">
        <is>
          <t>Versicherungskosten</t>
        </is>
      </c>
      <c r="D2021" s="10" t="inlineStr">
        <is>
          <t>Verwaltungskosten</t>
        </is>
      </c>
      <c r="E2021" s="7" t="n">
        <v>11446.7</v>
      </c>
      <c r="F2021" s="7" t="n">
        <v>137360.42</v>
      </c>
    </row>
    <row r="2022" ht="21" customHeight="1">
      <c r="A2022" s="7" t="n">
        <v>2027</v>
      </c>
      <c r="B2022" s="7" t="n">
        <v>5</v>
      </c>
      <c r="C2022" s="10" t="inlineStr">
        <is>
          <t>Sonstige Steuer</t>
        </is>
      </c>
      <c r="D2022" s="10" t="inlineStr">
        <is>
          <t>Fuhrparkkosten</t>
        </is>
      </c>
      <c r="E2022" s="7" t="n">
        <v>1497.31</v>
      </c>
      <c r="F2022" s="7" t="n">
        <v>17967.71</v>
      </c>
    </row>
    <row r="2023" ht="21" customHeight="1">
      <c r="A2023" s="7" t="n">
        <v>2031</v>
      </c>
      <c r="B2023" s="7" t="n">
        <v>5</v>
      </c>
      <c r="C2023" s="10" t="inlineStr">
        <is>
          <t>Leasing LKW</t>
        </is>
      </c>
      <c r="D2023" s="10" t="inlineStr">
        <is>
          <t>Fuhrparkkosten</t>
        </is>
      </c>
      <c r="E2023" s="7" t="n">
        <v>2910.36</v>
      </c>
      <c r="F2023" s="7" t="n">
        <v>34924.28</v>
      </c>
    </row>
    <row r="2024" ht="21" customHeight="1">
      <c r="A2024" s="7" t="n">
        <v>2029</v>
      </c>
      <c r="B2024" s="7" t="n">
        <v>5</v>
      </c>
      <c r="C2024" s="10" t="inlineStr">
        <is>
          <t>Leasing LKW</t>
        </is>
      </c>
      <c r="D2024" s="10" t="inlineStr">
        <is>
          <t>Fuhrparkkosten</t>
        </is>
      </c>
      <c r="E2024" s="7" t="n">
        <v>2590.21</v>
      </c>
      <c r="F2024" s="7" t="n">
        <v>31082.49</v>
      </c>
    </row>
    <row r="2025" ht="21" customHeight="1">
      <c r="A2025" s="7" t="n">
        <v>2027</v>
      </c>
      <c r="B2025" s="7" t="n">
        <v>5</v>
      </c>
      <c r="C2025" s="10" t="inlineStr">
        <is>
          <t>Instandh.Fuhrp</t>
        </is>
      </c>
      <c r="D2025" s="10" t="inlineStr">
        <is>
          <t>Fuhrparkkosten</t>
        </is>
      </c>
      <c r="E2025" s="7" t="n">
        <v>30358.86</v>
      </c>
      <c r="F2025" s="7" t="n">
        <v>364306.28</v>
      </c>
    </row>
    <row r="2026" ht="21" customHeight="1">
      <c r="A2026" s="7" t="n">
        <v>2029</v>
      </c>
      <c r="B2026" s="7" t="n">
        <v>5</v>
      </c>
      <c r="C2026" s="10" t="inlineStr">
        <is>
          <t>Vertriebskosten</t>
        </is>
      </c>
      <c r="D2026" s="10" t="inlineStr">
        <is>
          <t>Vertriebskosten</t>
        </is>
      </c>
      <c r="E2026" s="7" t="n">
        <v>11943.75</v>
      </c>
      <c r="F2026" s="7" t="n">
        <v>143325</v>
      </c>
    </row>
    <row r="2027" ht="21" customHeight="1">
      <c r="A2027" s="7" t="n">
        <v>2031</v>
      </c>
      <c r="B2027" s="7" t="n">
        <v>5</v>
      </c>
      <c r="C2027" s="10" t="inlineStr">
        <is>
          <t>Miete Grdst/Gebäud</t>
        </is>
      </c>
      <c r="D2027" s="10" t="inlineStr">
        <is>
          <t>Raumkosten</t>
        </is>
      </c>
      <c r="E2027" s="7" t="n">
        <v>18975.39</v>
      </c>
      <c r="F2027" s="7" t="n">
        <v>227704.65</v>
      </c>
    </row>
    <row r="2028" ht="21" customHeight="1">
      <c r="A2028" s="7" t="n">
        <v>2029</v>
      </c>
      <c r="B2028" s="7" t="n">
        <v>5</v>
      </c>
      <c r="C2028" s="10" t="inlineStr">
        <is>
          <t>Uebr.neutr. Ert</t>
        </is>
      </c>
      <c r="D2028" s="10" t="inlineStr">
        <is>
          <t>Gesamtleistung</t>
        </is>
      </c>
      <c r="E2028" s="7" t="n">
        <v>189.9</v>
      </c>
      <c r="F2028" s="7" t="n">
        <v>2278.85</v>
      </c>
    </row>
    <row r="2029" ht="21" customHeight="1">
      <c r="A2029" s="7" t="n">
        <v>2030</v>
      </c>
      <c r="B2029" s="7" t="n">
        <v>5</v>
      </c>
      <c r="C2029" s="10" t="inlineStr">
        <is>
          <t>Behaelterkosten</t>
        </is>
      </c>
      <c r="D2029" s="10" t="inlineStr">
        <is>
          <t>Instandh. Betriebsausstattung</t>
        </is>
      </c>
      <c r="E2029" s="7" t="n">
        <v>12.75</v>
      </c>
      <c r="F2029" s="7" t="n">
        <v>153.03</v>
      </c>
    </row>
    <row r="2030" ht="21" customHeight="1">
      <c r="A2030" s="7" t="n">
        <v>2029</v>
      </c>
      <c r="B2030" s="7" t="n">
        <v>5</v>
      </c>
      <c r="C2030" s="10" t="inlineStr">
        <is>
          <t>IT-Aufwendungen</t>
        </is>
      </c>
      <c r="D2030" s="10" t="inlineStr">
        <is>
          <t>Verwaltungskosten</t>
        </is>
      </c>
      <c r="E2030" s="7" t="n">
        <v>12302.44</v>
      </c>
      <c r="F2030" s="7" t="n">
        <v>147629.28</v>
      </c>
    </row>
    <row r="2031" ht="21" customHeight="1">
      <c r="A2031" s="7" t="n">
        <v>2028</v>
      </c>
      <c r="B2031" s="7" t="n">
        <v>5</v>
      </c>
      <c r="C2031" s="10" t="inlineStr">
        <is>
          <t>Instandh. BGA</t>
        </is>
      </c>
      <c r="D2031" s="10" t="inlineStr">
        <is>
          <t>Instandh. Betriebsausstattung</t>
        </is>
      </c>
      <c r="E2031" s="7" t="n">
        <v>4426.85</v>
      </c>
      <c r="F2031" s="7" t="n">
        <v>53122.2</v>
      </c>
    </row>
    <row r="2032" ht="21" customHeight="1">
      <c r="A2032" s="7" t="n">
        <v>2029</v>
      </c>
      <c r="B2032" s="7" t="n">
        <v>5</v>
      </c>
      <c r="C2032" s="10" t="inlineStr">
        <is>
          <t>Instandh.Fuhrp</t>
        </is>
      </c>
      <c r="D2032" s="10" t="inlineStr">
        <is>
          <t>Fuhrparkkosten</t>
        </is>
      </c>
      <c r="E2032" s="7" t="n">
        <v>34111.21</v>
      </c>
      <c r="F2032" s="7" t="n">
        <v>409334.56</v>
      </c>
    </row>
    <row r="2033" ht="21" customHeight="1">
      <c r="A2033" s="7" t="n">
        <v>2031</v>
      </c>
      <c r="B2033" s="7" t="n">
        <v>5</v>
      </c>
      <c r="C2033" s="10" t="inlineStr">
        <is>
          <t>Rechts- u. Beratungs</t>
        </is>
      </c>
      <c r="D2033" s="10" t="inlineStr">
        <is>
          <t>Verwaltungskosten</t>
        </is>
      </c>
      <c r="E2033" s="7" t="n">
        <v>28853.53</v>
      </c>
      <c r="F2033" s="7" t="n">
        <v>346242.38</v>
      </c>
    </row>
    <row r="2034" ht="21" customHeight="1">
      <c r="A2034" s="7" t="n">
        <v>2029</v>
      </c>
      <c r="B2034" s="7" t="n">
        <v>5</v>
      </c>
      <c r="C2034" s="10" t="inlineStr">
        <is>
          <t>Ertrag KFZ-Nutz</t>
        </is>
      </c>
      <c r="D2034" s="10" t="inlineStr">
        <is>
          <t>Gesamtleistung</t>
        </is>
      </c>
      <c r="E2034" s="7" t="n">
        <v>8815.82</v>
      </c>
      <c r="F2034" s="7" t="n">
        <v>105789.86</v>
      </c>
    </row>
    <row r="2035" ht="21" customHeight="1">
      <c r="A2035" s="7" t="n">
        <v>2030</v>
      </c>
      <c r="B2035" s="7" t="n">
        <v>5</v>
      </c>
      <c r="C2035" s="10" t="inlineStr">
        <is>
          <t>Ertr. weiterber</t>
        </is>
      </c>
      <c r="D2035" s="10" t="inlineStr">
        <is>
          <t>Gesamtleistung</t>
        </is>
      </c>
      <c r="E2035" s="7" t="n">
        <v>1104.47</v>
      </c>
      <c r="F2035" s="7" t="n">
        <v>13253.67</v>
      </c>
    </row>
    <row r="2036" ht="21" customHeight="1">
      <c r="A2036" s="7" t="n">
        <v>2028</v>
      </c>
      <c r="B2036" s="7" t="n">
        <v>5</v>
      </c>
      <c r="C2036" s="10" t="inlineStr">
        <is>
          <t>Leasing PKW</t>
        </is>
      </c>
      <c r="D2036" s="10" t="inlineStr">
        <is>
          <t>Fuhrparkkosten</t>
        </is>
      </c>
      <c r="E2036" s="7" t="n">
        <v>23256.85</v>
      </c>
      <c r="F2036" s="7" t="n">
        <v>279082.22</v>
      </c>
    </row>
    <row r="2037" ht="21" customHeight="1">
      <c r="A2037" s="7" t="n">
        <v>2028</v>
      </c>
      <c r="B2037" s="7" t="n">
        <v>5</v>
      </c>
      <c r="C2037" s="10" t="inlineStr">
        <is>
          <t>Treibstoffe, Oe</t>
        </is>
      </c>
      <c r="D2037" s="10" t="inlineStr">
        <is>
          <t>Fuhrparkkosten</t>
        </is>
      </c>
      <c r="E2037" s="7" t="n">
        <v>30417.62</v>
      </c>
      <c r="F2037" s="7" t="n">
        <v>365011.49</v>
      </c>
    </row>
    <row r="2038" ht="21" customHeight="1">
      <c r="A2038" s="7" t="n">
        <v>2029</v>
      </c>
      <c r="B2038" s="7" t="n">
        <v>5</v>
      </c>
      <c r="C2038" s="10" t="inlineStr">
        <is>
          <t>Miete PKW</t>
        </is>
      </c>
      <c r="D2038" s="10" t="inlineStr">
        <is>
          <t>Fuhrparkkosten</t>
        </is>
      </c>
      <c r="E2038" s="7" t="n">
        <v>5184.06</v>
      </c>
      <c r="F2038" s="7" t="n">
        <v>62208.67</v>
      </c>
    </row>
    <row r="2039" ht="21" customHeight="1">
      <c r="A2039" s="7" t="n">
        <v>2028</v>
      </c>
      <c r="B2039" s="7" t="n">
        <v>5</v>
      </c>
      <c r="C2039" s="10" t="inlineStr">
        <is>
          <t>Ertr. weiterber</t>
        </is>
      </c>
      <c r="D2039" s="10" t="inlineStr">
        <is>
          <t>Gesamtleistung</t>
        </is>
      </c>
      <c r="E2039" s="7" t="n">
        <v>980.91</v>
      </c>
      <c r="F2039" s="7" t="n">
        <v>11770.87</v>
      </c>
    </row>
    <row r="2040" ht="21" customHeight="1">
      <c r="A2040" s="7" t="n">
        <v>2029</v>
      </c>
      <c r="B2040" s="7" t="n">
        <v>5</v>
      </c>
      <c r="C2040" s="10" t="inlineStr">
        <is>
          <t>Instandh. BGA</t>
        </is>
      </c>
      <c r="D2040" s="10" t="inlineStr">
        <is>
          <t>Instandh. Betriebsausstattung</t>
        </is>
      </c>
      <c r="E2040" s="7" t="n">
        <v>4648.19</v>
      </c>
      <c r="F2040" s="7" t="n">
        <v>55778.31</v>
      </c>
    </row>
    <row r="2041" ht="21" customHeight="1">
      <c r="A2041" s="7" t="n">
        <v>2028</v>
      </c>
      <c r="B2041" s="7" t="n">
        <v>5</v>
      </c>
      <c r="C2041" s="10" t="inlineStr">
        <is>
          <t>Erl. so. DL Dt.</t>
        </is>
      </c>
      <c r="D2041" s="10" t="inlineStr">
        <is>
          <t>Gesamtleistung</t>
        </is>
      </c>
      <c r="E2041" s="7" t="n">
        <v>2095866.37</v>
      </c>
      <c r="F2041" s="7" t="n">
        <v>25150396.49</v>
      </c>
    </row>
    <row r="2042" ht="21" customHeight="1">
      <c r="A2042" s="7" t="n">
        <v>2028</v>
      </c>
      <c r="B2042" s="7" t="n">
        <v>5</v>
      </c>
      <c r="C2042" s="10" t="inlineStr">
        <is>
          <t>IT-Aufwendungen</t>
        </is>
      </c>
      <c r="D2042" s="10" t="inlineStr">
        <is>
          <t>Verwaltungskosten</t>
        </is>
      </c>
      <c r="E2042" s="7" t="n">
        <v>11944.12</v>
      </c>
      <c r="F2042" s="7" t="n">
        <v>143329.39</v>
      </c>
    </row>
    <row r="2043" ht="21" customHeight="1">
      <c r="A2043" s="7" t="n">
        <v>2029</v>
      </c>
      <c r="B2043" s="7" t="n">
        <v>5</v>
      </c>
      <c r="C2043" s="10" t="inlineStr">
        <is>
          <t>Ueb. bezog.Leis</t>
        </is>
      </c>
      <c r="D2043" s="10" t="inlineStr">
        <is>
          <t>Vorleistungen</t>
        </is>
      </c>
      <c r="E2043" s="7" t="n">
        <v>1364260.58</v>
      </c>
      <c r="F2043" s="7" t="n">
        <v>16371126.93</v>
      </c>
    </row>
    <row r="2044" ht="21" customHeight="1">
      <c r="A2044" s="7" t="n">
        <v>2031</v>
      </c>
      <c r="B2044" s="7" t="n">
        <v>5</v>
      </c>
      <c r="C2044" s="10" t="inlineStr">
        <is>
          <t>Sonderz. Prämie</t>
        </is>
      </c>
      <c r="D2044" s="10" t="inlineStr">
        <is>
          <t>Personalaufwand</t>
        </is>
      </c>
      <c r="E2044" s="7" t="n">
        <v>26838.18</v>
      </c>
      <c r="F2044" s="7" t="n">
        <v>322058.2</v>
      </c>
    </row>
    <row r="2045" ht="21" customHeight="1">
      <c r="A2045" s="7" t="n">
        <v>2029</v>
      </c>
      <c r="B2045" s="7" t="n">
        <v>5</v>
      </c>
      <c r="C2045" s="10" t="inlineStr">
        <is>
          <t>Verwaltungskost</t>
        </is>
      </c>
      <c r="D2045" s="10" t="inlineStr">
        <is>
          <t>Verwaltungskosten</t>
        </is>
      </c>
      <c r="E2045" s="7" t="n">
        <v>7098.98</v>
      </c>
      <c r="F2045" s="7" t="n">
        <v>85187.74000000001</v>
      </c>
    </row>
    <row r="2046" ht="21" customHeight="1">
      <c r="A2046" s="7" t="n">
        <v>2028</v>
      </c>
      <c r="B2046" s="7" t="n">
        <v>5</v>
      </c>
      <c r="C2046" s="10" t="inlineStr">
        <is>
          <t>Ertrag KFZ-Nutz</t>
        </is>
      </c>
      <c r="D2046" s="10" t="inlineStr">
        <is>
          <t>Gesamtleistung</t>
        </is>
      </c>
      <c r="E2046" s="7" t="n">
        <v>8405.780000000001</v>
      </c>
      <c r="F2046" s="7" t="n">
        <v>100869.3</v>
      </c>
    </row>
    <row r="2047" ht="21" customHeight="1">
      <c r="A2047" s="7" t="n">
        <v>2030</v>
      </c>
      <c r="B2047" s="7" t="n">
        <v>5</v>
      </c>
      <c r="C2047" s="10" t="inlineStr">
        <is>
          <t>Sonst Fuhrparkkosten</t>
        </is>
      </c>
      <c r="D2047" s="10" t="inlineStr">
        <is>
          <t>Fuhrparkkosten</t>
        </is>
      </c>
      <c r="E2047" s="7" t="n">
        <v>5942.26</v>
      </c>
      <c r="F2047" s="7" t="n">
        <v>71307.13</v>
      </c>
    </row>
    <row r="2048" ht="21" customHeight="1">
      <c r="A2048" s="7" t="n">
        <v>2028</v>
      </c>
      <c r="B2048" s="7" t="n">
        <v>5</v>
      </c>
      <c r="C2048" s="10" t="inlineStr">
        <is>
          <t>Rechts- u. Beratungs</t>
        </is>
      </c>
      <c r="D2048" s="10" t="inlineStr">
        <is>
          <t>Verwaltungskosten</t>
        </is>
      </c>
      <c r="E2048" s="7" t="n">
        <v>26405.07</v>
      </c>
      <c r="F2048" s="7" t="n">
        <v>316860.83</v>
      </c>
    </row>
    <row r="2049" ht="21" customHeight="1">
      <c r="A2049" s="7" t="n">
        <v>2027</v>
      </c>
      <c r="B2049" s="7" t="n">
        <v>5</v>
      </c>
      <c r="C2049" s="10" t="inlineStr">
        <is>
          <t>Leasing LKW</t>
        </is>
      </c>
      <c r="D2049" s="10" t="inlineStr">
        <is>
          <t>Fuhrparkkosten</t>
        </is>
      </c>
      <c r="E2049" s="7" t="n">
        <v>2305.28</v>
      </c>
      <c r="F2049" s="7" t="n">
        <v>27663.3</v>
      </c>
    </row>
    <row r="2050" ht="21" customHeight="1">
      <c r="A2050" s="7" t="n">
        <v>2031</v>
      </c>
      <c r="B2050" s="7" t="n">
        <v>5</v>
      </c>
      <c r="C2050" s="10" t="inlineStr">
        <is>
          <t>Fremdl. Fuhrlei</t>
        </is>
      </c>
      <c r="D2050" s="10" t="inlineStr">
        <is>
          <t>Vorleistungen</t>
        </is>
      </c>
      <c r="E2050" s="7" t="n">
        <v>374.24</v>
      </c>
      <c r="F2050" s="7" t="n">
        <v>4490.84</v>
      </c>
    </row>
    <row r="2051" ht="21" customHeight="1">
      <c r="A2051" s="7" t="n">
        <v>2029</v>
      </c>
      <c r="B2051" s="7" t="n">
        <v>5</v>
      </c>
      <c r="C2051" s="10" t="inlineStr">
        <is>
          <t>Fremdl. Fuhrlei</t>
        </is>
      </c>
      <c r="D2051" s="10" t="inlineStr">
        <is>
          <t>Vorleistungen</t>
        </is>
      </c>
      <c r="E2051" s="7" t="n">
        <v>362.07</v>
      </c>
      <c r="F2051" s="7" t="n">
        <v>4344.88</v>
      </c>
    </row>
    <row r="2052" ht="21" customHeight="1">
      <c r="A2052" s="7" t="n">
        <v>2028</v>
      </c>
      <c r="B2052" s="7" t="n">
        <v>5</v>
      </c>
      <c r="C2052" s="10" t="inlineStr">
        <is>
          <t>Vertriebskosten</t>
        </is>
      </c>
      <c r="D2052" s="10" t="inlineStr">
        <is>
          <t>Vertriebskosten</t>
        </is>
      </c>
      <c r="E2052" s="7" t="n">
        <v>11375</v>
      </c>
      <c r="F2052" s="7" t="n">
        <v>136500</v>
      </c>
    </row>
    <row r="2053" ht="21" customHeight="1">
      <c r="A2053" s="7" t="n">
        <v>2031</v>
      </c>
      <c r="B2053" s="7" t="n">
        <v>5</v>
      </c>
      <c r="C2053" s="10" t="inlineStr">
        <is>
          <t>Aufw. so. Hilfs</t>
        </is>
      </c>
      <c r="D2053" s="10" t="inlineStr">
        <is>
          <t>Vorleistungen</t>
        </is>
      </c>
      <c r="E2053" s="7" t="n">
        <v>-17544.22</v>
      </c>
      <c r="F2053" s="7" t="n">
        <v>-210530.6</v>
      </c>
    </row>
    <row r="2054" ht="21" customHeight="1">
      <c r="A2054" s="7" t="n">
        <v>2029</v>
      </c>
      <c r="B2054" s="7" t="n">
        <v>5</v>
      </c>
      <c r="C2054" s="10" t="inlineStr">
        <is>
          <t>Ankauf Rohstoff</t>
        </is>
      </c>
      <c r="D2054" s="10" t="inlineStr">
        <is>
          <t>Vorleistungen</t>
        </is>
      </c>
      <c r="E2054" s="7" t="n">
        <v>1473.64</v>
      </c>
      <c r="F2054" s="7" t="n">
        <v>17683.65</v>
      </c>
    </row>
    <row r="2055" ht="21" customHeight="1">
      <c r="A2055" s="7" t="n">
        <v>2028</v>
      </c>
      <c r="B2055" s="7" t="n">
        <v>5</v>
      </c>
      <c r="C2055" s="10" t="inlineStr">
        <is>
          <t>Sonstige Steuer</t>
        </is>
      </c>
      <c r="D2055" s="10" t="inlineStr">
        <is>
          <t>Fuhrparkkosten</t>
        </is>
      </c>
      <c r="E2055" s="7" t="n">
        <v>1587.15</v>
      </c>
      <c r="F2055" s="7" t="n">
        <v>19045.76</v>
      </c>
    </row>
    <row r="2056" ht="21" customHeight="1">
      <c r="A2056" s="7" t="n">
        <v>2030</v>
      </c>
      <c r="B2056" s="7" t="n">
        <v>5</v>
      </c>
      <c r="C2056" s="10" t="inlineStr">
        <is>
          <t>Weiterber. Frem</t>
        </is>
      </c>
      <c r="D2056" s="10" t="inlineStr">
        <is>
          <t>Vorleistungen</t>
        </is>
      </c>
      <c r="E2056" s="7" t="n">
        <v>0</v>
      </c>
      <c r="F2056" s="7" t="n">
        <v>0</v>
      </c>
    </row>
    <row r="2057" ht="21" customHeight="1">
      <c r="A2057" s="7" t="n">
        <v>2031</v>
      </c>
      <c r="B2057" s="7" t="n">
        <v>5</v>
      </c>
      <c r="C2057" s="10" t="inlineStr">
        <is>
          <t>Miete Behälter</t>
        </is>
      </c>
      <c r="D2057" s="10" t="inlineStr">
        <is>
          <t>Instandh. Betriebsausstattung</t>
        </is>
      </c>
      <c r="E2057" s="7" t="n">
        <v>27.88</v>
      </c>
      <c r="F2057" s="7" t="n">
        <v>334.55</v>
      </c>
    </row>
    <row r="2058" ht="21" customHeight="1">
      <c r="A2058" s="7" t="n">
        <v>2027</v>
      </c>
      <c r="B2058" s="7" t="n">
        <v>5</v>
      </c>
      <c r="C2058" s="10" t="inlineStr">
        <is>
          <t>Miete Grdst/Gebäud</t>
        </is>
      </c>
      <c r="D2058" s="10" t="inlineStr">
        <is>
          <t>Raumkosten</t>
        </is>
      </c>
      <c r="E2058" s="7" t="n">
        <v>15284.77</v>
      </c>
      <c r="F2058" s="7" t="n">
        <v>183417.26</v>
      </c>
    </row>
    <row r="2059" ht="21" customHeight="1">
      <c r="A2059" s="7" t="n">
        <v>2028</v>
      </c>
      <c r="B2059" s="7" t="n">
        <v>5</v>
      </c>
      <c r="C2059" s="10" t="inlineStr">
        <is>
          <t>Aufw. f. Alters</t>
        </is>
      </c>
      <c r="D2059" s="10" t="inlineStr">
        <is>
          <t>Personalaufwand</t>
        </is>
      </c>
      <c r="E2059" s="7" t="n">
        <v>1290.05</v>
      </c>
      <c r="F2059" s="7" t="n">
        <v>15480.56</v>
      </c>
    </row>
    <row r="2060" ht="21" customHeight="1">
      <c r="A2060" s="7" t="n">
        <v>2028</v>
      </c>
      <c r="B2060" s="7" t="n">
        <v>5</v>
      </c>
      <c r="C2060" s="10" t="inlineStr">
        <is>
          <t>Fremdl. Persona</t>
        </is>
      </c>
      <c r="D2060" s="10" t="inlineStr">
        <is>
          <t>Vorleistungen</t>
        </is>
      </c>
      <c r="E2060" s="7" t="n">
        <v>69.04000000000001</v>
      </c>
      <c r="F2060" s="7" t="n">
        <v>828.42</v>
      </c>
    </row>
    <row r="2061" ht="21" customHeight="1">
      <c r="A2061" s="7" t="n">
        <v>2030</v>
      </c>
      <c r="B2061" s="7" t="n">
        <v>5</v>
      </c>
      <c r="C2061" s="10" t="inlineStr">
        <is>
          <t>Vertriebskosten</t>
        </is>
      </c>
      <c r="D2061" s="10" t="inlineStr">
        <is>
          <t>Vertriebskosten</t>
        </is>
      </c>
      <c r="E2061" s="7" t="n">
        <v>12540.94</v>
      </c>
      <c r="F2061" s="7" t="n">
        <v>150491.26</v>
      </c>
    </row>
    <row r="2062" ht="21" customHeight="1">
      <c r="A2062" s="7" t="n">
        <v>2030</v>
      </c>
      <c r="B2062" s="7" t="n">
        <v>5</v>
      </c>
      <c r="C2062" s="10" t="inlineStr">
        <is>
          <t>Aufw. so. Hilfs</t>
        </is>
      </c>
      <c r="D2062" s="10" t="inlineStr">
        <is>
          <t>Vorleistungen</t>
        </is>
      </c>
      <c r="E2062" s="7" t="n">
        <v>-17197.35</v>
      </c>
      <c r="F2062" s="7" t="n">
        <v>-206368.2</v>
      </c>
    </row>
    <row r="2063" ht="21" customHeight="1">
      <c r="A2063" s="7" t="n">
        <v>2029</v>
      </c>
      <c r="B2063" s="7" t="n">
        <v>5</v>
      </c>
      <c r="C2063" s="10" t="inlineStr">
        <is>
          <t>Aufw. so. Hilfs</t>
        </is>
      </c>
      <c r="D2063" s="10" t="inlineStr">
        <is>
          <t>Vorleistungen</t>
        </is>
      </c>
      <c r="E2063" s="7" t="n">
        <v>-16834.66</v>
      </c>
      <c r="F2063" s="7" t="n">
        <v>-202015.88</v>
      </c>
    </row>
    <row r="2064" ht="21" customHeight="1">
      <c r="A2064" s="7" t="n">
        <v>2027</v>
      </c>
      <c r="B2064" s="7" t="n">
        <v>5</v>
      </c>
      <c r="C2064" s="10" t="inlineStr">
        <is>
          <t>Miete PKW</t>
        </is>
      </c>
      <c r="D2064" s="10" t="inlineStr">
        <is>
          <t>Fuhrparkkosten</t>
        </is>
      </c>
      <c r="E2064" s="7" t="n">
        <v>4613.79</v>
      </c>
      <c r="F2064" s="7" t="n">
        <v>55365.51</v>
      </c>
    </row>
    <row r="2065" ht="21" customHeight="1">
      <c r="A2065" s="7" t="n">
        <v>2030</v>
      </c>
      <c r="B2065" s="7" t="n">
        <v>5</v>
      </c>
      <c r="C2065" s="10" t="inlineStr">
        <is>
          <t>Fremdl. Fuhrlei</t>
        </is>
      </c>
      <c r="D2065" s="10" t="inlineStr">
        <is>
          <t>Vorleistungen</t>
        </is>
      </c>
      <c r="E2065" s="7" t="n">
        <v>368.3</v>
      </c>
      <c r="F2065" s="7" t="n">
        <v>4419.56</v>
      </c>
    </row>
    <row r="2066" ht="21" customHeight="1">
      <c r="A2066" s="7" t="n">
        <v>2030</v>
      </c>
      <c r="B2066" s="7" t="n">
        <v>5</v>
      </c>
      <c r="C2066" s="10" t="inlineStr">
        <is>
          <t>Miete PKW</t>
        </is>
      </c>
      <c r="D2066" s="10" t="inlineStr">
        <is>
          <t>Fuhrparkkosten</t>
        </is>
      </c>
      <c r="E2066" s="7" t="n">
        <v>5495.1</v>
      </c>
      <c r="F2066" s="7" t="n">
        <v>65941.19</v>
      </c>
    </row>
    <row r="2067" ht="21" customHeight="1">
      <c r="A2067" s="7" t="n">
        <v>2027</v>
      </c>
      <c r="B2067" s="7" t="n">
        <v>5</v>
      </c>
      <c r="C2067" s="10" t="inlineStr">
        <is>
          <t>Erl. Waren Dt.</t>
        </is>
      </c>
      <c r="D2067" s="10" t="inlineStr">
        <is>
          <t>Gesamtleistung</t>
        </is>
      </c>
      <c r="E2067" s="7" t="n">
        <v>42246.46</v>
      </c>
      <c r="F2067" s="7" t="n">
        <v>506957.51</v>
      </c>
    </row>
    <row r="2068" ht="21" customHeight="1">
      <c r="A2068" s="7" t="n">
        <v>2029</v>
      </c>
      <c r="B2068" s="7" t="n">
        <v>5</v>
      </c>
      <c r="C2068" s="10" t="inlineStr">
        <is>
          <t>Bestandsveraend</t>
        </is>
      </c>
      <c r="D2068" s="10" t="inlineStr">
        <is>
          <t>Gesamtleistung</t>
        </is>
      </c>
      <c r="E2068" s="7" t="n">
        <v>0</v>
      </c>
      <c r="F2068" s="7" t="n">
        <v>0</v>
      </c>
    </row>
    <row r="2069" ht="21" customHeight="1">
      <c r="A2069" s="7" t="n">
        <v>2031</v>
      </c>
      <c r="B2069" s="7" t="n">
        <v>5</v>
      </c>
      <c r="C2069" s="10" t="inlineStr">
        <is>
          <t>Leasing PKW</t>
        </is>
      </c>
      <c r="D2069" s="10" t="inlineStr">
        <is>
          <t>Fuhrparkkosten</t>
        </is>
      </c>
      <c r="E2069" s="7" t="n">
        <v>27699.28</v>
      </c>
      <c r="F2069" s="7" t="n">
        <v>332391.4</v>
      </c>
    </row>
    <row r="2070" ht="21" customHeight="1">
      <c r="A2070" s="7" t="n">
        <v>2029</v>
      </c>
      <c r="B2070" s="7" t="n">
        <v>5</v>
      </c>
      <c r="C2070" s="10" t="inlineStr">
        <is>
          <t>Behaelterkosten</t>
        </is>
      </c>
      <c r="D2070" s="10" t="inlineStr">
        <is>
          <t>Instandh. Betriebsausstattung</t>
        </is>
      </c>
      <c r="E2070" s="7" t="n">
        <v>12.15</v>
      </c>
      <c r="F2070" s="7" t="n">
        <v>145.74</v>
      </c>
    </row>
    <row r="2071" ht="21" customHeight="1">
      <c r="A2071" s="7" t="n">
        <v>2029</v>
      </c>
      <c r="B2071" s="7" t="n">
        <v>5</v>
      </c>
      <c r="C2071" s="10" t="inlineStr">
        <is>
          <t>Aufwand Umlage</t>
        </is>
      </c>
      <c r="D2071" s="10" t="inlineStr">
        <is>
          <t>Verwaltungskosten</t>
        </is>
      </c>
      <c r="E2071" s="7" t="n">
        <v>3589.28</v>
      </c>
      <c r="F2071" s="7" t="n">
        <v>43071.39</v>
      </c>
    </row>
    <row r="2072" ht="21" customHeight="1">
      <c r="A2072" s="7" t="n">
        <v>2030</v>
      </c>
      <c r="B2072" s="7" t="n">
        <v>5</v>
      </c>
      <c r="C2072" s="10" t="inlineStr">
        <is>
          <t>Instandh.Fuhrp</t>
        </is>
      </c>
      <c r="D2072" s="10" t="inlineStr">
        <is>
          <t>Fuhrparkkosten</t>
        </is>
      </c>
      <c r="E2072" s="7" t="n">
        <v>36157.89</v>
      </c>
      <c r="F2072" s="7" t="n">
        <v>433894.62</v>
      </c>
    </row>
    <row r="2073" ht="21" customHeight="1">
      <c r="A2073" s="7" t="n">
        <v>2028</v>
      </c>
      <c r="B2073" s="7" t="n">
        <v>5</v>
      </c>
      <c r="C2073" s="10" t="inlineStr">
        <is>
          <t>Sonderz. Prämie</t>
        </is>
      </c>
      <c r="D2073" s="10" t="inlineStr">
        <is>
          <t>Personalaufwand</t>
        </is>
      </c>
      <c r="E2073" s="7" t="n">
        <v>21386.26</v>
      </c>
      <c r="F2073" s="7" t="n">
        <v>256635.15</v>
      </c>
    </row>
    <row r="2074" ht="21" customHeight="1">
      <c r="A2074" s="7" t="n">
        <v>2029</v>
      </c>
      <c r="B2074" s="7" t="n">
        <v>5</v>
      </c>
      <c r="C2074" s="10" t="inlineStr">
        <is>
          <t>Aufw. f. Alters</t>
        </is>
      </c>
      <c r="D2074" s="10" t="inlineStr">
        <is>
          <t>Personalaufwand</t>
        </is>
      </c>
      <c r="E2074" s="7" t="n">
        <v>1366.43</v>
      </c>
      <c r="F2074" s="7" t="n">
        <v>16397.15</v>
      </c>
    </row>
    <row r="2075" ht="21" customHeight="1">
      <c r="A2075" s="7" t="n">
        <v>2027</v>
      </c>
      <c r="B2075" s="7" t="n">
        <v>5</v>
      </c>
      <c r="C2075" s="10" t="inlineStr">
        <is>
          <t>Ertr. weiterber</t>
        </is>
      </c>
      <c r="D2075" s="10" t="inlineStr">
        <is>
          <t>Gesamtleistung</t>
        </is>
      </c>
      <c r="E2075" s="7" t="n">
        <v>919.41</v>
      </c>
      <c r="F2075" s="7" t="n">
        <v>11032.96</v>
      </c>
    </row>
    <row r="2076" ht="21" customHeight="1">
      <c r="A2076" s="7" t="n">
        <v>2029</v>
      </c>
      <c r="B2076" s="7" t="n">
        <v>5</v>
      </c>
      <c r="C2076" s="10" t="inlineStr">
        <is>
          <t>So. betr. Aufwa</t>
        </is>
      </c>
      <c r="D2076" s="10" t="inlineStr">
        <is>
          <t>Verwaltungskosten</t>
        </is>
      </c>
      <c r="E2076" s="7" t="n">
        <v>693.25</v>
      </c>
      <c r="F2076" s="7" t="n">
        <v>8319.02</v>
      </c>
    </row>
    <row r="2077" ht="21" customHeight="1">
      <c r="A2077" s="7" t="n">
        <v>2031</v>
      </c>
      <c r="B2077" s="7" t="n">
        <v>5</v>
      </c>
      <c r="C2077" s="10" t="inlineStr">
        <is>
          <t>Ertr. weiterber</t>
        </is>
      </c>
      <c r="D2077" s="10" t="inlineStr">
        <is>
          <t>Gesamtleistung</t>
        </is>
      </c>
      <c r="E2077" s="7" t="n">
        <v>1173.93</v>
      </c>
      <c r="F2077" s="7" t="n">
        <v>14087.11</v>
      </c>
    </row>
    <row r="2078" ht="21" customHeight="1">
      <c r="A2078" s="7" t="n">
        <v>2031</v>
      </c>
      <c r="B2078" s="7" t="n">
        <v>5</v>
      </c>
      <c r="C2078" s="10" t="inlineStr">
        <is>
          <t>Ueb. bezog.Leis</t>
        </is>
      </c>
      <c r="D2078" s="10" t="inlineStr">
        <is>
          <t>Vorleistungen</t>
        </is>
      </c>
      <c r="E2078" s="7" t="n">
        <v>1404446.73</v>
      </c>
      <c r="F2078" s="7" t="n">
        <v>16853360.74</v>
      </c>
    </row>
    <row r="2079" ht="21" customHeight="1">
      <c r="A2079" s="7" t="n">
        <v>2027</v>
      </c>
      <c r="B2079" s="7" t="n">
        <v>5</v>
      </c>
      <c r="C2079" s="10" t="inlineStr">
        <is>
          <t>Fremdl. Fuhrlei</t>
        </is>
      </c>
      <c r="D2079" s="10" t="inlineStr">
        <is>
          <t>Vorleistungen</t>
        </is>
      </c>
      <c r="E2079" s="7" t="n">
        <v>371.09</v>
      </c>
      <c r="F2079" s="7" t="n">
        <v>4453.13</v>
      </c>
    </row>
    <row r="2080" ht="21" customHeight="1">
      <c r="A2080" s="7" t="n">
        <v>2027</v>
      </c>
      <c r="B2080" s="7" t="n">
        <v>5</v>
      </c>
      <c r="C2080" s="10" t="inlineStr">
        <is>
          <t>Behaelterkosten</t>
        </is>
      </c>
      <c r="D2080" s="10" t="inlineStr">
        <is>
          <t>Instandh. Betriebsausstattung</t>
        </is>
      </c>
      <c r="E2080" s="7" t="n">
        <v>11.02</v>
      </c>
      <c r="F2080" s="7" t="n">
        <v>132.19</v>
      </c>
    </row>
    <row r="2081" ht="21" customHeight="1">
      <c r="A2081" s="7" t="n">
        <v>2027</v>
      </c>
      <c r="B2081" s="7" t="n">
        <v>5</v>
      </c>
      <c r="C2081" s="10" t="inlineStr">
        <is>
          <t>Ueb Lohn-Gehalt</t>
        </is>
      </c>
      <c r="D2081" s="10" t="inlineStr">
        <is>
          <t>Personalaufwand</t>
        </is>
      </c>
      <c r="E2081" s="7" t="n">
        <v>30579.25</v>
      </c>
      <c r="F2081" s="7" t="n">
        <v>366951</v>
      </c>
    </row>
    <row r="2082" ht="21" customHeight="1">
      <c r="A2082" s="7" t="n">
        <v>2028</v>
      </c>
      <c r="B2082" s="7" t="n">
        <v>5</v>
      </c>
      <c r="C2082" s="10" t="inlineStr">
        <is>
          <t>Raumkosten</t>
        </is>
      </c>
      <c r="D2082" s="10" t="inlineStr">
        <is>
          <t>Raumkosten</t>
        </is>
      </c>
      <c r="E2082" s="7" t="n">
        <v>7023.98</v>
      </c>
      <c r="F2082" s="7" t="n">
        <v>84287.78</v>
      </c>
    </row>
    <row r="2083" ht="21" customHeight="1">
      <c r="A2083" s="7" t="n">
        <v>2031</v>
      </c>
      <c r="B2083" s="7" t="n">
        <v>5</v>
      </c>
      <c r="C2083" s="10" t="inlineStr">
        <is>
          <t>Bestandsveraend</t>
        </is>
      </c>
      <c r="D2083" s="10" t="inlineStr">
        <is>
          <t>Gesamtleistung</t>
        </is>
      </c>
      <c r="E2083" s="7" t="n">
        <v>0</v>
      </c>
      <c r="F2083" s="7" t="n">
        <v>0</v>
      </c>
    </row>
    <row r="2084" ht="21" customHeight="1">
      <c r="A2084" s="7" t="n">
        <v>2029</v>
      </c>
      <c r="B2084" s="7" t="n">
        <v>5</v>
      </c>
      <c r="C2084" s="10" t="inlineStr">
        <is>
          <t>Lohn + Gehalt</t>
        </is>
      </c>
      <c r="D2084" s="10" t="inlineStr">
        <is>
          <t>Personalaufwand</t>
        </is>
      </c>
      <c r="E2084" s="7" t="n">
        <v>356250.11</v>
      </c>
      <c r="F2084" s="7" t="n">
        <v>4275001.35</v>
      </c>
    </row>
    <row r="2085" ht="21" customHeight="1">
      <c r="A2085" s="7" t="n">
        <v>2029</v>
      </c>
      <c r="B2085" s="7" t="n">
        <v>5</v>
      </c>
      <c r="C2085" s="10" t="inlineStr">
        <is>
          <t>Aufw. Heizmat.</t>
        </is>
      </c>
      <c r="D2085" s="10" t="inlineStr">
        <is>
          <t>Vorleistungen</t>
        </is>
      </c>
      <c r="E2085" s="7" t="n">
        <v>245.07</v>
      </c>
      <c r="F2085" s="7" t="n">
        <v>2940.88</v>
      </c>
    </row>
    <row r="2086" ht="21" customHeight="1">
      <c r="A2086" s="7" t="n">
        <v>2031</v>
      </c>
      <c r="B2086" s="7" t="n">
        <v>5</v>
      </c>
      <c r="C2086" s="10" t="inlineStr">
        <is>
          <t>Verwaltungskost</t>
        </is>
      </c>
      <c r="D2086" s="10" t="inlineStr">
        <is>
          <t>Verwaltungskosten</t>
        </is>
      </c>
      <c r="E2086" s="7" t="n">
        <v>7531.31</v>
      </c>
      <c r="F2086" s="7" t="n">
        <v>90375.69</v>
      </c>
    </row>
    <row r="2087" ht="21" customHeight="1">
      <c r="A2087" s="7" t="n">
        <v>2028</v>
      </c>
      <c r="B2087" s="7" t="n">
        <v>5</v>
      </c>
      <c r="C2087" s="10" t="inlineStr">
        <is>
          <t>Erl. Waren Dt.</t>
        </is>
      </c>
      <c r="D2087" s="10" t="inlineStr">
        <is>
          <t>Gesamtleistung</t>
        </is>
      </c>
      <c r="E2087" s="7" t="n">
        <v>44950.49</v>
      </c>
      <c r="F2087" s="7" t="n">
        <v>539405.87</v>
      </c>
    </row>
    <row r="2088" ht="21" customHeight="1">
      <c r="A2088" s="7" t="n">
        <v>2030</v>
      </c>
      <c r="B2088" s="7" t="n">
        <v>5</v>
      </c>
      <c r="C2088" s="10" t="inlineStr">
        <is>
          <t>Uebr.neutr. Ert</t>
        </is>
      </c>
      <c r="D2088" s="10" t="inlineStr">
        <is>
          <t>Gesamtleistung</t>
        </is>
      </c>
      <c r="E2088" s="7" t="n">
        <v>207.38</v>
      </c>
      <c r="F2088" s="7" t="n">
        <v>2488.5</v>
      </c>
    </row>
    <row r="2089" ht="21" customHeight="1">
      <c r="A2089" s="7" t="n">
        <v>2030</v>
      </c>
      <c r="B2089" s="7" t="n">
        <v>5</v>
      </c>
      <c r="C2089" s="10" t="inlineStr">
        <is>
          <t>Raumkosten</t>
        </is>
      </c>
      <c r="D2089" s="10" t="inlineStr">
        <is>
          <t>Raumkosten</t>
        </is>
      </c>
      <c r="E2089" s="7" t="n">
        <v>7307.75</v>
      </c>
      <c r="F2089" s="7" t="n">
        <v>87693</v>
      </c>
    </row>
    <row r="2090" ht="21" customHeight="1">
      <c r="A2090" s="7" t="n">
        <v>2030</v>
      </c>
      <c r="B2090" s="7" t="n">
        <v>5</v>
      </c>
      <c r="C2090" s="10" t="inlineStr">
        <is>
          <t>Fremdl. Persona</t>
        </is>
      </c>
      <c r="D2090" s="10" t="inlineStr">
        <is>
          <t>Vorleistungen</t>
        </is>
      </c>
      <c r="E2090" s="7" t="n">
        <v>76.56999999999999</v>
      </c>
      <c r="F2090" s="7" t="n">
        <v>918.79</v>
      </c>
    </row>
    <row r="2091" ht="21" customHeight="1">
      <c r="A2091" s="7" t="n">
        <v>2027</v>
      </c>
      <c r="B2091" s="7" t="n">
        <v>5</v>
      </c>
      <c r="C2091" s="10" t="inlineStr">
        <is>
          <t>Leasing PKW</t>
        </is>
      </c>
      <c r="D2091" s="10" t="inlineStr">
        <is>
          <t>Fuhrparkkosten</t>
        </is>
      </c>
      <c r="E2091" s="7" t="n">
        <v>21940.43</v>
      </c>
      <c r="F2091" s="7" t="n">
        <v>263285.11</v>
      </c>
    </row>
    <row r="2092" ht="21" customHeight="1">
      <c r="A2092" s="7" t="n">
        <v>2030</v>
      </c>
      <c r="B2092" s="7" t="n">
        <v>5</v>
      </c>
      <c r="C2092" s="10" t="inlineStr">
        <is>
          <t>Ertrag KFZ-Nutz</t>
        </is>
      </c>
      <c r="D2092" s="10" t="inlineStr">
        <is>
          <t>Gesamtleistung</t>
        </is>
      </c>
      <c r="E2092" s="7" t="n">
        <v>9193.41</v>
      </c>
      <c r="F2092" s="7" t="n">
        <v>110320.94</v>
      </c>
    </row>
    <row r="2093" ht="21" customHeight="1">
      <c r="A2093" s="7" t="n">
        <v>2028</v>
      </c>
      <c r="B2093" s="7" t="n">
        <v>5</v>
      </c>
      <c r="C2093" s="10" t="inlineStr">
        <is>
          <t>Uebr.neutr. Ert</t>
        </is>
      </c>
      <c r="D2093" s="10" t="inlineStr">
        <is>
          <t>Gesamtleistung</t>
        </is>
      </c>
      <c r="E2093" s="7" t="n">
        <v>151.92</v>
      </c>
      <c r="F2093" s="7" t="n">
        <v>1823.08</v>
      </c>
    </row>
    <row r="2094" ht="21" customHeight="1">
      <c r="A2094" s="7" t="n">
        <v>2030</v>
      </c>
      <c r="B2094" s="7" t="n">
        <v>5</v>
      </c>
      <c r="C2094" s="10" t="inlineStr">
        <is>
          <t>Soziale Abgaben</t>
        </is>
      </c>
      <c r="D2094" s="10" t="inlineStr">
        <is>
          <t>Personalaufwand</t>
        </is>
      </c>
      <c r="E2094" s="7" t="n">
        <v>104141.87</v>
      </c>
      <c r="F2094" s="7" t="n">
        <v>1249702.47</v>
      </c>
    </row>
    <row r="2095" ht="21" customHeight="1">
      <c r="A2095" s="7" t="n">
        <v>2030</v>
      </c>
      <c r="B2095" s="7" t="n">
        <v>5</v>
      </c>
      <c r="C2095" s="10" t="inlineStr">
        <is>
          <t>Ankauf Rohstoff</t>
        </is>
      </c>
      <c r="D2095" s="10" t="inlineStr">
        <is>
          <t>Vorleistungen</t>
        </is>
      </c>
      <c r="E2095" s="7" t="n">
        <v>1483.55</v>
      </c>
      <c r="F2095" s="7" t="n">
        <v>17802.65</v>
      </c>
    </row>
    <row r="2096" ht="21" customHeight="1">
      <c r="A2096" s="7" t="n">
        <v>2031</v>
      </c>
      <c r="B2096" s="7" t="n">
        <v>5</v>
      </c>
      <c r="C2096" s="10" t="inlineStr">
        <is>
          <t>Aufw. Heizmat.</t>
        </is>
      </c>
      <c r="D2096" s="10" t="inlineStr">
        <is>
          <t>Vorleistungen</t>
        </is>
      </c>
      <c r="E2096" s="7" t="n">
        <v>216.16</v>
      </c>
      <c r="F2096" s="7" t="n">
        <v>2593.97</v>
      </c>
    </row>
    <row r="2097" ht="21" customHeight="1">
      <c r="A2097" s="7" t="n">
        <v>2030</v>
      </c>
      <c r="B2097" s="7" t="n">
        <v>5</v>
      </c>
      <c r="C2097" s="10" t="inlineStr">
        <is>
          <t>IT-Aufwendungen</t>
        </is>
      </c>
      <c r="D2097" s="10" t="inlineStr">
        <is>
          <t>Verwaltungskosten</t>
        </is>
      </c>
      <c r="E2097" s="7" t="n">
        <v>12671.51</v>
      </c>
      <c r="F2097" s="7" t="n">
        <v>152058.16</v>
      </c>
    </row>
    <row r="2098" ht="21" customHeight="1">
      <c r="A2098" s="7" t="n">
        <v>2027</v>
      </c>
      <c r="B2098" s="7" t="n">
        <v>5</v>
      </c>
      <c r="C2098" s="10" t="inlineStr">
        <is>
          <t>Treibstoffe, Oe</t>
        </is>
      </c>
      <c r="D2098" s="10" t="inlineStr">
        <is>
          <t>Fuhrparkkosten</t>
        </is>
      </c>
      <c r="E2098" s="7" t="n">
        <v>28695.87</v>
      </c>
      <c r="F2098" s="7" t="n">
        <v>344350.48</v>
      </c>
    </row>
    <row r="2099" ht="21" customHeight="1">
      <c r="A2099" s="7" t="n">
        <v>2028</v>
      </c>
      <c r="B2099" s="7" t="n">
        <v>5</v>
      </c>
      <c r="C2099" s="10" t="inlineStr">
        <is>
          <t>Aufw. Heizmat.</t>
        </is>
      </c>
      <c r="D2099" s="10" t="inlineStr">
        <is>
          <t>Vorleistungen</t>
        </is>
      </c>
      <c r="E2099" s="7" t="n">
        <v>260.43</v>
      </c>
      <c r="F2099" s="7" t="n">
        <v>3125.13</v>
      </c>
    </row>
    <row r="2100" ht="21" customHeight="1">
      <c r="A2100" s="7" t="n">
        <v>2031</v>
      </c>
      <c r="B2100" s="7" t="n">
        <v>5</v>
      </c>
      <c r="C2100" s="10" t="inlineStr">
        <is>
          <t>Ertrag KFZ-Nutz</t>
        </is>
      </c>
      <c r="D2100" s="10" t="inlineStr">
        <is>
          <t>Gesamtleistung</t>
        </is>
      </c>
      <c r="E2100" s="7" t="n">
        <v>9597.290000000001</v>
      </c>
      <c r="F2100" s="7" t="n">
        <v>115167.5</v>
      </c>
    </row>
    <row r="2101" ht="21" customHeight="1">
      <c r="A2101" s="7" t="n">
        <v>2027</v>
      </c>
      <c r="B2101" s="7" t="n">
        <v>5</v>
      </c>
      <c r="C2101" s="10" t="inlineStr">
        <is>
          <t>Raumkosten</t>
        </is>
      </c>
      <c r="D2101" s="10" t="inlineStr">
        <is>
          <t>Raumkosten</t>
        </is>
      </c>
      <c r="E2101" s="7" t="n">
        <v>5046.85</v>
      </c>
      <c r="F2101" s="7" t="n">
        <v>60562.14</v>
      </c>
    </row>
    <row r="2102" ht="21" customHeight="1">
      <c r="A2102" s="7" t="n">
        <v>2028</v>
      </c>
      <c r="B2102" s="7" t="n">
        <v>5</v>
      </c>
      <c r="C2102" s="10" t="inlineStr">
        <is>
          <t>Soziale Abgaben</t>
        </is>
      </c>
      <c r="D2102" s="10" t="inlineStr">
        <is>
          <t>Personalaufwand</t>
        </is>
      </c>
      <c r="E2102" s="7" t="n">
        <v>85007.57000000001</v>
      </c>
      <c r="F2102" s="7" t="n">
        <v>1020090.84</v>
      </c>
    </row>
    <row r="2103" ht="21" customHeight="1">
      <c r="A2103" s="7" t="n">
        <v>2029</v>
      </c>
      <c r="B2103" s="7" t="n">
        <v>5</v>
      </c>
      <c r="C2103" s="10" t="inlineStr">
        <is>
          <t>Miete Grdst/Gebäud</t>
        </is>
      </c>
      <c r="D2103" s="10" t="inlineStr">
        <is>
          <t>Raumkosten</t>
        </is>
      </c>
      <c r="E2103" s="7" t="n">
        <v>18238.55</v>
      </c>
      <c r="F2103" s="7" t="n">
        <v>218862.64</v>
      </c>
    </row>
    <row r="2104" ht="21" customHeight="1">
      <c r="A2104" s="7" t="n">
        <v>2031</v>
      </c>
      <c r="B2104" s="7" t="n">
        <v>5</v>
      </c>
      <c r="C2104" s="10" t="inlineStr">
        <is>
          <t>Raumkosten</t>
        </is>
      </c>
      <c r="D2104" s="10" t="inlineStr">
        <is>
          <t>Raumkosten</t>
        </is>
      </c>
      <c r="E2104" s="7" t="n">
        <v>7453.91</v>
      </c>
      <c r="F2104" s="7" t="n">
        <v>89446.89</v>
      </c>
    </row>
    <row r="2105" ht="21" customHeight="1">
      <c r="A2105" s="7" t="n">
        <v>2031</v>
      </c>
      <c r="B2105" s="7" t="n">
        <v>5</v>
      </c>
      <c r="C2105" s="10" t="inlineStr">
        <is>
          <t>Behaelterkosten</t>
        </is>
      </c>
      <c r="D2105" s="10" t="inlineStr">
        <is>
          <t>Instandh. Betriebsausstattung</t>
        </is>
      </c>
      <c r="E2105" s="7" t="n">
        <v>13.39</v>
      </c>
      <c r="F2105" s="7" t="n">
        <v>160.68</v>
      </c>
    </row>
    <row r="2106" ht="21" customHeight="1">
      <c r="A2106" s="7" t="n">
        <v>2031</v>
      </c>
      <c r="B2106" s="7" t="n">
        <v>5</v>
      </c>
      <c r="C2106" s="10" t="inlineStr">
        <is>
          <t>Instandh.Fuhrp</t>
        </is>
      </c>
      <c r="D2106" s="10" t="inlineStr">
        <is>
          <t>Fuhrparkkosten</t>
        </is>
      </c>
      <c r="E2106" s="7" t="n">
        <v>38327.36</v>
      </c>
      <c r="F2106" s="7" t="n">
        <v>459928.28</v>
      </c>
    </row>
    <row r="2107" ht="21" customHeight="1">
      <c r="A2107" s="7" t="n">
        <v>2030</v>
      </c>
      <c r="B2107" s="7" t="n">
        <v>5</v>
      </c>
      <c r="C2107" s="10" t="inlineStr">
        <is>
          <t>Ueb. bezog.Leis</t>
        </is>
      </c>
      <c r="D2107" s="10" t="inlineStr">
        <is>
          <t>Vorleistungen</t>
        </is>
      </c>
      <c r="E2107" s="7" t="n">
        <v>1385029.28</v>
      </c>
      <c r="F2107" s="7" t="n">
        <v>16620351.38</v>
      </c>
    </row>
    <row r="2108" ht="21" customHeight="1">
      <c r="A2108" s="7" t="n">
        <v>2027</v>
      </c>
      <c r="B2108" s="7" t="n">
        <v>5</v>
      </c>
      <c r="C2108" s="10" t="inlineStr">
        <is>
          <t>Miete LKW,Schiffe</t>
        </is>
      </c>
      <c r="D2108" s="10" t="inlineStr">
        <is>
          <t>Fuhrparkkosten</t>
        </is>
      </c>
      <c r="E2108" s="7" t="n">
        <v>36751.61</v>
      </c>
      <c r="F2108" s="7" t="n">
        <v>441019.28</v>
      </c>
    </row>
    <row r="2109" ht="21" customHeight="1">
      <c r="A2109" s="7" t="n">
        <v>2030</v>
      </c>
      <c r="B2109" s="7" t="n">
        <v>5</v>
      </c>
      <c r="C2109" s="10" t="inlineStr">
        <is>
          <t>Leasing LKW</t>
        </is>
      </c>
      <c r="D2109" s="10" t="inlineStr">
        <is>
          <t>Fuhrparkkosten</t>
        </is>
      </c>
      <c r="E2109" s="7" t="n">
        <v>2745.62</v>
      </c>
      <c r="F2109" s="7" t="n">
        <v>32947.44</v>
      </c>
    </row>
    <row r="2110" ht="21" customHeight="1">
      <c r="A2110" s="7" t="n">
        <v>2031</v>
      </c>
      <c r="B2110" s="7" t="n">
        <v>5</v>
      </c>
      <c r="C2110" s="10" t="inlineStr">
        <is>
          <t>Vertriebskosten</t>
        </is>
      </c>
      <c r="D2110" s="10" t="inlineStr">
        <is>
          <t>Vertriebskosten</t>
        </is>
      </c>
      <c r="E2110" s="7" t="n">
        <v>13167.99</v>
      </c>
      <c r="F2110" s="7" t="n">
        <v>158015.82</v>
      </c>
    </row>
    <row r="2111" ht="21" customHeight="1">
      <c r="A2111" s="7" t="n">
        <v>2028</v>
      </c>
      <c r="B2111" s="7" t="n">
        <v>5</v>
      </c>
      <c r="C2111" s="10" t="inlineStr">
        <is>
          <t>Behaelterkosten</t>
        </is>
      </c>
      <c r="D2111" s="10" t="inlineStr">
        <is>
          <t>Instandh. Betriebsausstattung</t>
        </is>
      </c>
      <c r="E2111" s="7" t="n">
        <v>11.57</v>
      </c>
      <c r="F2111" s="7" t="n">
        <v>138.8</v>
      </c>
    </row>
    <row r="2112" ht="21" customHeight="1">
      <c r="A2112" s="7" t="n">
        <v>2030</v>
      </c>
      <c r="B2112" s="7" t="n">
        <v>5</v>
      </c>
      <c r="C2112" s="10" t="inlineStr">
        <is>
          <t>Verwaltungskost</t>
        </is>
      </c>
      <c r="D2112" s="10" t="inlineStr">
        <is>
          <t>Verwaltungskosten</t>
        </is>
      </c>
      <c r="E2112" s="7" t="n">
        <v>7311.95</v>
      </c>
      <c r="F2112" s="7" t="n">
        <v>87743.38</v>
      </c>
    </row>
    <row r="2113" ht="21" customHeight="1">
      <c r="A2113" s="7" t="n">
        <v>2030</v>
      </c>
      <c r="B2113" s="7" t="n">
        <v>5</v>
      </c>
      <c r="C2113" s="10" t="inlineStr">
        <is>
          <t>Rechts- u. Beratungs</t>
        </is>
      </c>
      <c r="D2113" s="10" t="inlineStr">
        <is>
          <t>Verwaltungskosten</t>
        </is>
      </c>
      <c r="E2113" s="7" t="n">
        <v>28013.14</v>
      </c>
      <c r="F2113" s="7" t="n">
        <v>336157.66</v>
      </c>
    </row>
    <row r="2114" ht="21" customHeight="1">
      <c r="A2114" s="7" t="n">
        <v>2028</v>
      </c>
      <c r="B2114" s="7" t="n">
        <v>5</v>
      </c>
      <c r="C2114" s="10" t="inlineStr">
        <is>
          <t>Sonst Fuhrparkkosten</t>
        </is>
      </c>
      <c r="D2114" s="10" t="inlineStr">
        <is>
          <t>Fuhrparkkosten</t>
        </is>
      </c>
      <c r="E2114" s="7" t="n">
        <v>5288.59</v>
      </c>
      <c r="F2114" s="7" t="n">
        <v>63463.1</v>
      </c>
    </row>
    <row r="2115" ht="21" customHeight="1">
      <c r="A2115" s="7" t="n">
        <v>2029</v>
      </c>
      <c r="B2115" s="7" t="n">
        <v>5</v>
      </c>
      <c r="C2115" s="10" t="inlineStr">
        <is>
          <t>Erl. so. DL Dt.</t>
        </is>
      </c>
      <c r="D2115" s="10" t="inlineStr">
        <is>
          <t>Gesamtleistung</t>
        </is>
      </c>
      <c r="E2115" s="7" t="n">
        <v>2200755.15</v>
      </c>
      <c r="F2115" s="7" t="n">
        <v>26409061.76</v>
      </c>
    </row>
    <row r="2116" ht="21" customHeight="1">
      <c r="A2116" s="7" t="n">
        <v>2031</v>
      </c>
      <c r="B2116" s="7" t="n">
        <v>5</v>
      </c>
      <c r="C2116" s="10" t="inlineStr">
        <is>
          <t>Uebr.neutr. Ert</t>
        </is>
      </c>
      <c r="D2116" s="10" t="inlineStr">
        <is>
          <t>Gesamtleistung</t>
        </is>
      </c>
      <c r="E2116" s="7" t="n">
        <v>227.28</v>
      </c>
      <c r="F2116" s="7" t="n">
        <v>2727.33</v>
      </c>
    </row>
    <row r="2117" ht="21" customHeight="1">
      <c r="A2117" s="7" t="n">
        <v>2030</v>
      </c>
      <c r="B2117" s="7" t="n">
        <v>5</v>
      </c>
      <c r="C2117" s="10" t="inlineStr">
        <is>
          <t>Erl. Waren Dt.</t>
        </is>
      </c>
      <c r="D2117" s="10" t="inlineStr">
        <is>
          <t>Gesamtleistung</t>
        </is>
      </c>
      <c r="E2117" s="7" t="n">
        <v>49038.99</v>
      </c>
      <c r="F2117" s="7" t="n">
        <v>588467.85</v>
      </c>
    </row>
    <row r="2118" ht="21" customHeight="1">
      <c r="A2118" s="7" t="n">
        <v>2028</v>
      </c>
      <c r="B2118" s="7" t="n">
        <v>5</v>
      </c>
      <c r="C2118" s="10" t="inlineStr">
        <is>
          <t>Weiterber. Frem</t>
        </is>
      </c>
      <c r="D2118" s="10" t="inlineStr">
        <is>
          <t>Vorleistungen</t>
        </is>
      </c>
      <c r="E2118" s="7" t="n">
        <v>0</v>
      </c>
      <c r="F2118" s="7" t="n">
        <v>0</v>
      </c>
    </row>
    <row r="2119" ht="21" customHeight="1">
      <c r="A2119" s="7" t="n">
        <v>2027</v>
      </c>
      <c r="B2119" s="7" t="n">
        <v>5</v>
      </c>
      <c r="C2119" s="10" t="inlineStr">
        <is>
          <t>IT-Aufwendungen</t>
        </is>
      </c>
      <c r="D2119" s="10" t="inlineStr">
        <is>
          <t>Verwaltungskosten</t>
        </is>
      </c>
      <c r="E2119" s="7" t="n">
        <v>11596.23</v>
      </c>
      <c r="F2119" s="7" t="n">
        <v>139154.76</v>
      </c>
    </row>
    <row r="2120" ht="21" customHeight="1">
      <c r="A2120" s="7" t="n">
        <v>2028</v>
      </c>
      <c r="B2120" s="7" t="n">
        <v>5</v>
      </c>
      <c r="C2120" s="10" t="inlineStr">
        <is>
          <t>Leasing LKW</t>
        </is>
      </c>
      <c r="D2120" s="10" t="inlineStr">
        <is>
          <t>Fuhrparkkosten</t>
        </is>
      </c>
      <c r="E2120" s="7" t="n">
        <v>2443.59</v>
      </c>
      <c r="F2120" s="7" t="n">
        <v>29323.11</v>
      </c>
    </row>
    <row r="2121" ht="21" customHeight="1">
      <c r="A2121" s="7" t="n">
        <v>2031</v>
      </c>
      <c r="B2121" s="7" t="n">
        <v>5</v>
      </c>
      <c r="C2121" s="10" t="inlineStr">
        <is>
          <t>Weiterber. Frem</t>
        </is>
      </c>
      <c r="D2121" s="10" t="inlineStr">
        <is>
          <t>Vorleistungen</t>
        </is>
      </c>
      <c r="E2121" s="7" t="n">
        <v>0</v>
      </c>
      <c r="F2121" s="7" t="n">
        <v>0</v>
      </c>
    </row>
    <row r="2122" ht="21" customHeight="1">
      <c r="A2122" s="7" t="n">
        <v>2028</v>
      </c>
      <c r="B2122" s="7" t="n">
        <v>5</v>
      </c>
      <c r="C2122" s="10" t="inlineStr">
        <is>
          <t>Lohn + Gehalt</t>
        </is>
      </c>
      <c r="D2122" s="10" t="inlineStr">
        <is>
          <t>Personalaufwand</t>
        </is>
      </c>
      <c r="E2122" s="7" t="n">
        <v>321097.26</v>
      </c>
      <c r="F2122" s="7" t="n">
        <v>3853167.13</v>
      </c>
    </row>
    <row r="2123" ht="21" customHeight="1">
      <c r="A2123" s="7" t="n">
        <v>2029</v>
      </c>
      <c r="B2123" s="7" t="n">
        <v>5</v>
      </c>
      <c r="C2123" s="10" t="inlineStr">
        <is>
          <t>Miete LKW,Schiffe</t>
        </is>
      </c>
      <c r="D2123" s="10" t="inlineStr">
        <is>
          <t>Fuhrparkkosten</t>
        </is>
      </c>
      <c r="E2123" s="7" t="n">
        <v>41294.11</v>
      </c>
      <c r="F2123" s="7" t="n">
        <v>495529.28</v>
      </c>
    </row>
    <row r="2124" ht="21" customHeight="1">
      <c r="A2124" s="7" t="n">
        <v>2030</v>
      </c>
      <c r="B2124" s="7" t="n">
        <v>5</v>
      </c>
      <c r="C2124" s="10" t="inlineStr">
        <is>
          <t>Erl. so. DL Dt.</t>
        </is>
      </c>
      <c r="D2124" s="10" t="inlineStr">
        <is>
          <t>Gesamtleistung</t>
        </is>
      </c>
      <c r="E2124" s="7" t="n">
        <v>2311684.01</v>
      </c>
      <c r="F2124" s="7" t="n">
        <v>27740208.09</v>
      </c>
    </row>
    <row r="2125" ht="21" customHeight="1">
      <c r="A2125" s="7" t="n">
        <v>2030</v>
      </c>
      <c r="B2125" s="7" t="n">
        <v>5</v>
      </c>
      <c r="C2125" s="10" t="inlineStr">
        <is>
          <t>Versicherungskosten</t>
        </is>
      </c>
      <c r="D2125" s="10" t="inlineStr">
        <is>
          <t>Verwaltungskosten</t>
        </is>
      </c>
      <c r="E2125" s="7" t="n">
        <v>11790.1</v>
      </c>
      <c r="F2125" s="7" t="n">
        <v>141481.23</v>
      </c>
    </row>
    <row r="2126" ht="21" customHeight="1">
      <c r="A2126" s="7" t="n">
        <v>2029</v>
      </c>
      <c r="B2126" s="7" t="n">
        <v>5</v>
      </c>
      <c r="C2126" s="10" t="inlineStr">
        <is>
          <t>Sonstige Steuer</t>
        </is>
      </c>
      <c r="D2126" s="10" t="inlineStr">
        <is>
          <t>Fuhrparkkosten</t>
        </is>
      </c>
      <c r="E2126" s="7" t="n">
        <v>1682.38</v>
      </c>
      <c r="F2126" s="7" t="n">
        <v>20188.51</v>
      </c>
    </row>
    <row r="2127" ht="21" customHeight="1">
      <c r="A2127" s="7" t="n">
        <v>2027</v>
      </c>
      <c r="B2127" s="7" t="n">
        <v>5</v>
      </c>
      <c r="C2127" s="10" t="inlineStr">
        <is>
          <t>Sonst Fuhrparkkosten</t>
        </is>
      </c>
      <c r="D2127" s="10" t="inlineStr">
        <is>
          <t>Fuhrparkkosten</t>
        </is>
      </c>
      <c r="E2127" s="7" t="n">
        <v>4989.24</v>
      </c>
      <c r="F2127" s="7" t="n">
        <v>59870.86</v>
      </c>
    </row>
    <row r="2128" ht="21" customHeight="1">
      <c r="A2128" s="7" t="n">
        <v>2028</v>
      </c>
      <c r="B2128" s="7" t="n">
        <v>5</v>
      </c>
      <c r="C2128" s="10" t="inlineStr">
        <is>
          <t>Bestandsveraend</t>
        </is>
      </c>
      <c r="D2128" s="10" t="inlineStr">
        <is>
          <t>Gesamtleistung</t>
        </is>
      </c>
      <c r="E2128" s="7" t="n">
        <v>0</v>
      </c>
      <c r="F2128" s="7" t="n">
        <v>0</v>
      </c>
    </row>
    <row r="2129" ht="21" customHeight="1">
      <c r="A2129" s="7" t="n">
        <v>2028</v>
      </c>
      <c r="B2129" s="7" t="n">
        <v>5</v>
      </c>
      <c r="C2129" s="10" t="inlineStr">
        <is>
          <t>So. betr. Aufwa</t>
        </is>
      </c>
      <c r="D2129" s="10" t="inlineStr">
        <is>
          <t>Verwaltungskosten</t>
        </is>
      </c>
      <c r="E2129" s="7" t="n">
        <v>673.0599999999999</v>
      </c>
      <c r="F2129" s="7" t="n">
        <v>8076.71</v>
      </c>
    </row>
    <row r="2130" ht="21" customHeight="1">
      <c r="A2130" s="7" t="n">
        <v>2030</v>
      </c>
      <c r="B2130" s="7" t="n">
        <v>5</v>
      </c>
      <c r="C2130" s="10" t="inlineStr">
        <is>
          <t>Miete LKW,Schiffe</t>
        </is>
      </c>
      <c r="D2130" s="10" t="inlineStr">
        <is>
          <t>Fuhrparkkosten</t>
        </is>
      </c>
      <c r="E2130" s="7" t="n">
        <v>43771.75</v>
      </c>
      <c r="F2130" s="7" t="n">
        <v>525261.04</v>
      </c>
    </row>
    <row r="2131" ht="21" customHeight="1">
      <c r="A2131" s="7" t="n">
        <v>2028</v>
      </c>
      <c r="B2131" s="7" t="n">
        <v>5</v>
      </c>
      <c r="C2131" s="10" t="inlineStr">
        <is>
          <t>Miete LKW,Schiffe</t>
        </is>
      </c>
      <c r="D2131" s="10" t="inlineStr">
        <is>
          <t>Fuhrparkkosten</t>
        </is>
      </c>
      <c r="E2131" s="7" t="n">
        <v>38956.71</v>
      </c>
      <c r="F2131" s="7" t="n">
        <v>467480.47</v>
      </c>
    </row>
    <row r="2132" ht="21" customHeight="1">
      <c r="A2132" s="7" t="n">
        <v>2028</v>
      </c>
      <c r="B2132" s="7" t="n">
        <v>5</v>
      </c>
      <c r="C2132" s="10" t="inlineStr">
        <is>
          <t>sonst Personalk</t>
        </is>
      </c>
      <c r="D2132" s="10" t="inlineStr">
        <is>
          <t>Personalaufwand</t>
        </is>
      </c>
      <c r="E2132" s="7" t="n">
        <v>12597.51</v>
      </c>
      <c r="F2132" s="7" t="n">
        <v>151170.09</v>
      </c>
    </row>
    <row r="2133" ht="21" customHeight="1">
      <c r="A2133" s="7" t="n">
        <v>2030</v>
      </c>
      <c r="B2133" s="7" t="n">
        <v>5</v>
      </c>
      <c r="C2133" s="10" t="inlineStr">
        <is>
          <t>Leasing PKW</t>
        </is>
      </c>
      <c r="D2133" s="10" t="inlineStr">
        <is>
          <t>Fuhrparkkosten</t>
        </is>
      </c>
      <c r="E2133" s="7" t="n">
        <v>26131.4</v>
      </c>
      <c r="F2133" s="7" t="n">
        <v>313576.76</v>
      </c>
    </row>
    <row r="2134" ht="21" customHeight="1">
      <c r="A2134" s="7" t="n">
        <v>2031</v>
      </c>
      <c r="B2134" s="7" t="n">
        <v>5</v>
      </c>
      <c r="C2134" s="10" t="inlineStr">
        <is>
          <t>Aufwand Umlage</t>
        </is>
      </c>
      <c r="D2134" s="10" t="inlineStr">
        <is>
          <t>Verwaltungskosten</t>
        </is>
      </c>
      <c r="E2134" s="7" t="n">
        <v>3807.87</v>
      </c>
      <c r="F2134" s="7" t="n">
        <v>45694.43</v>
      </c>
    </row>
    <row r="2135" ht="21" customHeight="1">
      <c r="A2135" s="7" t="n">
        <v>2031</v>
      </c>
      <c r="B2135" s="7" t="n">
        <v>5</v>
      </c>
      <c r="C2135" s="10" t="inlineStr">
        <is>
          <t>sonst Personalk</t>
        </is>
      </c>
      <c r="D2135" s="10" t="inlineStr">
        <is>
          <t>Personalaufwand</t>
        </is>
      </c>
      <c r="E2135" s="7" t="n">
        <v>17070.54</v>
      </c>
      <c r="F2135" s="7" t="n">
        <v>204846.51</v>
      </c>
    </row>
    <row r="2136" ht="21" customHeight="1">
      <c r="A2136" s="7" t="n">
        <v>2027</v>
      </c>
      <c r="B2136" s="7" t="n">
        <v>5</v>
      </c>
      <c r="C2136" s="10" t="inlineStr">
        <is>
          <t>sonst Personalk</t>
        </is>
      </c>
      <c r="D2136" s="10" t="inlineStr">
        <is>
          <t>Personalaufwand</t>
        </is>
      </c>
      <c r="E2136" s="7" t="n">
        <v>10949.84</v>
      </c>
      <c r="F2136" s="7" t="n">
        <v>131398.1</v>
      </c>
    </row>
    <row r="2137" ht="21" customHeight="1">
      <c r="A2137" s="7" t="n">
        <v>2031</v>
      </c>
      <c r="B2137" s="7" t="n">
        <v>5</v>
      </c>
      <c r="C2137" s="10" t="inlineStr">
        <is>
          <t>Miete PKW</t>
        </is>
      </c>
      <c r="D2137" s="10" t="inlineStr">
        <is>
          <t>Fuhrparkkosten</t>
        </is>
      </c>
      <c r="E2137" s="7" t="n">
        <v>5824.81</v>
      </c>
      <c r="F2137" s="7" t="n">
        <v>69897.67</v>
      </c>
    </row>
    <row r="2138" ht="21" customHeight="1">
      <c r="A2138" s="7" t="n">
        <v>2029</v>
      </c>
      <c r="B2138" s="7" t="n">
        <v>5</v>
      </c>
      <c r="C2138" s="10" t="inlineStr">
        <is>
          <t>Raumkosten</t>
        </is>
      </c>
      <c r="D2138" s="10" t="inlineStr">
        <is>
          <t>Raumkosten</t>
        </is>
      </c>
      <c r="E2138" s="7" t="n">
        <v>7164.46</v>
      </c>
      <c r="F2138" s="7" t="n">
        <v>85973.53</v>
      </c>
    </row>
    <row r="2139" ht="21" customHeight="1">
      <c r="A2139" s="7" t="n">
        <v>2031</v>
      </c>
      <c r="B2139" s="7" t="n">
        <v>5</v>
      </c>
      <c r="C2139" s="10" t="inlineStr">
        <is>
          <t>Aufw. f. Alters</t>
        </is>
      </c>
      <c r="D2139" s="10" t="inlineStr">
        <is>
          <t>Personalaufwand</t>
        </is>
      </c>
      <c r="E2139" s="7" t="n">
        <v>1434.03</v>
      </c>
      <c r="F2139" s="7" t="n">
        <v>17208.41</v>
      </c>
    </row>
    <row r="2140" ht="21" customHeight="1">
      <c r="A2140" s="7" t="n">
        <v>2031</v>
      </c>
      <c r="B2140" s="7" t="n">
        <v>5</v>
      </c>
      <c r="C2140" s="10" t="inlineStr">
        <is>
          <t>IT-Aufwendungen</t>
        </is>
      </c>
      <c r="D2140" s="10" t="inlineStr">
        <is>
          <t>Verwaltungskosten</t>
        </is>
      </c>
      <c r="E2140" s="7" t="n">
        <v>13051.66</v>
      </c>
      <c r="F2140" s="7" t="n">
        <v>156619.9</v>
      </c>
    </row>
    <row r="2141" ht="21" customHeight="1">
      <c r="A2141" s="7" t="n">
        <v>2028</v>
      </c>
      <c r="B2141" s="7" t="n">
        <v>5</v>
      </c>
      <c r="C2141" s="10" t="inlineStr">
        <is>
          <t>Miete Grdst/Gebäud</t>
        </is>
      </c>
      <c r="D2141" s="10" t="inlineStr">
        <is>
          <t>Raumkosten</t>
        </is>
      </c>
      <c r="E2141" s="7" t="n">
        <v>17880.93</v>
      </c>
      <c r="F2141" s="7" t="n">
        <v>214571.21</v>
      </c>
    </row>
    <row r="2142" ht="21" customHeight="1">
      <c r="A2142" s="7" t="n">
        <v>2027</v>
      </c>
      <c r="B2142" s="7" t="n">
        <v>5</v>
      </c>
      <c r="C2142" s="10" t="inlineStr">
        <is>
          <t>Erloesschmaeler</t>
        </is>
      </c>
      <c r="D2142" s="10" t="inlineStr">
        <is>
          <t>Gesamtleistung</t>
        </is>
      </c>
      <c r="E2142" s="7" t="n">
        <v>-7483.88</v>
      </c>
      <c r="F2142" s="7" t="n">
        <v>-89806.53</v>
      </c>
    </row>
    <row r="2143" ht="21" customHeight="1">
      <c r="A2143" s="7" t="n">
        <v>2029</v>
      </c>
      <c r="B2143" s="7" t="n">
        <v>5</v>
      </c>
      <c r="C2143" s="10" t="inlineStr">
        <is>
          <t>sonst Personalk</t>
        </is>
      </c>
      <c r="D2143" s="10" t="inlineStr">
        <is>
          <t>Personalaufwand</t>
        </is>
      </c>
      <c r="E2143" s="7" t="n">
        <v>13957.15</v>
      </c>
      <c r="F2143" s="7" t="n">
        <v>167485.78</v>
      </c>
    </row>
    <row r="2144" ht="21" customHeight="1">
      <c r="A2144" s="7" t="n">
        <v>2028</v>
      </c>
      <c r="B2144" s="7" t="n">
        <v>5</v>
      </c>
      <c r="C2144" s="10" t="inlineStr">
        <is>
          <t>Fremdl. Fuhrlei</t>
        </is>
      </c>
      <c r="D2144" s="10" t="inlineStr">
        <is>
          <t>Vorleistungen</t>
        </is>
      </c>
      <c r="E2144" s="7" t="n">
        <v>363.29</v>
      </c>
      <c r="F2144" s="7" t="n">
        <v>4359.52</v>
      </c>
    </row>
    <row r="2145" ht="21" customHeight="1">
      <c r="A2145" s="7" t="n">
        <v>2027</v>
      </c>
      <c r="B2145" s="7" t="n">
        <v>5</v>
      </c>
      <c r="C2145" s="10" t="inlineStr">
        <is>
          <t>Erl. so. DL Dt.</t>
        </is>
      </c>
      <c r="D2145" s="10" t="inlineStr">
        <is>
          <t>Gesamtleistung</t>
        </is>
      </c>
      <c r="E2145" s="7" t="n">
        <v>1996174.37</v>
      </c>
      <c r="F2145" s="7" t="n">
        <v>23954092.45</v>
      </c>
    </row>
    <row r="2146" ht="21" customHeight="1">
      <c r="A2146" s="7" t="n">
        <v>2027</v>
      </c>
      <c r="B2146" s="7" t="n">
        <v>5</v>
      </c>
      <c r="C2146" s="10" t="inlineStr">
        <is>
          <t>Aufw. Heizmat.</t>
        </is>
      </c>
      <c r="D2146" s="10" t="inlineStr">
        <is>
          <t>Vorleistungen</t>
        </is>
      </c>
      <c r="E2146" s="7" t="n">
        <v>275.72</v>
      </c>
      <c r="F2146" s="7" t="n">
        <v>3308.65</v>
      </c>
    </row>
    <row r="2147" ht="21" customHeight="1">
      <c r="A2147" s="7" t="n">
        <v>2028</v>
      </c>
      <c r="B2147" s="7" t="n">
        <v>5</v>
      </c>
      <c r="C2147" s="10" t="inlineStr">
        <is>
          <t>Versicherungskosten</t>
        </is>
      </c>
      <c r="D2147" s="10" t="inlineStr">
        <is>
          <t>Verwaltungskosten</t>
        </is>
      </c>
      <c r="E2147" s="7" t="n">
        <v>11113.3</v>
      </c>
      <c r="F2147" s="7" t="n">
        <v>133359.63</v>
      </c>
    </row>
    <row r="2148" ht="21" customHeight="1">
      <c r="A2148" s="7" t="n">
        <v>2031</v>
      </c>
      <c r="B2148" s="7" t="n">
        <v>5</v>
      </c>
      <c r="C2148" s="10" t="inlineStr">
        <is>
          <t>Miete LKW,Schiffe</t>
        </is>
      </c>
      <c r="D2148" s="10" t="inlineStr">
        <is>
          <t>Fuhrparkkosten</t>
        </is>
      </c>
      <c r="E2148" s="7" t="n">
        <v>46398.06</v>
      </c>
      <c r="F2148" s="7" t="n">
        <v>556776.71</v>
      </c>
    </row>
    <row r="2149" ht="21" customHeight="1">
      <c r="A2149" s="7" t="n">
        <v>2027</v>
      </c>
      <c r="B2149" s="7" t="n">
        <v>5</v>
      </c>
      <c r="C2149" s="10" t="inlineStr">
        <is>
          <t>Weiterber. Frem</t>
        </is>
      </c>
      <c r="D2149" s="10" t="inlineStr">
        <is>
          <t>Vorleistungen</t>
        </is>
      </c>
      <c r="E2149" s="7" t="n">
        <v>0</v>
      </c>
      <c r="F2149" s="7" t="n">
        <v>0</v>
      </c>
    </row>
    <row r="2150" ht="21" customHeight="1">
      <c r="A2150" s="7" t="n">
        <v>2028</v>
      </c>
      <c r="B2150" s="7" t="n">
        <v>5</v>
      </c>
      <c r="C2150" s="10" t="inlineStr">
        <is>
          <t>Erloesschmaeler</t>
        </is>
      </c>
      <c r="D2150" s="10" t="inlineStr">
        <is>
          <t>Gesamtleistung</t>
        </is>
      </c>
      <c r="E2150" s="7" t="n">
        <v>-8355.469999999999</v>
      </c>
      <c r="F2150" s="7" t="n">
        <v>-100265.61</v>
      </c>
    </row>
    <row r="2151" ht="21" customHeight="1">
      <c r="A2151" s="7" t="n">
        <v>2027</v>
      </c>
      <c r="B2151" s="7" t="n">
        <v>5</v>
      </c>
      <c r="C2151" s="10" t="inlineStr">
        <is>
          <t>Uebr.neutr. Ert</t>
        </is>
      </c>
      <c r="D2151" s="10" t="inlineStr">
        <is>
          <t>Gesamtleistung</t>
        </is>
      </c>
      <c r="E2151" s="7" t="n">
        <v>113.94</v>
      </c>
      <c r="F2151" s="7" t="n">
        <v>1367.31</v>
      </c>
    </row>
    <row r="2152" ht="21" customHeight="1">
      <c r="A2152" s="7" t="n">
        <v>2028</v>
      </c>
      <c r="B2152" s="7" t="n">
        <v>5</v>
      </c>
      <c r="C2152" s="10" t="inlineStr">
        <is>
          <t>Miete Behälter</t>
        </is>
      </c>
      <c r="D2152" s="10" t="inlineStr">
        <is>
          <t>Instandh. Betriebsausstattung</t>
        </is>
      </c>
      <c r="E2152" s="7" t="n">
        <v>24.08</v>
      </c>
      <c r="F2152" s="7" t="n">
        <v>289</v>
      </c>
    </row>
    <row r="2153" ht="21" customHeight="1">
      <c r="A2153" s="7" t="n">
        <v>2028</v>
      </c>
      <c r="B2153" s="7" t="n">
        <v>5</v>
      </c>
      <c r="C2153" s="10" t="inlineStr">
        <is>
          <t>Aufw. so. Hilfs</t>
        </is>
      </c>
      <c r="D2153" s="10" t="inlineStr">
        <is>
          <t>Vorleistungen</t>
        </is>
      </c>
      <c r="E2153" s="7" t="n">
        <v>-16546.31</v>
      </c>
      <c r="F2153" s="7" t="n">
        <v>-198555.67</v>
      </c>
    </row>
    <row r="2154" ht="21" customHeight="1">
      <c r="A2154" s="7" t="n">
        <v>2030</v>
      </c>
      <c r="B2154" s="7" t="n">
        <v>5</v>
      </c>
      <c r="C2154" s="10" t="inlineStr">
        <is>
          <t>Treibstoffe, Oe</t>
        </is>
      </c>
      <c r="D2154" s="10" t="inlineStr">
        <is>
          <t>Fuhrparkkosten</t>
        </is>
      </c>
      <c r="E2154" s="7" t="n">
        <v>34177.25</v>
      </c>
      <c r="F2154" s="7" t="n">
        <v>410126.96</v>
      </c>
    </row>
    <row r="2155" ht="21" customHeight="1">
      <c r="A2155" s="7" t="n">
        <v>2030</v>
      </c>
      <c r="B2155" s="7" t="n">
        <v>5</v>
      </c>
      <c r="C2155" s="10" t="inlineStr">
        <is>
          <t>Ueb Lohn-Gehalt</t>
        </is>
      </c>
      <c r="D2155" s="10" t="inlineStr">
        <is>
          <t>Personalaufwand</t>
        </is>
      </c>
      <c r="E2155" s="7" t="n">
        <v>41842.02</v>
      </c>
      <c r="F2155" s="7" t="n">
        <v>502104.18</v>
      </c>
    </row>
    <row r="2156" ht="21" customHeight="1">
      <c r="A2156" s="7" t="n">
        <v>2030</v>
      </c>
      <c r="B2156" s="7" t="n">
        <v>5</v>
      </c>
      <c r="C2156" s="10" t="inlineStr">
        <is>
          <t>Aufw. f. Alters</t>
        </is>
      </c>
      <c r="D2156" s="10" t="inlineStr">
        <is>
          <t>Personalaufwand</t>
        </is>
      </c>
      <c r="E2156" s="7" t="n">
        <v>1387.56</v>
      </c>
      <c r="F2156" s="7" t="n">
        <v>16650.69</v>
      </c>
    </row>
    <row r="2157" ht="21" customHeight="1">
      <c r="A2157" s="7" t="n">
        <v>2031</v>
      </c>
      <c r="B2157" s="7" t="n">
        <v>5</v>
      </c>
      <c r="C2157" s="10" t="inlineStr">
        <is>
          <t>Fremdl. Persona</t>
        </is>
      </c>
      <c r="D2157" s="10" t="inlineStr">
        <is>
          <t>Vorleistungen</t>
        </is>
      </c>
      <c r="E2157" s="7" t="n">
        <v>79.40000000000001</v>
      </c>
      <c r="F2157" s="7" t="n">
        <v>952.79</v>
      </c>
    </row>
    <row r="2158" ht="21" customHeight="1">
      <c r="A2158" s="7" t="n">
        <v>2029</v>
      </c>
      <c r="B2158" s="7" t="n">
        <v>6</v>
      </c>
      <c r="C2158" s="10" t="inlineStr">
        <is>
          <t>Sonderz. Prämie</t>
        </is>
      </c>
      <c r="D2158" s="10" t="inlineStr">
        <is>
          <t>Personalaufwand</t>
        </is>
      </c>
      <c r="E2158" s="7" t="n">
        <v>23292.21</v>
      </c>
      <c r="F2158" s="7" t="n">
        <v>279506.56</v>
      </c>
    </row>
    <row r="2159" ht="21" customHeight="1">
      <c r="A2159" s="7" t="n">
        <v>2030</v>
      </c>
      <c r="B2159" s="7" t="n">
        <v>6</v>
      </c>
      <c r="C2159" s="10" t="inlineStr">
        <is>
          <t>sonst Personalk</t>
        </is>
      </c>
      <c r="D2159" s="10" t="inlineStr">
        <is>
          <t>Personalaufwand</t>
        </is>
      </c>
      <c r="E2159" s="7" t="n">
        <v>15558.93</v>
      </c>
      <c r="F2159" s="7" t="n">
        <v>186707.19</v>
      </c>
    </row>
    <row r="2160" ht="21" customHeight="1">
      <c r="A2160" s="7" t="n">
        <v>2031</v>
      </c>
      <c r="B2160" s="7" t="n">
        <v>6</v>
      </c>
      <c r="C2160" s="10" t="inlineStr">
        <is>
          <t>Ankauf Rohstoff</t>
        </is>
      </c>
      <c r="D2160" s="10" t="inlineStr">
        <is>
          <t>Vorleistungen</t>
        </is>
      </c>
      <c r="E2160" s="7" t="n">
        <v>1489.65</v>
      </c>
      <c r="F2160" s="7" t="n">
        <v>17875.76</v>
      </c>
    </row>
    <row r="2161" ht="21" customHeight="1">
      <c r="A2161" s="7" t="n">
        <v>2029</v>
      </c>
      <c r="B2161" s="7" t="n">
        <v>6</v>
      </c>
      <c r="C2161" s="10" t="inlineStr">
        <is>
          <t>Weiterber. Frem</t>
        </is>
      </c>
      <c r="D2161" s="10" t="inlineStr">
        <is>
          <t>Vorleistungen</t>
        </is>
      </c>
      <c r="E2161" s="7" t="n">
        <v>0</v>
      </c>
      <c r="F2161" s="7" t="n">
        <v>0</v>
      </c>
    </row>
    <row r="2162" ht="21" customHeight="1">
      <c r="A2162" s="7" t="n">
        <v>2031</v>
      </c>
      <c r="B2162" s="7" t="n">
        <v>6</v>
      </c>
      <c r="C2162" s="10" t="inlineStr">
        <is>
          <t>Sonstige Steuer</t>
        </is>
      </c>
      <c r="D2162" s="10" t="inlineStr">
        <is>
          <t>Fuhrparkkosten</t>
        </is>
      </c>
      <c r="E2162" s="7" t="n">
        <v>1890.32</v>
      </c>
      <c r="F2162" s="7" t="n">
        <v>22683.81</v>
      </c>
    </row>
    <row r="2163" ht="21" customHeight="1">
      <c r="A2163" s="7" t="n">
        <v>2030</v>
      </c>
      <c r="B2163" s="7" t="n">
        <v>6</v>
      </c>
      <c r="C2163" s="10" t="inlineStr">
        <is>
          <t>Bestandsveraend</t>
        </is>
      </c>
      <c r="D2163" s="10" t="inlineStr">
        <is>
          <t>Gesamtleistung</t>
        </is>
      </c>
      <c r="E2163" s="7" t="n">
        <v>0</v>
      </c>
      <c r="F2163" s="7" t="n">
        <v>0</v>
      </c>
    </row>
    <row r="2164" ht="21" customHeight="1">
      <c r="A2164" s="7" t="n">
        <v>2031</v>
      </c>
      <c r="B2164" s="7" t="n">
        <v>6</v>
      </c>
      <c r="C2164" s="10" t="inlineStr">
        <is>
          <t>Erl. so. DL Dt.</t>
        </is>
      </c>
      <c r="D2164" s="10" t="inlineStr">
        <is>
          <t>Gesamtleistung</t>
        </is>
      </c>
      <c r="E2164" s="7" t="n">
        <v>2428139.11</v>
      </c>
      <c r="F2164" s="7" t="n">
        <v>29137669.32</v>
      </c>
    </row>
    <row r="2165" ht="21" customHeight="1">
      <c r="A2165" s="7" t="n">
        <v>2030</v>
      </c>
      <c r="B2165" s="7" t="n">
        <v>6</v>
      </c>
      <c r="C2165" s="10" t="inlineStr">
        <is>
          <t>Sonstige Steuer</t>
        </is>
      </c>
      <c r="D2165" s="10" t="inlineStr">
        <is>
          <t>Fuhrparkkosten</t>
        </is>
      </c>
      <c r="E2165" s="7" t="n">
        <v>1783.32</v>
      </c>
      <c r="F2165" s="7" t="n">
        <v>21399.82</v>
      </c>
    </row>
    <row r="2166" ht="21" customHeight="1">
      <c r="A2166" s="7" t="n">
        <v>2030</v>
      </c>
      <c r="B2166" s="7" t="n">
        <v>6</v>
      </c>
      <c r="C2166" s="10" t="inlineStr">
        <is>
          <t>Sonderz. Prämie</t>
        </is>
      </c>
      <c r="D2166" s="10" t="inlineStr">
        <is>
          <t>Personalaufwand</t>
        </is>
      </c>
      <c r="E2166" s="7" t="n">
        <v>25004.1</v>
      </c>
      <c r="F2166" s="7" t="n">
        <v>300049.14</v>
      </c>
    </row>
    <row r="2167" ht="21" customHeight="1">
      <c r="A2167" s="7" t="n">
        <v>2029</v>
      </c>
      <c r="B2167" s="7" t="n">
        <v>6</v>
      </c>
      <c r="C2167" s="10" t="inlineStr">
        <is>
          <t>Soziale Abgaben</t>
        </is>
      </c>
      <c r="D2167" s="10" t="inlineStr">
        <is>
          <t>Personalaufwand</t>
        </is>
      </c>
      <c r="E2167" s="7" t="n">
        <v>94488.11</v>
      </c>
      <c r="F2167" s="7" t="n">
        <v>1133857.35</v>
      </c>
    </row>
    <row r="2168" ht="21" customHeight="1">
      <c r="A2168" s="7" t="n">
        <v>2031</v>
      </c>
      <c r="B2168" s="7" t="n">
        <v>6</v>
      </c>
      <c r="C2168" s="10" t="inlineStr">
        <is>
          <t>So. betr. Aufwa</t>
        </is>
      </c>
      <c r="D2168" s="10" t="inlineStr">
        <is>
          <t>Verwaltungskosten</t>
        </is>
      </c>
      <c r="E2168" s="7" t="n">
        <v>735.47</v>
      </c>
      <c r="F2168" s="7" t="n">
        <v>8825.639999999999</v>
      </c>
    </row>
    <row r="2169" ht="21" customHeight="1">
      <c r="A2169" s="7" t="n">
        <v>2027</v>
      </c>
      <c r="B2169" s="7" t="n">
        <v>6</v>
      </c>
      <c r="C2169" s="10" t="inlineStr">
        <is>
          <t>Lohn + Gehalt</t>
        </is>
      </c>
      <c r="D2169" s="10" t="inlineStr">
        <is>
          <t>Personalaufwand</t>
        </is>
      </c>
      <c r="E2169" s="7" t="n">
        <v>287946.36</v>
      </c>
      <c r="F2169" s="7" t="n">
        <v>3455356.33</v>
      </c>
    </row>
    <row r="2170" ht="21" customHeight="1">
      <c r="A2170" s="7" t="n">
        <v>2027</v>
      </c>
      <c r="B2170" s="7" t="n">
        <v>6</v>
      </c>
      <c r="C2170" s="10" t="inlineStr">
        <is>
          <t>So. betr. Aufwa</t>
        </is>
      </c>
      <c r="D2170" s="10" t="inlineStr">
        <is>
          <t>Verwaltungskosten</t>
        </is>
      </c>
      <c r="E2170" s="7" t="n">
        <v>653.45</v>
      </c>
      <c r="F2170" s="7" t="n">
        <v>7841.45</v>
      </c>
    </row>
    <row r="2171" ht="21" customHeight="1">
      <c r="A2171" s="7" t="n">
        <v>2028</v>
      </c>
      <c r="B2171" s="7" t="n">
        <v>6</v>
      </c>
      <c r="C2171" s="10" t="inlineStr">
        <is>
          <t>Ueb Lohn-Gehalt</t>
        </is>
      </c>
      <c r="D2171" s="10" t="inlineStr">
        <is>
          <t>Personalaufwand</t>
        </is>
      </c>
      <c r="E2171" s="7" t="n">
        <v>34332.83</v>
      </c>
      <c r="F2171" s="7" t="n">
        <v>411993.96</v>
      </c>
    </row>
    <row r="2172" ht="21" customHeight="1">
      <c r="A2172" s="7" t="n">
        <v>2027</v>
      </c>
      <c r="B2172" s="7" t="n">
        <v>6</v>
      </c>
      <c r="C2172" s="10" t="inlineStr">
        <is>
          <t>Verwaltungskost</t>
        </is>
      </c>
      <c r="D2172" s="10" t="inlineStr">
        <is>
          <t>Verwaltungskosten</t>
        </is>
      </c>
      <c r="E2172" s="7" t="n">
        <v>6691.47</v>
      </c>
      <c r="F2172" s="7" t="n">
        <v>80297.62</v>
      </c>
    </row>
    <row r="2173" ht="21" customHeight="1">
      <c r="A2173" s="7" t="n">
        <v>2030</v>
      </c>
      <c r="B2173" s="7" t="n">
        <v>6</v>
      </c>
      <c r="C2173" s="10" t="inlineStr">
        <is>
          <t>Aufw. Heizmat.</t>
        </is>
      </c>
      <c r="D2173" s="10" t="inlineStr">
        <is>
          <t>Vorleistungen</t>
        </is>
      </c>
      <c r="E2173" s="7" t="n">
        <v>230.4</v>
      </c>
      <c r="F2173" s="7" t="n">
        <v>2764.82</v>
      </c>
    </row>
    <row r="2174" ht="21" customHeight="1">
      <c r="A2174" s="7" t="n">
        <v>2027</v>
      </c>
      <c r="B2174" s="7" t="n">
        <v>6</v>
      </c>
      <c r="C2174" s="10" t="inlineStr">
        <is>
          <t>Versicherungskosten</t>
        </is>
      </c>
      <c r="D2174" s="10" t="inlineStr">
        <is>
          <t>Verwaltungskosten</t>
        </is>
      </c>
      <c r="E2174" s="7" t="n">
        <v>10789.61</v>
      </c>
      <c r="F2174" s="7" t="n">
        <v>129475.37</v>
      </c>
    </row>
    <row r="2175" ht="21" customHeight="1">
      <c r="A2175" s="7" t="n">
        <v>2031</v>
      </c>
      <c r="B2175" s="7" t="n">
        <v>6</v>
      </c>
      <c r="C2175" s="10" t="inlineStr">
        <is>
          <t>Instandh. BGA</t>
        </is>
      </c>
      <c r="D2175" s="10" t="inlineStr">
        <is>
          <t>Instandh. Betriebsausstattung</t>
        </is>
      </c>
      <c r="E2175" s="7" t="n">
        <v>5124.63</v>
      </c>
      <c r="F2175" s="7" t="n">
        <v>61495.58</v>
      </c>
    </row>
    <row r="2176" ht="21" customHeight="1">
      <c r="A2176" s="7" t="n">
        <v>2029</v>
      </c>
      <c r="B2176" s="7" t="n">
        <v>6</v>
      </c>
      <c r="C2176" s="10" t="inlineStr">
        <is>
          <t>Treibstoffe, Oe</t>
        </is>
      </c>
      <c r="D2176" s="10" t="inlineStr">
        <is>
          <t>Fuhrparkkosten</t>
        </is>
      </c>
      <c r="E2176" s="7" t="n">
        <v>32242.68</v>
      </c>
      <c r="F2176" s="7" t="n">
        <v>386912.19</v>
      </c>
    </row>
    <row r="2177" ht="21" customHeight="1">
      <c r="A2177" s="7" t="n">
        <v>2027</v>
      </c>
      <c r="B2177" s="7" t="n">
        <v>6</v>
      </c>
      <c r="C2177" s="10" t="inlineStr">
        <is>
          <t>Instandh. BGA</t>
        </is>
      </c>
      <c r="D2177" s="10" t="inlineStr">
        <is>
          <t>Instandh. Betriebsausstattung</t>
        </is>
      </c>
      <c r="E2177" s="7" t="n">
        <v>4216.05</v>
      </c>
      <c r="F2177" s="7" t="n">
        <v>50592.58</v>
      </c>
    </row>
    <row r="2178" ht="21" customHeight="1">
      <c r="A2178" s="7" t="n">
        <v>2029</v>
      </c>
      <c r="B2178" s="7" t="n">
        <v>6</v>
      </c>
      <c r="C2178" s="10" t="inlineStr">
        <is>
          <t>Ueb Lohn-Gehalt</t>
        </is>
      </c>
      <c r="D2178" s="10" t="inlineStr">
        <is>
          <t>Personalaufwand</t>
        </is>
      </c>
      <c r="E2178" s="7" t="n">
        <v>37989.9</v>
      </c>
      <c r="F2178" s="7" t="n">
        <v>455878.84</v>
      </c>
    </row>
    <row r="2179" ht="21" customHeight="1">
      <c r="A2179" s="7" t="n">
        <v>2031</v>
      </c>
      <c r="B2179" s="7" t="n">
        <v>6</v>
      </c>
      <c r="C2179" s="10" t="inlineStr">
        <is>
          <t>Erl. Waren Dt.</t>
        </is>
      </c>
      <c r="D2179" s="10" t="inlineStr">
        <is>
          <t>Gesamtleistung</t>
        </is>
      </c>
      <c r="E2179" s="7" t="n">
        <v>50865.59</v>
      </c>
      <c r="F2179" s="7" t="n">
        <v>610387.05</v>
      </c>
    </row>
    <row r="2180" ht="21" customHeight="1">
      <c r="A2180" s="7" t="n">
        <v>2027</v>
      </c>
      <c r="B2180" s="7" t="n">
        <v>6</v>
      </c>
      <c r="C2180" s="10" t="inlineStr">
        <is>
          <t>Fremdl. Persona</t>
        </is>
      </c>
      <c r="D2180" s="10" t="inlineStr">
        <is>
          <t>Vorleistungen</t>
        </is>
      </c>
      <c r="E2180" s="7" t="n">
        <v>61.31</v>
      </c>
      <c r="F2180" s="7" t="n">
        <v>735.66</v>
      </c>
    </row>
    <row r="2181" ht="21" customHeight="1">
      <c r="A2181" s="7" t="n">
        <v>2027</v>
      </c>
      <c r="B2181" s="7" t="n">
        <v>6</v>
      </c>
      <c r="C2181" s="10" t="inlineStr">
        <is>
          <t>Aufwand Umlage</t>
        </is>
      </c>
      <c r="D2181" s="10" t="inlineStr">
        <is>
          <t>Verwaltungskosten</t>
        </is>
      </c>
      <c r="E2181" s="7" t="n">
        <v>3383.24</v>
      </c>
      <c r="F2181" s="7" t="n">
        <v>40598.91</v>
      </c>
    </row>
    <row r="2182" ht="21" customHeight="1">
      <c r="A2182" s="7" t="n">
        <v>2031</v>
      </c>
      <c r="B2182" s="7" t="n">
        <v>6</v>
      </c>
      <c r="C2182" s="10" t="inlineStr">
        <is>
          <t>Ueb Lohn-Gehalt</t>
        </is>
      </c>
      <c r="D2182" s="10" t="inlineStr">
        <is>
          <t>Personalaufwand</t>
        </is>
      </c>
      <c r="E2182" s="7" t="n">
        <v>45675.82</v>
      </c>
      <c r="F2182" s="7" t="n">
        <v>548109.79</v>
      </c>
    </row>
    <row r="2183" ht="21" customHeight="1">
      <c r="A2183" s="7" t="n">
        <v>2027</v>
      </c>
      <c r="B2183" s="7" t="n">
        <v>6</v>
      </c>
      <c r="C2183" s="10" t="inlineStr">
        <is>
          <t>Rechts- u. Beratungs</t>
        </is>
      </c>
      <c r="D2183" s="10" t="inlineStr">
        <is>
          <t>Verwaltungskosten</t>
        </is>
      </c>
      <c r="E2183" s="7" t="n">
        <v>25635.99</v>
      </c>
      <c r="F2183" s="7" t="n">
        <v>307631.89</v>
      </c>
    </row>
    <row r="2184" ht="21" customHeight="1">
      <c r="A2184" s="7" t="n">
        <v>2028</v>
      </c>
      <c r="B2184" s="7" t="n">
        <v>6</v>
      </c>
      <c r="C2184" s="10" t="inlineStr">
        <is>
          <t>Verwaltungskost</t>
        </is>
      </c>
      <c r="D2184" s="10" t="inlineStr">
        <is>
          <t>Verwaltungskosten</t>
        </is>
      </c>
      <c r="E2184" s="7" t="n">
        <v>6892.21</v>
      </c>
      <c r="F2184" s="7" t="n">
        <v>82706.56</v>
      </c>
    </row>
    <row r="2185" ht="21" customHeight="1">
      <c r="A2185" s="7" t="n">
        <v>2028</v>
      </c>
      <c r="B2185" s="7" t="n">
        <v>6</v>
      </c>
      <c r="C2185" s="10" t="inlineStr">
        <is>
          <t>Ueb. bezog.Leis</t>
        </is>
      </c>
      <c r="D2185" s="10" t="inlineStr">
        <is>
          <t>Vorleistungen</t>
        </is>
      </c>
      <c r="E2185" s="7" t="n">
        <v>1342498.67</v>
      </c>
      <c r="F2185" s="7" t="n">
        <v>16109983.99</v>
      </c>
    </row>
    <row r="2186" ht="21" customHeight="1">
      <c r="A2186" s="7" t="n">
        <v>2028</v>
      </c>
      <c r="B2186" s="7" t="n">
        <v>6</v>
      </c>
      <c r="C2186" s="10" t="inlineStr">
        <is>
          <t>Ankauf Rohstoff</t>
        </is>
      </c>
      <c r="D2186" s="10" t="inlineStr">
        <is>
          <t>Vorleistungen</t>
        </is>
      </c>
      <c r="E2186" s="7" t="n">
        <v>1457.38</v>
      </c>
      <c r="F2186" s="7" t="n">
        <v>17488.61</v>
      </c>
    </row>
    <row r="2187" ht="21" customHeight="1">
      <c r="A2187" s="7" t="n">
        <v>2029</v>
      </c>
      <c r="B2187" s="7" t="n">
        <v>6</v>
      </c>
      <c r="C2187" s="10" t="inlineStr">
        <is>
          <t>Erloesschmaeler</t>
        </is>
      </c>
      <c r="D2187" s="10" t="inlineStr">
        <is>
          <t>Gesamtleistung</t>
        </is>
      </c>
      <c r="E2187" s="7" t="n">
        <v>-9048.01</v>
      </c>
      <c r="F2187" s="7" t="n">
        <v>-108576.08</v>
      </c>
    </row>
    <row r="2188" ht="21" customHeight="1">
      <c r="A2188" s="7" t="n">
        <v>2029</v>
      </c>
      <c r="B2188" s="7" t="n">
        <v>6</v>
      </c>
      <c r="C2188" s="10" t="inlineStr">
        <is>
          <t>Leasing PKW</t>
        </is>
      </c>
      <c r="D2188" s="10" t="inlineStr">
        <is>
          <t>Fuhrparkkosten</t>
        </is>
      </c>
      <c r="E2188" s="7" t="n">
        <v>24652.26</v>
      </c>
      <c r="F2188" s="7" t="n">
        <v>295827.14</v>
      </c>
    </row>
    <row r="2189" ht="21" customHeight="1">
      <c r="A2189" s="7" t="n">
        <v>2029</v>
      </c>
      <c r="B2189" s="7" t="n">
        <v>6</v>
      </c>
      <c r="C2189" s="10" t="inlineStr">
        <is>
          <t>Fremdl. Persona</t>
        </is>
      </c>
      <c r="D2189" s="10" t="inlineStr">
        <is>
          <t>Vorleistungen</t>
        </is>
      </c>
      <c r="E2189" s="7" t="n">
        <v>73.3</v>
      </c>
      <c r="F2189" s="7" t="n">
        <v>879.54</v>
      </c>
    </row>
    <row r="2190" ht="21" customHeight="1">
      <c r="A2190" s="7" t="n">
        <v>2028</v>
      </c>
      <c r="B2190" s="7" t="n">
        <v>6</v>
      </c>
      <c r="C2190" s="10" t="inlineStr">
        <is>
          <t>Aufwand Umlage</t>
        </is>
      </c>
      <c r="D2190" s="10" t="inlineStr">
        <is>
          <t>Verwaltungskosten</t>
        </is>
      </c>
      <c r="E2190" s="7" t="n">
        <v>3484.74</v>
      </c>
      <c r="F2190" s="7" t="n">
        <v>41816.88</v>
      </c>
    </row>
    <row r="2191" ht="21" customHeight="1">
      <c r="A2191" s="7" t="n">
        <v>2027</v>
      </c>
      <c r="B2191" s="7" t="n">
        <v>6</v>
      </c>
      <c r="C2191" s="10" t="inlineStr">
        <is>
          <t>Ankauf Rohstoff</t>
        </is>
      </c>
      <c r="D2191" s="10" t="inlineStr">
        <is>
          <t>Vorleistungen</t>
        </is>
      </c>
      <c r="E2191" s="7" t="n">
        <v>1408.24</v>
      </c>
      <c r="F2191" s="7" t="n">
        <v>16898.9</v>
      </c>
    </row>
    <row r="2192" ht="21" customHeight="1">
      <c r="A2192" s="7" t="n">
        <v>2030</v>
      </c>
      <c r="B2192" s="7" t="n">
        <v>6</v>
      </c>
      <c r="C2192" s="10" t="inlineStr">
        <is>
          <t>Erloesschmaeler</t>
        </is>
      </c>
      <c r="D2192" s="10" t="inlineStr">
        <is>
          <t>Gesamtleistung</t>
        </is>
      </c>
      <c r="E2192" s="7" t="n">
        <v>-9690.75</v>
      </c>
      <c r="F2192" s="7" t="n">
        <v>-116289.05</v>
      </c>
    </row>
    <row r="2193" ht="21" customHeight="1">
      <c r="A2193" s="7" t="n">
        <v>2029</v>
      </c>
      <c r="B2193" s="7" t="n">
        <v>6</v>
      </c>
      <c r="C2193" s="10" t="inlineStr">
        <is>
          <t>Sonst Fuhrparkkosten</t>
        </is>
      </c>
      <c r="D2193" s="10" t="inlineStr">
        <is>
          <t>Fuhrparkkosten</t>
        </is>
      </c>
      <c r="E2193" s="7" t="n">
        <v>5605.91</v>
      </c>
      <c r="F2193" s="7" t="n">
        <v>67270.89</v>
      </c>
    </row>
    <row r="2194" ht="21" customHeight="1">
      <c r="A2194" s="7" t="n">
        <v>2027</v>
      </c>
      <c r="B2194" s="7" t="n">
        <v>6</v>
      </c>
      <c r="C2194" s="10" t="inlineStr">
        <is>
          <t>Soziale Abgaben</t>
        </is>
      </c>
      <c r="D2194" s="10" t="inlineStr">
        <is>
          <t>Personalaufwand</t>
        </is>
      </c>
      <c r="E2194" s="7" t="n">
        <v>75903.69</v>
      </c>
      <c r="F2194" s="7" t="n">
        <v>910844.28</v>
      </c>
    </row>
    <row r="2195" ht="21" customHeight="1">
      <c r="A2195" s="7" t="n">
        <v>2031</v>
      </c>
      <c r="B2195" s="7" t="n">
        <v>6</v>
      </c>
      <c r="C2195" s="10" t="inlineStr">
        <is>
          <t>Erloesschmaeler</t>
        </is>
      </c>
      <c r="D2195" s="10" t="inlineStr">
        <is>
          <t>Gesamtleistung</t>
        </is>
      </c>
      <c r="E2195" s="7" t="n">
        <v>-10347.15</v>
      </c>
      <c r="F2195" s="7" t="n">
        <v>-124165.81</v>
      </c>
    </row>
    <row r="2196" ht="21" customHeight="1">
      <c r="A2196" s="7" t="n">
        <v>2029</v>
      </c>
      <c r="B2196" s="7" t="n">
        <v>6</v>
      </c>
      <c r="C2196" s="10" t="inlineStr">
        <is>
          <t>Ertr. weiterber</t>
        </is>
      </c>
      <c r="D2196" s="10" t="inlineStr">
        <is>
          <t>Gesamtleistung</t>
        </is>
      </c>
      <c r="E2196" s="7" t="n">
        <v>1036.39</v>
      </c>
      <c r="F2196" s="7" t="n">
        <v>12436.69</v>
      </c>
    </row>
    <row r="2197" ht="21" customHeight="1">
      <c r="A2197" s="7" t="n">
        <v>2027</v>
      </c>
      <c r="B2197" s="7" t="n">
        <v>6</v>
      </c>
      <c r="C2197" s="10" t="inlineStr">
        <is>
          <t>Sonderz. Prämie</t>
        </is>
      </c>
      <c r="D2197" s="10" t="inlineStr">
        <is>
          <t>Personalaufwand</t>
        </is>
      </c>
      <c r="E2197" s="7" t="n">
        <v>19636.08</v>
      </c>
      <c r="F2197" s="7" t="n">
        <v>235633</v>
      </c>
    </row>
    <row r="2198" ht="21" customHeight="1">
      <c r="A2198" s="7" t="n">
        <v>2027</v>
      </c>
      <c r="B2198" s="7" t="n">
        <v>6</v>
      </c>
      <c r="C2198" s="10" t="inlineStr">
        <is>
          <t>Miete Behälter</t>
        </is>
      </c>
      <c r="D2198" s="10" t="inlineStr">
        <is>
          <t>Instandh. Betriebsausstattung</t>
        </is>
      </c>
      <c r="E2198" s="7" t="n">
        <v>22.94</v>
      </c>
      <c r="F2198" s="7" t="n">
        <v>275.23</v>
      </c>
    </row>
    <row r="2199" ht="21" customHeight="1">
      <c r="A2199" s="7" t="n">
        <v>2031</v>
      </c>
      <c r="B2199" s="7" t="n">
        <v>6</v>
      </c>
      <c r="C2199" s="10" t="inlineStr">
        <is>
          <t>Versicherungskosten</t>
        </is>
      </c>
      <c r="D2199" s="10" t="inlineStr">
        <is>
          <t>Verwaltungskosten</t>
        </is>
      </c>
      <c r="E2199" s="7" t="n">
        <v>12143.81</v>
      </c>
      <c r="F2199" s="7" t="n">
        <v>145725.66</v>
      </c>
    </row>
    <row r="2200" ht="21" customHeight="1">
      <c r="A2200" s="7" t="n">
        <v>2029</v>
      </c>
      <c r="B2200" s="7" t="n">
        <v>6</v>
      </c>
      <c r="C2200" s="10" t="inlineStr">
        <is>
          <t>Rechts- u. Beratungs</t>
        </is>
      </c>
      <c r="D2200" s="10" t="inlineStr">
        <is>
          <t>Verwaltungskosten</t>
        </is>
      </c>
      <c r="E2200" s="7" t="n">
        <v>27197.22</v>
      </c>
      <c r="F2200" s="7" t="n">
        <v>326366.65</v>
      </c>
    </row>
    <row r="2201" ht="21" customHeight="1">
      <c r="A2201" s="7" t="n">
        <v>2028</v>
      </c>
      <c r="B2201" s="7" t="n">
        <v>6</v>
      </c>
      <c r="C2201" s="10" t="inlineStr">
        <is>
          <t>Instandh.Fuhrp</t>
        </is>
      </c>
      <c r="D2201" s="10" t="inlineStr">
        <is>
          <t>Fuhrparkkosten</t>
        </is>
      </c>
      <c r="E2201" s="7" t="n">
        <v>32180.39</v>
      </c>
      <c r="F2201" s="7" t="n">
        <v>386164.66</v>
      </c>
    </row>
    <row r="2202" ht="21" customHeight="1">
      <c r="A2202" s="7" t="n">
        <v>2030</v>
      </c>
      <c r="B2202" s="7" t="n">
        <v>6</v>
      </c>
      <c r="C2202" s="10" t="inlineStr">
        <is>
          <t>Miete Grdst/Gebäud</t>
        </is>
      </c>
      <c r="D2202" s="10" t="inlineStr">
        <is>
          <t>Raumkosten</t>
        </is>
      </c>
      <c r="E2202" s="7" t="n">
        <v>18603.32</v>
      </c>
      <c r="F2202" s="7" t="n">
        <v>223239.88</v>
      </c>
    </row>
    <row r="2203" ht="21" customHeight="1">
      <c r="A2203" s="7" t="n">
        <v>2027</v>
      </c>
      <c r="B2203" s="7" t="n">
        <v>6</v>
      </c>
      <c r="C2203" s="10" t="inlineStr">
        <is>
          <t>Ueb. bezog.Leis</t>
        </is>
      </c>
      <c r="D2203" s="10" t="inlineStr">
        <is>
          <t>Vorleistungen</t>
        </is>
      </c>
      <c r="E2203" s="7" t="n">
        <v>1319862.34</v>
      </c>
      <c r="F2203" s="7" t="n">
        <v>15838348.13</v>
      </c>
    </row>
    <row r="2204" ht="21" customHeight="1">
      <c r="A2204" s="7" t="n">
        <v>2029</v>
      </c>
      <c r="B2204" s="7" t="n">
        <v>6</v>
      </c>
      <c r="C2204" s="10" t="inlineStr">
        <is>
          <t>Erl. Waren Dt.</t>
        </is>
      </c>
      <c r="D2204" s="10" t="inlineStr">
        <is>
          <t>Gesamtleistung</t>
        </is>
      </c>
      <c r="E2204" s="7" t="n">
        <v>47334.08</v>
      </c>
      <c r="F2204" s="7" t="n">
        <v>568008.92</v>
      </c>
    </row>
    <row r="2205" ht="21" customHeight="1">
      <c r="A2205" s="7" t="n">
        <v>2031</v>
      </c>
      <c r="B2205" s="7" t="n">
        <v>6</v>
      </c>
      <c r="C2205" s="10" t="inlineStr">
        <is>
          <t>Treibstoffe, Oe</t>
        </is>
      </c>
      <c r="D2205" s="10" t="inlineStr">
        <is>
          <t>Fuhrparkkosten</t>
        </is>
      </c>
      <c r="E2205" s="7" t="n">
        <v>36227.88</v>
      </c>
      <c r="F2205" s="7" t="n">
        <v>434734.54</v>
      </c>
    </row>
    <row r="2206" ht="21" customHeight="1">
      <c r="A2206" s="7" t="n">
        <v>2029</v>
      </c>
      <c r="B2206" s="7" t="n">
        <v>6</v>
      </c>
      <c r="C2206" s="10" t="inlineStr">
        <is>
          <t>Miete Behälter</t>
        </is>
      </c>
      <c r="D2206" s="10" t="inlineStr">
        <is>
          <t>Instandh. Betriebsausstattung</t>
        </is>
      </c>
      <c r="E2206" s="7" t="n">
        <v>25.29</v>
      </c>
      <c r="F2206" s="7" t="n">
        <v>303.45</v>
      </c>
    </row>
    <row r="2207" ht="21" customHeight="1">
      <c r="A2207" s="7" t="n">
        <v>2030</v>
      </c>
      <c r="B2207" s="7" t="n">
        <v>6</v>
      </c>
      <c r="C2207" s="10" t="inlineStr">
        <is>
          <t>Instandh. BGA</t>
        </is>
      </c>
      <c r="D2207" s="10" t="inlineStr">
        <is>
          <t>Instandh. Betriebsausstattung</t>
        </is>
      </c>
      <c r="E2207" s="7" t="n">
        <v>4880.6</v>
      </c>
      <c r="F2207" s="7" t="n">
        <v>58567.23</v>
      </c>
    </row>
    <row r="2208" ht="21" customHeight="1">
      <c r="A2208" s="7" t="n">
        <v>2030</v>
      </c>
      <c r="B2208" s="7" t="n">
        <v>6</v>
      </c>
      <c r="C2208" s="10" t="inlineStr">
        <is>
          <t>Lohn + Gehalt</t>
        </is>
      </c>
      <c r="D2208" s="10" t="inlineStr">
        <is>
          <t>Personalaufwand</t>
        </is>
      </c>
      <c r="E2208" s="7" t="n">
        <v>392030.8</v>
      </c>
      <c r="F2208" s="7" t="n">
        <v>4704369.59</v>
      </c>
    </row>
    <row r="2209" ht="21" customHeight="1">
      <c r="A2209" s="7" t="n">
        <v>2027</v>
      </c>
      <c r="B2209" s="7" t="n">
        <v>6</v>
      </c>
      <c r="C2209" s="10" t="inlineStr">
        <is>
          <t>Bestandsveraend</t>
        </is>
      </c>
      <c r="D2209" s="10" t="inlineStr">
        <is>
          <t>Gesamtleistung</t>
        </is>
      </c>
      <c r="E2209" s="7" t="n">
        <v>0</v>
      </c>
      <c r="F2209" s="7" t="n">
        <v>0</v>
      </c>
    </row>
    <row r="2210" ht="21" customHeight="1">
      <c r="A2210" s="7" t="n">
        <v>2027</v>
      </c>
      <c r="B2210" s="7" t="n">
        <v>6</v>
      </c>
      <c r="C2210" s="10" t="inlineStr">
        <is>
          <t>Aufw. so. Hilfs</t>
        </is>
      </c>
      <c r="D2210" s="10" t="inlineStr">
        <is>
          <t>Vorleistungen</t>
        </is>
      </c>
      <c r="E2210" s="7" t="n">
        <v>-16362.04</v>
      </c>
      <c r="F2210" s="7" t="n">
        <v>-196344.47</v>
      </c>
    </row>
    <row r="2211" ht="21" customHeight="1">
      <c r="A2211" s="7" t="n">
        <v>2027</v>
      </c>
      <c r="B2211" s="7" t="n">
        <v>6</v>
      </c>
      <c r="C2211" s="10" t="inlineStr">
        <is>
          <t>Aufw. f. Alters</t>
        </is>
      </c>
      <c r="D2211" s="10" t="inlineStr">
        <is>
          <t>Personalaufwand</t>
        </is>
      </c>
      <c r="E2211" s="7" t="n">
        <v>1234.77</v>
      </c>
      <c r="F2211" s="7" t="n">
        <v>14817.29</v>
      </c>
    </row>
    <row r="2212" ht="21" customHeight="1">
      <c r="A2212" s="7" t="n">
        <v>2027</v>
      </c>
      <c r="B2212" s="7" t="n">
        <v>6</v>
      </c>
      <c r="C2212" s="10" t="inlineStr">
        <is>
          <t>Vertriebskosten</t>
        </is>
      </c>
      <c r="D2212" s="10" t="inlineStr">
        <is>
          <t>Vertriebskosten</t>
        </is>
      </c>
      <c r="E2212" s="7" t="n">
        <v>10833.33</v>
      </c>
      <c r="F2212" s="7" t="n">
        <v>130000</v>
      </c>
    </row>
    <row r="2213" ht="21" customHeight="1">
      <c r="A2213" s="7" t="n">
        <v>2027</v>
      </c>
      <c r="B2213" s="7" t="n">
        <v>6</v>
      </c>
      <c r="C2213" s="10" t="inlineStr">
        <is>
          <t>Ertrag KFZ-Nutz</t>
        </is>
      </c>
      <c r="D2213" s="10" t="inlineStr">
        <is>
          <t>Gesamtleistung</t>
        </is>
      </c>
      <c r="E2213" s="7" t="n">
        <v>8029.69</v>
      </c>
      <c r="F2213" s="7" t="n">
        <v>96356.3</v>
      </c>
    </row>
    <row r="2214" ht="21" customHeight="1">
      <c r="A2214" s="7" t="n">
        <v>2031</v>
      </c>
      <c r="B2214" s="7" t="n">
        <v>6</v>
      </c>
      <c r="C2214" s="10" t="inlineStr">
        <is>
          <t>Lohn + Gehalt</t>
        </is>
      </c>
      <c r="D2214" s="10" t="inlineStr">
        <is>
          <t>Personalaufwand</t>
        </is>
      </c>
      <c r="E2214" s="7" t="n">
        <v>428257.62</v>
      </c>
      <c r="F2214" s="7" t="n">
        <v>5139091.39</v>
      </c>
    </row>
    <row r="2215" ht="21" customHeight="1">
      <c r="A2215" s="7" t="n">
        <v>2031</v>
      </c>
      <c r="B2215" s="7" t="n">
        <v>6</v>
      </c>
      <c r="C2215" s="10" t="inlineStr">
        <is>
          <t>Soziale Abgaben</t>
        </is>
      </c>
      <c r="D2215" s="10" t="inlineStr">
        <is>
          <t>Personalaufwand</t>
        </is>
      </c>
      <c r="E2215" s="7" t="n">
        <v>113909.76</v>
      </c>
      <c r="F2215" s="7" t="n">
        <v>1366917.09</v>
      </c>
    </row>
    <row r="2216" ht="21" customHeight="1">
      <c r="A2216" s="7" t="n">
        <v>2031</v>
      </c>
      <c r="B2216" s="7" t="n">
        <v>6</v>
      </c>
      <c r="C2216" s="10" t="inlineStr">
        <is>
          <t>Sonst Fuhrparkkosten</t>
        </is>
      </c>
      <c r="D2216" s="10" t="inlineStr">
        <is>
          <t>Fuhrparkkosten</t>
        </is>
      </c>
      <c r="E2216" s="7" t="n">
        <v>6298.8</v>
      </c>
      <c r="F2216" s="7" t="n">
        <v>75585.56</v>
      </c>
    </row>
    <row r="2217" ht="21" customHeight="1">
      <c r="A2217" s="7" t="n">
        <v>2030</v>
      </c>
      <c r="B2217" s="7" t="n">
        <v>6</v>
      </c>
      <c r="C2217" s="10" t="inlineStr">
        <is>
          <t>Miete Behälter</t>
        </is>
      </c>
      <c r="D2217" s="10" t="inlineStr">
        <is>
          <t>Instandh. Betriebsausstattung</t>
        </is>
      </c>
      <c r="E2217" s="7" t="n">
        <v>26.55</v>
      </c>
      <c r="F2217" s="7" t="n">
        <v>318.62</v>
      </c>
    </row>
    <row r="2218" ht="21" customHeight="1">
      <c r="A2218" s="7" t="n">
        <v>2028</v>
      </c>
      <c r="B2218" s="7" t="n">
        <v>6</v>
      </c>
      <c r="C2218" s="10" t="inlineStr">
        <is>
          <t>Miete PKW</t>
        </is>
      </c>
      <c r="D2218" s="10" t="inlineStr">
        <is>
          <t>Fuhrparkkosten</t>
        </is>
      </c>
      <c r="E2218" s="7" t="n">
        <v>4890.62</v>
      </c>
      <c r="F2218" s="7" t="n">
        <v>58687.43</v>
      </c>
    </row>
    <row r="2219" ht="21" customHeight="1">
      <c r="A2219" s="7" t="n">
        <v>2030</v>
      </c>
      <c r="B2219" s="7" t="n">
        <v>6</v>
      </c>
      <c r="C2219" s="10" t="inlineStr">
        <is>
          <t>Aufwand Umlage</t>
        </is>
      </c>
      <c r="D2219" s="10" t="inlineStr">
        <is>
          <t>Verwaltungskosten</t>
        </is>
      </c>
      <c r="E2219" s="7" t="n">
        <v>3696.96</v>
      </c>
      <c r="F2219" s="7" t="n">
        <v>44363.53</v>
      </c>
    </row>
    <row r="2220" ht="21" customHeight="1">
      <c r="A2220" s="7" t="n">
        <v>2030</v>
      </c>
      <c r="B2220" s="7" t="n">
        <v>6</v>
      </c>
      <c r="C2220" s="10" t="inlineStr">
        <is>
          <t>So. betr. Aufwa</t>
        </is>
      </c>
      <c r="D2220" s="10" t="inlineStr">
        <is>
          <t>Verwaltungskosten</t>
        </is>
      </c>
      <c r="E2220" s="7" t="n">
        <v>714.05</v>
      </c>
      <c r="F2220" s="7" t="n">
        <v>8568.57</v>
      </c>
    </row>
    <row r="2221" ht="21" customHeight="1">
      <c r="A2221" s="7" t="n">
        <v>2029</v>
      </c>
      <c r="B2221" s="7" t="n">
        <v>6</v>
      </c>
      <c r="C2221" s="10" t="inlineStr">
        <is>
          <t>Versicherungskosten</t>
        </is>
      </c>
      <c r="D2221" s="10" t="inlineStr">
        <is>
          <t>Verwaltungskosten</t>
        </is>
      </c>
      <c r="E2221" s="7" t="n">
        <v>11446.7</v>
      </c>
      <c r="F2221" s="7" t="n">
        <v>137360.42</v>
      </c>
    </row>
    <row r="2222" ht="21" customHeight="1">
      <c r="A2222" s="7" t="n">
        <v>2027</v>
      </c>
      <c r="B2222" s="7" t="n">
        <v>6</v>
      </c>
      <c r="C2222" s="10" t="inlineStr">
        <is>
          <t>Sonstige Steuer</t>
        </is>
      </c>
      <c r="D2222" s="10" t="inlineStr">
        <is>
          <t>Fuhrparkkosten</t>
        </is>
      </c>
      <c r="E2222" s="7" t="n">
        <v>1497.31</v>
      </c>
      <c r="F2222" s="7" t="n">
        <v>17967.71</v>
      </c>
    </row>
    <row r="2223" ht="21" customHeight="1">
      <c r="A2223" s="7" t="n">
        <v>2031</v>
      </c>
      <c r="B2223" s="7" t="n">
        <v>6</v>
      </c>
      <c r="C2223" s="10" t="inlineStr">
        <is>
          <t>Leasing LKW</t>
        </is>
      </c>
      <c r="D2223" s="10" t="inlineStr">
        <is>
          <t>Fuhrparkkosten</t>
        </is>
      </c>
      <c r="E2223" s="7" t="n">
        <v>2910.36</v>
      </c>
      <c r="F2223" s="7" t="n">
        <v>34924.28</v>
      </c>
    </row>
    <row r="2224" ht="21" customHeight="1">
      <c r="A2224" s="7" t="n">
        <v>2029</v>
      </c>
      <c r="B2224" s="7" t="n">
        <v>6</v>
      </c>
      <c r="C2224" s="10" t="inlineStr">
        <is>
          <t>Leasing LKW</t>
        </is>
      </c>
      <c r="D2224" s="10" t="inlineStr">
        <is>
          <t>Fuhrparkkosten</t>
        </is>
      </c>
      <c r="E2224" s="7" t="n">
        <v>2590.21</v>
      </c>
      <c r="F2224" s="7" t="n">
        <v>31082.49</v>
      </c>
    </row>
    <row r="2225" ht="21" customHeight="1">
      <c r="A2225" s="7" t="n">
        <v>2027</v>
      </c>
      <c r="B2225" s="7" t="n">
        <v>6</v>
      </c>
      <c r="C2225" s="10" t="inlineStr">
        <is>
          <t>Instandh.Fuhrp</t>
        </is>
      </c>
      <c r="D2225" s="10" t="inlineStr">
        <is>
          <t>Fuhrparkkosten</t>
        </is>
      </c>
      <c r="E2225" s="7" t="n">
        <v>30358.86</v>
      </c>
      <c r="F2225" s="7" t="n">
        <v>364306.28</v>
      </c>
    </row>
    <row r="2226" ht="21" customHeight="1">
      <c r="A2226" s="7" t="n">
        <v>2029</v>
      </c>
      <c r="B2226" s="7" t="n">
        <v>6</v>
      </c>
      <c r="C2226" s="10" t="inlineStr">
        <is>
          <t>Vertriebskosten</t>
        </is>
      </c>
      <c r="D2226" s="10" t="inlineStr">
        <is>
          <t>Vertriebskosten</t>
        </is>
      </c>
      <c r="E2226" s="7" t="n">
        <v>11943.75</v>
      </c>
      <c r="F2226" s="7" t="n">
        <v>143325</v>
      </c>
    </row>
    <row r="2227" ht="21" customHeight="1">
      <c r="A2227" s="7" t="n">
        <v>2031</v>
      </c>
      <c r="B2227" s="7" t="n">
        <v>6</v>
      </c>
      <c r="C2227" s="10" t="inlineStr">
        <is>
          <t>Miete Grdst/Gebäud</t>
        </is>
      </c>
      <c r="D2227" s="10" t="inlineStr">
        <is>
          <t>Raumkosten</t>
        </is>
      </c>
      <c r="E2227" s="7" t="n">
        <v>18975.39</v>
      </c>
      <c r="F2227" s="7" t="n">
        <v>227704.65</v>
      </c>
    </row>
    <row r="2228" ht="21" customHeight="1">
      <c r="A2228" s="7" t="n">
        <v>2029</v>
      </c>
      <c r="B2228" s="7" t="n">
        <v>6</v>
      </c>
      <c r="C2228" s="10" t="inlineStr">
        <is>
          <t>Uebr.neutr. Ert</t>
        </is>
      </c>
      <c r="D2228" s="10" t="inlineStr">
        <is>
          <t>Gesamtleistung</t>
        </is>
      </c>
      <c r="E2228" s="7" t="n">
        <v>189.9</v>
      </c>
      <c r="F2228" s="7" t="n">
        <v>2278.85</v>
      </c>
    </row>
    <row r="2229" ht="21" customHeight="1">
      <c r="A2229" s="7" t="n">
        <v>2030</v>
      </c>
      <c r="B2229" s="7" t="n">
        <v>6</v>
      </c>
      <c r="C2229" s="10" t="inlineStr">
        <is>
          <t>Behaelterkosten</t>
        </is>
      </c>
      <c r="D2229" s="10" t="inlineStr">
        <is>
          <t>Instandh. Betriebsausstattung</t>
        </is>
      </c>
      <c r="E2229" s="7" t="n">
        <v>12.75</v>
      </c>
      <c r="F2229" s="7" t="n">
        <v>153.03</v>
      </c>
    </row>
    <row r="2230" ht="21" customHeight="1">
      <c r="A2230" s="7" t="n">
        <v>2029</v>
      </c>
      <c r="B2230" s="7" t="n">
        <v>6</v>
      </c>
      <c r="C2230" s="10" t="inlineStr">
        <is>
          <t>IT-Aufwendungen</t>
        </is>
      </c>
      <c r="D2230" s="10" t="inlineStr">
        <is>
          <t>Verwaltungskosten</t>
        </is>
      </c>
      <c r="E2230" s="7" t="n">
        <v>12302.44</v>
      </c>
      <c r="F2230" s="7" t="n">
        <v>147629.28</v>
      </c>
    </row>
    <row r="2231" ht="21" customHeight="1">
      <c r="A2231" s="7" t="n">
        <v>2028</v>
      </c>
      <c r="B2231" s="7" t="n">
        <v>6</v>
      </c>
      <c r="C2231" s="10" t="inlineStr">
        <is>
          <t>Instandh. BGA</t>
        </is>
      </c>
      <c r="D2231" s="10" t="inlineStr">
        <is>
          <t>Instandh. Betriebsausstattung</t>
        </is>
      </c>
      <c r="E2231" s="7" t="n">
        <v>4426.85</v>
      </c>
      <c r="F2231" s="7" t="n">
        <v>53122.2</v>
      </c>
    </row>
    <row r="2232" ht="21" customHeight="1">
      <c r="A2232" s="7" t="n">
        <v>2029</v>
      </c>
      <c r="B2232" s="7" t="n">
        <v>6</v>
      </c>
      <c r="C2232" s="10" t="inlineStr">
        <is>
          <t>Instandh.Fuhrp</t>
        </is>
      </c>
      <c r="D2232" s="10" t="inlineStr">
        <is>
          <t>Fuhrparkkosten</t>
        </is>
      </c>
      <c r="E2232" s="7" t="n">
        <v>34111.21</v>
      </c>
      <c r="F2232" s="7" t="n">
        <v>409334.56</v>
      </c>
    </row>
    <row r="2233" ht="21" customHeight="1">
      <c r="A2233" s="7" t="n">
        <v>2031</v>
      </c>
      <c r="B2233" s="7" t="n">
        <v>6</v>
      </c>
      <c r="C2233" s="10" t="inlineStr">
        <is>
          <t>Rechts- u. Beratungs</t>
        </is>
      </c>
      <c r="D2233" s="10" t="inlineStr">
        <is>
          <t>Verwaltungskosten</t>
        </is>
      </c>
      <c r="E2233" s="7" t="n">
        <v>28853.53</v>
      </c>
      <c r="F2233" s="7" t="n">
        <v>346242.38</v>
      </c>
    </row>
    <row r="2234" ht="21" customHeight="1">
      <c r="A2234" s="7" t="n">
        <v>2029</v>
      </c>
      <c r="B2234" s="7" t="n">
        <v>6</v>
      </c>
      <c r="C2234" s="10" t="inlineStr">
        <is>
          <t>Ertrag KFZ-Nutz</t>
        </is>
      </c>
      <c r="D2234" s="10" t="inlineStr">
        <is>
          <t>Gesamtleistung</t>
        </is>
      </c>
      <c r="E2234" s="7" t="n">
        <v>8815.82</v>
      </c>
      <c r="F2234" s="7" t="n">
        <v>105789.86</v>
      </c>
    </row>
    <row r="2235" ht="21" customHeight="1">
      <c r="A2235" s="7" t="n">
        <v>2030</v>
      </c>
      <c r="B2235" s="7" t="n">
        <v>6</v>
      </c>
      <c r="C2235" s="10" t="inlineStr">
        <is>
          <t>Ertr. weiterber</t>
        </is>
      </c>
      <c r="D2235" s="10" t="inlineStr">
        <is>
          <t>Gesamtleistung</t>
        </is>
      </c>
      <c r="E2235" s="7" t="n">
        <v>1104.47</v>
      </c>
      <c r="F2235" s="7" t="n">
        <v>13253.67</v>
      </c>
    </row>
    <row r="2236" ht="21" customHeight="1">
      <c r="A2236" s="7" t="n">
        <v>2028</v>
      </c>
      <c r="B2236" s="7" t="n">
        <v>6</v>
      </c>
      <c r="C2236" s="10" t="inlineStr">
        <is>
          <t>Leasing PKW</t>
        </is>
      </c>
      <c r="D2236" s="10" t="inlineStr">
        <is>
          <t>Fuhrparkkosten</t>
        </is>
      </c>
      <c r="E2236" s="7" t="n">
        <v>23256.85</v>
      </c>
      <c r="F2236" s="7" t="n">
        <v>279082.22</v>
      </c>
    </row>
    <row r="2237" ht="21" customHeight="1">
      <c r="A2237" s="7" t="n">
        <v>2028</v>
      </c>
      <c r="B2237" s="7" t="n">
        <v>6</v>
      </c>
      <c r="C2237" s="10" t="inlineStr">
        <is>
          <t>Treibstoffe, Oe</t>
        </is>
      </c>
      <c r="D2237" s="10" t="inlineStr">
        <is>
          <t>Fuhrparkkosten</t>
        </is>
      </c>
      <c r="E2237" s="7" t="n">
        <v>30417.62</v>
      </c>
      <c r="F2237" s="7" t="n">
        <v>365011.49</v>
      </c>
    </row>
    <row r="2238" ht="21" customHeight="1">
      <c r="A2238" s="7" t="n">
        <v>2029</v>
      </c>
      <c r="B2238" s="7" t="n">
        <v>6</v>
      </c>
      <c r="C2238" s="10" t="inlineStr">
        <is>
          <t>Miete PKW</t>
        </is>
      </c>
      <c r="D2238" s="10" t="inlineStr">
        <is>
          <t>Fuhrparkkosten</t>
        </is>
      </c>
      <c r="E2238" s="7" t="n">
        <v>5184.06</v>
      </c>
      <c r="F2238" s="7" t="n">
        <v>62208.67</v>
      </c>
    </row>
    <row r="2239" ht="21" customHeight="1">
      <c r="A2239" s="7" t="n">
        <v>2028</v>
      </c>
      <c r="B2239" s="7" t="n">
        <v>6</v>
      </c>
      <c r="C2239" s="10" t="inlineStr">
        <is>
          <t>Ertr. weiterber</t>
        </is>
      </c>
      <c r="D2239" s="10" t="inlineStr">
        <is>
          <t>Gesamtleistung</t>
        </is>
      </c>
      <c r="E2239" s="7" t="n">
        <v>980.91</v>
      </c>
      <c r="F2239" s="7" t="n">
        <v>11770.87</v>
      </c>
    </row>
    <row r="2240" ht="21" customHeight="1">
      <c r="A2240" s="7" t="n">
        <v>2029</v>
      </c>
      <c r="B2240" s="7" t="n">
        <v>6</v>
      </c>
      <c r="C2240" s="10" t="inlineStr">
        <is>
          <t>Instandh. BGA</t>
        </is>
      </c>
      <c r="D2240" s="10" t="inlineStr">
        <is>
          <t>Instandh. Betriebsausstattung</t>
        </is>
      </c>
      <c r="E2240" s="7" t="n">
        <v>4648.19</v>
      </c>
      <c r="F2240" s="7" t="n">
        <v>55778.31</v>
      </c>
    </row>
    <row r="2241" ht="21" customHeight="1">
      <c r="A2241" s="7" t="n">
        <v>2028</v>
      </c>
      <c r="B2241" s="7" t="n">
        <v>6</v>
      </c>
      <c r="C2241" s="10" t="inlineStr">
        <is>
          <t>Erl. so. DL Dt.</t>
        </is>
      </c>
      <c r="D2241" s="10" t="inlineStr">
        <is>
          <t>Gesamtleistung</t>
        </is>
      </c>
      <c r="E2241" s="7" t="n">
        <v>2095866.37</v>
      </c>
      <c r="F2241" s="7" t="n">
        <v>25150396.49</v>
      </c>
    </row>
    <row r="2242" ht="21" customHeight="1">
      <c r="A2242" s="7" t="n">
        <v>2028</v>
      </c>
      <c r="B2242" s="7" t="n">
        <v>6</v>
      </c>
      <c r="C2242" s="10" t="inlineStr">
        <is>
          <t>IT-Aufwendungen</t>
        </is>
      </c>
      <c r="D2242" s="10" t="inlineStr">
        <is>
          <t>Verwaltungskosten</t>
        </is>
      </c>
      <c r="E2242" s="7" t="n">
        <v>11944.12</v>
      </c>
      <c r="F2242" s="7" t="n">
        <v>143329.39</v>
      </c>
    </row>
    <row r="2243" ht="21" customHeight="1">
      <c r="A2243" s="7" t="n">
        <v>2029</v>
      </c>
      <c r="B2243" s="7" t="n">
        <v>6</v>
      </c>
      <c r="C2243" s="10" t="inlineStr">
        <is>
          <t>Ueb. bezog.Leis</t>
        </is>
      </c>
      <c r="D2243" s="10" t="inlineStr">
        <is>
          <t>Vorleistungen</t>
        </is>
      </c>
      <c r="E2243" s="7" t="n">
        <v>1364260.58</v>
      </c>
      <c r="F2243" s="7" t="n">
        <v>16371126.93</v>
      </c>
    </row>
    <row r="2244" ht="21" customHeight="1">
      <c r="A2244" s="7" t="n">
        <v>2031</v>
      </c>
      <c r="B2244" s="7" t="n">
        <v>6</v>
      </c>
      <c r="C2244" s="10" t="inlineStr">
        <is>
          <t>Sonderz. Prämie</t>
        </is>
      </c>
      <c r="D2244" s="10" t="inlineStr">
        <is>
          <t>Personalaufwand</t>
        </is>
      </c>
      <c r="E2244" s="7" t="n">
        <v>26838.18</v>
      </c>
      <c r="F2244" s="7" t="n">
        <v>322058.2</v>
      </c>
    </row>
    <row r="2245" ht="21" customHeight="1">
      <c r="A2245" s="7" t="n">
        <v>2029</v>
      </c>
      <c r="B2245" s="7" t="n">
        <v>6</v>
      </c>
      <c r="C2245" s="10" t="inlineStr">
        <is>
          <t>Verwaltungskost</t>
        </is>
      </c>
      <c r="D2245" s="10" t="inlineStr">
        <is>
          <t>Verwaltungskosten</t>
        </is>
      </c>
      <c r="E2245" s="7" t="n">
        <v>7098.98</v>
      </c>
      <c r="F2245" s="7" t="n">
        <v>85187.74000000001</v>
      </c>
    </row>
    <row r="2246" ht="21" customHeight="1">
      <c r="A2246" s="7" t="n">
        <v>2028</v>
      </c>
      <c r="B2246" s="7" t="n">
        <v>6</v>
      </c>
      <c r="C2246" s="10" t="inlineStr">
        <is>
          <t>Ertrag KFZ-Nutz</t>
        </is>
      </c>
      <c r="D2246" s="10" t="inlineStr">
        <is>
          <t>Gesamtleistung</t>
        </is>
      </c>
      <c r="E2246" s="7" t="n">
        <v>8405.780000000001</v>
      </c>
      <c r="F2246" s="7" t="n">
        <v>100869.3</v>
      </c>
    </row>
    <row r="2247" ht="21" customHeight="1">
      <c r="A2247" s="7" t="n">
        <v>2030</v>
      </c>
      <c r="B2247" s="7" t="n">
        <v>6</v>
      </c>
      <c r="C2247" s="10" t="inlineStr">
        <is>
          <t>Sonst Fuhrparkkosten</t>
        </is>
      </c>
      <c r="D2247" s="10" t="inlineStr">
        <is>
          <t>Fuhrparkkosten</t>
        </is>
      </c>
      <c r="E2247" s="7" t="n">
        <v>5942.26</v>
      </c>
      <c r="F2247" s="7" t="n">
        <v>71307.13</v>
      </c>
    </row>
    <row r="2248" ht="21" customHeight="1">
      <c r="A2248" s="7" t="n">
        <v>2028</v>
      </c>
      <c r="B2248" s="7" t="n">
        <v>6</v>
      </c>
      <c r="C2248" s="10" t="inlineStr">
        <is>
          <t>Rechts- u. Beratungs</t>
        </is>
      </c>
      <c r="D2248" s="10" t="inlineStr">
        <is>
          <t>Verwaltungskosten</t>
        </is>
      </c>
      <c r="E2248" s="7" t="n">
        <v>26405.07</v>
      </c>
      <c r="F2248" s="7" t="n">
        <v>316860.83</v>
      </c>
    </row>
    <row r="2249" ht="21" customHeight="1">
      <c r="A2249" s="7" t="n">
        <v>2027</v>
      </c>
      <c r="B2249" s="7" t="n">
        <v>6</v>
      </c>
      <c r="C2249" s="10" t="inlineStr">
        <is>
          <t>Leasing LKW</t>
        </is>
      </c>
      <c r="D2249" s="10" t="inlineStr">
        <is>
          <t>Fuhrparkkosten</t>
        </is>
      </c>
      <c r="E2249" s="7" t="n">
        <v>2305.28</v>
      </c>
      <c r="F2249" s="7" t="n">
        <v>27663.3</v>
      </c>
    </row>
    <row r="2250" ht="21" customHeight="1">
      <c r="A2250" s="7" t="n">
        <v>2031</v>
      </c>
      <c r="B2250" s="7" t="n">
        <v>6</v>
      </c>
      <c r="C2250" s="10" t="inlineStr">
        <is>
          <t>Fremdl. Fuhrlei</t>
        </is>
      </c>
      <c r="D2250" s="10" t="inlineStr">
        <is>
          <t>Vorleistungen</t>
        </is>
      </c>
      <c r="E2250" s="7" t="n">
        <v>374.24</v>
      </c>
      <c r="F2250" s="7" t="n">
        <v>4490.84</v>
      </c>
    </row>
    <row r="2251" ht="21" customHeight="1">
      <c r="A2251" s="7" t="n">
        <v>2029</v>
      </c>
      <c r="B2251" s="7" t="n">
        <v>6</v>
      </c>
      <c r="C2251" s="10" t="inlineStr">
        <is>
          <t>Fremdl. Fuhrlei</t>
        </is>
      </c>
      <c r="D2251" s="10" t="inlineStr">
        <is>
          <t>Vorleistungen</t>
        </is>
      </c>
      <c r="E2251" s="7" t="n">
        <v>362.07</v>
      </c>
      <c r="F2251" s="7" t="n">
        <v>4344.88</v>
      </c>
    </row>
    <row r="2252" ht="21" customHeight="1">
      <c r="A2252" s="7" t="n">
        <v>2028</v>
      </c>
      <c r="B2252" s="7" t="n">
        <v>6</v>
      </c>
      <c r="C2252" s="10" t="inlineStr">
        <is>
          <t>Vertriebskosten</t>
        </is>
      </c>
      <c r="D2252" s="10" t="inlineStr">
        <is>
          <t>Vertriebskosten</t>
        </is>
      </c>
      <c r="E2252" s="7" t="n">
        <v>11375</v>
      </c>
      <c r="F2252" s="7" t="n">
        <v>136500</v>
      </c>
    </row>
    <row r="2253" ht="21" customHeight="1">
      <c r="A2253" s="7" t="n">
        <v>2031</v>
      </c>
      <c r="B2253" s="7" t="n">
        <v>6</v>
      </c>
      <c r="C2253" s="10" t="inlineStr">
        <is>
          <t>Aufw. so. Hilfs</t>
        </is>
      </c>
      <c r="D2253" s="10" t="inlineStr">
        <is>
          <t>Vorleistungen</t>
        </is>
      </c>
      <c r="E2253" s="7" t="n">
        <v>-17544.22</v>
      </c>
      <c r="F2253" s="7" t="n">
        <v>-210530.6</v>
      </c>
    </row>
    <row r="2254" ht="21" customHeight="1">
      <c r="A2254" s="7" t="n">
        <v>2029</v>
      </c>
      <c r="B2254" s="7" t="n">
        <v>6</v>
      </c>
      <c r="C2254" s="10" t="inlineStr">
        <is>
          <t>Ankauf Rohstoff</t>
        </is>
      </c>
      <c r="D2254" s="10" t="inlineStr">
        <is>
          <t>Vorleistungen</t>
        </is>
      </c>
      <c r="E2254" s="7" t="n">
        <v>1473.64</v>
      </c>
      <c r="F2254" s="7" t="n">
        <v>17683.65</v>
      </c>
    </row>
    <row r="2255" ht="21" customHeight="1">
      <c r="A2255" s="7" t="n">
        <v>2028</v>
      </c>
      <c r="B2255" s="7" t="n">
        <v>6</v>
      </c>
      <c r="C2255" s="10" t="inlineStr">
        <is>
          <t>Sonstige Steuer</t>
        </is>
      </c>
      <c r="D2255" s="10" t="inlineStr">
        <is>
          <t>Fuhrparkkosten</t>
        </is>
      </c>
      <c r="E2255" s="7" t="n">
        <v>1587.15</v>
      </c>
      <c r="F2255" s="7" t="n">
        <v>19045.76</v>
      </c>
    </row>
    <row r="2256" ht="21" customHeight="1">
      <c r="A2256" s="7" t="n">
        <v>2030</v>
      </c>
      <c r="B2256" s="7" t="n">
        <v>6</v>
      </c>
      <c r="C2256" s="10" t="inlineStr">
        <is>
          <t>Weiterber. Frem</t>
        </is>
      </c>
      <c r="D2256" s="10" t="inlineStr">
        <is>
          <t>Vorleistungen</t>
        </is>
      </c>
      <c r="E2256" s="7" t="n">
        <v>0</v>
      </c>
      <c r="F2256" s="7" t="n">
        <v>0</v>
      </c>
    </row>
    <row r="2257" ht="21" customHeight="1">
      <c r="A2257" s="7" t="n">
        <v>2031</v>
      </c>
      <c r="B2257" s="7" t="n">
        <v>6</v>
      </c>
      <c r="C2257" s="10" t="inlineStr">
        <is>
          <t>Miete Behälter</t>
        </is>
      </c>
      <c r="D2257" s="10" t="inlineStr">
        <is>
          <t>Instandh. Betriebsausstattung</t>
        </is>
      </c>
      <c r="E2257" s="7" t="n">
        <v>27.88</v>
      </c>
      <c r="F2257" s="7" t="n">
        <v>334.55</v>
      </c>
    </row>
    <row r="2258" ht="21" customHeight="1">
      <c r="A2258" s="7" t="n">
        <v>2027</v>
      </c>
      <c r="B2258" s="7" t="n">
        <v>6</v>
      </c>
      <c r="C2258" s="10" t="inlineStr">
        <is>
          <t>Miete Grdst/Gebäud</t>
        </is>
      </c>
      <c r="D2258" s="10" t="inlineStr">
        <is>
          <t>Raumkosten</t>
        </is>
      </c>
      <c r="E2258" s="7" t="n">
        <v>15284.77</v>
      </c>
      <c r="F2258" s="7" t="n">
        <v>183417.26</v>
      </c>
    </row>
    <row r="2259" ht="21" customHeight="1">
      <c r="A2259" s="7" t="n">
        <v>2028</v>
      </c>
      <c r="B2259" s="7" t="n">
        <v>6</v>
      </c>
      <c r="C2259" s="10" t="inlineStr">
        <is>
          <t>Aufw. f. Alters</t>
        </is>
      </c>
      <c r="D2259" s="10" t="inlineStr">
        <is>
          <t>Personalaufwand</t>
        </is>
      </c>
      <c r="E2259" s="7" t="n">
        <v>1290.05</v>
      </c>
      <c r="F2259" s="7" t="n">
        <v>15480.56</v>
      </c>
    </row>
    <row r="2260" ht="21" customHeight="1">
      <c r="A2260" s="7" t="n">
        <v>2028</v>
      </c>
      <c r="B2260" s="7" t="n">
        <v>6</v>
      </c>
      <c r="C2260" s="10" t="inlineStr">
        <is>
          <t>Fremdl. Persona</t>
        </is>
      </c>
      <c r="D2260" s="10" t="inlineStr">
        <is>
          <t>Vorleistungen</t>
        </is>
      </c>
      <c r="E2260" s="7" t="n">
        <v>69.04000000000001</v>
      </c>
      <c r="F2260" s="7" t="n">
        <v>828.42</v>
      </c>
    </row>
    <row r="2261" ht="21" customHeight="1">
      <c r="A2261" s="7" t="n">
        <v>2030</v>
      </c>
      <c r="B2261" s="7" t="n">
        <v>6</v>
      </c>
      <c r="C2261" s="10" t="inlineStr">
        <is>
          <t>Vertriebskosten</t>
        </is>
      </c>
      <c r="D2261" s="10" t="inlineStr">
        <is>
          <t>Vertriebskosten</t>
        </is>
      </c>
      <c r="E2261" s="7" t="n">
        <v>12540.94</v>
      </c>
      <c r="F2261" s="7" t="n">
        <v>150491.26</v>
      </c>
    </row>
    <row r="2262" ht="21" customHeight="1">
      <c r="A2262" s="7" t="n">
        <v>2030</v>
      </c>
      <c r="B2262" s="7" t="n">
        <v>6</v>
      </c>
      <c r="C2262" s="10" t="inlineStr">
        <is>
          <t>Aufw. so. Hilfs</t>
        </is>
      </c>
      <c r="D2262" s="10" t="inlineStr">
        <is>
          <t>Vorleistungen</t>
        </is>
      </c>
      <c r="E2262" s="7" t="n">
        <v>-17197.35</v>
      </c>
      <c r="F2262" s="7" t="n">
        <v>-206368.2</v>
      </c>
    </row>
    <row r="2263" ht="21" customHeight="1">
      <c r="A2263" s="7" t="n">
        <v>2029</v>
      </c>
      <c r="B2263" s="7" t="n">
        <v>6</v>
      </c>
      <c r="C2263" s="10" t="inlineStr">
        <is>
          <t>Aufw. so. Hilfs</t>
        </is>
      </c>
      <c r="D2263" s="10" t="inlineStr">
        <is>
          <t>Vorleistungen</t>
        </is>
      </c>
      <c r="E2263" s="7" t="n">
        <v>-16834.66</v>
      </c>
      <c r="F2263" s="7" t="n">
        <v>-202015.88</v>
      </c>
    </row>
    <row r="2264" ht="21" customHeight="1">
      <c r="A2264" s="7" t="n">
        <v>2027</v>
      </c>
      <c r="B2264" s="7" t="n">
        <v>6</v>
      </c>
      <c r="C2264" s="10" t="inlineStr">
        <is>
          <t>Miete PKW</t>
        </is>
      </c>
      <c r="D2264" s="10" t="inlineStr">
        <is>
          <t>Fuhrparkkosten</t>
        </is>
      </c>
      <c r="E2264" s="7" t="n">
        <v>4613.79</v>
      </c>
      <c r="F2264" s="7" t="n">
        <v>55365.51</v>
      </c>
    </row>
    <row r="2265" ht="21" customHeight="1">
      <c r="A2265" s="7" t="n">
        <v>2030</v>
      </c>
      <c r="B2265" s="7" t="n">
        <v>6</v>
      </c>
      <c r="C2265" s="10" t="inlineStr">
        <is>
          <t>Fremdl. Fuhrlei</t>
        </is>
      </c>
      <c r="D2265" s="10" t="inlineStr">
        <is>
          <t>Vorleistungen</t>
        </is>
      </c>
      <c r="E2265" s="7" t="n">
        <v>368.3</v>
      </c>
      <c r="F2265" s="7" t="n">
        <v>4419.56</v>
      </c>
    </row>
    <row r="2266" ht="21" customHeight="1">
      <c r="A2266" s="7" t="n">
        <v>2030</v>
      </c>
      <c r="B2266" s="7" t="n">
        <v>6</v>
      </c>
      <c r="C2266" s="10" t="inlineStr">
        <is>
          <t>Miete PKW</t>
        </is>
      </c>
      <c r="D2266" s="10" t="inlineStr">
        <is>
          <t>Fuhrparkkosten</t>
        </is>
      </c>
      <c r="E2266" s="7" t="n">
        <v>5495.1</v>
      </c>
      <c r="F2266" s="7" t="n">
        <v>65941.19</v>
      </c>
    </row>
    <row r="2267" ht="21" customHeight="1">
      <c r="A2267" s="7" t="n">
        <v>2027</v>
      </c>
      <c r="B2267" s="7" t="n">
        <v>6</v>
      </c>
      <c r="C2267" s="10" t="inlineStr">
        <is>
          <t>Erl. Waren Dt.</t>
        </is>
      </c>
      <c r="D2267" s="10" t="inlineStr">
        <is>
          <t>Gesamtleistung</t>
        </is>
      </c>
      <c r="E2267" s="7" t="n">
        <v>42246.46</v>
      </c>
      <c r="F2267" s="7" t="n">
        <v>506957.51</v>
      </c>
    </row>
    <row r="2268" ht="21" customHeight="1">
      <c r="A2268" s="7" t="n">
        <v>2029</v>
      </c>
      <c r="B2268" s="7" t="n">
        <v>6</v>
      </c>
      <c r="C2268" s="10" t="inlineStr">
        <is>
          <t>Bestandsveraend</t>
        </is>
      </c>
      <c r="D2268" s="10" t="inlineStr">
        <is>
          <t>Gesamtleistung</t>
        </is>
      </c>
      <c r="E2268" s="7" t="n">
        <v>0</v>
      </c>
      <c r="F2268" s="7" t="n">
        <v>0</v>
      </c>
    </row>
    <row r="2269" ht="21" customHeight="1">
      <c r="A2269" s="7" t="n">
        <v>2031</v>
      </c>
      <c r="B2269" s="7" t="n">
        <v>6</v>
      </c>
      <c r="C2269" s="10" t="inlineStr">
        <is>
          <t>Leasing PKW</t>
        </is>
      </c>
      <c r="D2269" s="10" t="inlineStr">
        <is>
          <t>Fuhrparkkosten</t>
        </is>
      </c>
      <c r="E2269" s="7" t="n">
        <v>27699.28</v>
      </c>
      <c r="F2269" s="7" t="n">
        <v>332391.4</v>
      </c>
    </row>
    <row r="2270" ht="21" customHeight="1">
      <c r="A2270" s="7" t="n">
        <v>2029</v>
      </c>
      <c r="B2270" s="7" t="n">
        <v>6</v>
      </c>
      <c r="C2270" s="10" t="inlineStr">
        <is>
          <t>Behaelterkosten</t>
        </is>
      </c>
      <c r="D2270" s="10" t="inlineStr">
        <is>
          <t>Instandh. Betriebsausstattung</t>
        </is>
      </c>
      <c r="E2270" s="7" t="n">
        <v>12.15</v>
      </c>
      <c r="F2270" s="7" t="n">
        <v>145.74</v>
      </c>
    </row>
    <row r="2271" ht="21" customHeight="1">
      <c r="A2271" s="7" t="n">
        <v>2029</v>
      </c>
      <c r="B2271" s="7" t="n">
        <v>6</v>
      </c>
      <c r="C2271" s="10" t="inlineStr">
        <is>
          <t>Aufwand Umlage</t>
        </is>
      </c>
      <c r="D2271" s="10" t="inlineStr">
        <is>
          <t>Verwaltungskosten</t>
        </is>
      </c>
      <c r="E2271" s="7" t="n">
        <v>3589.28</v>
      </c>
      <c r="F2271" s="7" t="n">
        <v>43071.39</v>
      </c>
    </row>
    <row r="2272" ht="21" customHeight="1">
      <c r="A2272" s="7" t="n">
        <v>2030</v>
      </c>
      <c r="B2272" s="7" t="n">
        <v>6</v>
      </c>
      <c r="C2272" s="10" t="inlineStr">
        <is>
          <t>Instandh.Fuhrp</t>
        </is>
      </c>
      <c r="D2272" s="10" t="inlineStr">
        <is>
          <t>Fuhrparkkosten</t>
        </is>
      </c>
      <c r="E2272" s="7" t="n">
        <v>36157.89</v>
      </c>
      <c r="F2272" s="7" t="n">
        <v>433894.62</v>
      </c>
    </row>
    <row r="2273" ht="21" customHeight="1">
      <c r="A2273" s="7" t="n">
        <v>2028</v>
      </c>
      <c r="B2273" s="7" t="n">
        <v>6</v>
      </c>
      <c r="C2273" s="10" t="inlineStr">
        <is>
          <t>Sonderz. Prämie</t>
        </is>
      </c>
      <c r="D2273" s="10" t="inlineStr">
        <is>
          <t>Personalaufwand</t>
        </is>
      </c>
      <c r="E2273" s="7" t="n">
        <v>21386.26</v>
      </c>
      <c r="F2273" s="7" t="n">
        <v>256635.15</v>
      </c>
    </row>
    <row r="2274" ht="21" customHeight="1">
      <c r="A2274" s="7" t="n">
        <v>2029</v>
      </c>
      <c r="B2274" s="7" t="n">
        <v>6</v>
      </c>
      <c r="C2274" s="10" t="inlineStr">
        <is>
          <t>Aufw. f. Alters</t>
        </is>
      </c>
      <c r="D2274" s="10" t="inlineStr">
        <is>
          <t>Personalaufwand</t>
        </is>
      </c>
      <c r="E2274" s="7" t="n">
        <v>1366.43</v>
      </c>
      <c r="F2274" s="7" t="n">
        <v>16397.15</v>
      </c>
    </row>
    <row r="2275" ht="21" customHeight="1">
      <c r="A2275" s="7" t="n">
        <v>2027</v>
      </c>
      <c r="B2275" s="7" t="n">
        <v>6</v>
      </c>
      <c r="C2275" s="10" t="inlineStr">
        <is>
          <t>Ertr. weiterber</t>
        </is>
      </c>
      <c r="D2275" s="10" t="inlineStr">
        <is>
          <t>Gesamtleistung</t>
        </is>
      </c>
      <c r="E2275" s="7" t="n">
        <v>919.41</v>
      </c>
      <c r="F2275" s="7" t="n">
        <v>11032.96</v>
      </c>
    </row>
    <row r="2276" ht="21" customHeight="1">
      <c r="A2276" s="7" t="n">
        <v>2029</v>
      </c>
      <c r="B2276" s="7" t="n">
        <v>6</v>
      </c>
      <c r="C2276" s="10" t="inlineStr">
        <is>
          <t>So. betr. Aufwa</t>
        </is>
      </c>
      <c r="D2276" s="10" t="inlineStr">
        <is>
          <t>Verwaltungskosten</t>
        </is>
      </c>
      <c r="E2276" s="7" t="n">
        <v>693.25</v>
      </c>
      <c r="F2276" s="7" t="n">
        <v>8319.02</v>
      </c>
    </row>
    <row r="2277" ht="21" customHeight="1">
      <c r="A2277" s="7" t="n">
        <v>2031</v>
      </c>
      <c r="B2277" s="7" t="n">
        <v>6</v>
      </c>
      <c r="C2277" s="10" t="inlineStr">
        <is>
          <t>Ertr. weiterber</t>
        </is>
      </c>
      <c r="D2277" s="10" t="inlineStr">
        <is>
          <t>Gesamtleistung</t>
        </is>
      </c>
      <c r="E2277" s="7" t="n">
        <v>1173.93</v>
      </c>
      <c r="F2277" s="7" t="n">
        <v>14087.11</v>
      </c>
    </row>
    <row r="2278" ht="21" customHeight="1">
      <c r="A2278" s="7" t="n">
        <v>2031</v>
      </c>
      <c r="B2278" s="7" t="n">
        <v>6</v>
      </c>
      <c r="C2278" s="10" t="inlineStr">
        <is>
          <t>Ueb. bezog.Leis</t>
        </is>
      </c>
      <c r="D2278" s="10" t="inlineStr">
        <is>
          <t>Vorleistungen</t>
        </is>
      </c>
      <c r="E2278" s="7" t="n">
        <v>1404446.73</v>
      </c>
      <c r="F2278" s="7" t="n">
        <v>16853360.74</v>
      </c>
    </row>
    <row r="2279" ht="21" customHeight="1">
      <c r="A2279" s="7" t="n">
        <v>2027</v>
      </c>
      <c r="B2279" s="7" t="n">
        <v>6</v>
      </c>
      <c r="C2279" s="10" t="inlineStr">
        <is>
          <t>Fremdl. Fuhrlei</t>
        </is>
      </c>
      <c r="D2279" s="10" t="inlineStr">
        <is>
          <t>Vorleistungen</t>
        </is>
      </c>
      <c r="E2279" s="7" t="n">
        <v>371.09</v>
      </c>
      <c r="F2279" s="7" t="n">
        <v>4453.13</v>
      </c>
    </row>
    <row r="2280" ht="21" customHeight="1">
      <c r="A2280" s="7" t="n">
        <v>2027</v>
      </c>
      <c r="B2280" s="7" t="n">
        <v>6</v>
      </c>
      <c r="C2280" s="10" t="inlineStr">
        <is>
          <t>Behaelterkosten</t>
        </is>
      </c>
      <c r="D2280" s="10" t="inlineStr">
        <is>
          <t>Instandh. Betriebsausstattung</t>
        </is>
      </c>
      <c r="E2280" s="7" t="n">
        <v>11.02</v>
      </c>
      <c r="F2280" s="7" t="n">
        <v>132.19</v>
      </c>
    </row>
    <row r="2281" ht="21" customHeight="1">
      <c r="A2281" s="7" t="n">
        <v>2027</v>
      </c>
      <c r="B2281" s="7" t="n">
        <v>6</v>
      </c>
      <c r="C2281" s="10" t="inlineStr">
        <is>
          <t>Ueb Lohn-Gehalt</t>
        </is>
      </c>
      <c r="D2281" s="10" t="inlineStr">
        <is>
          <t>Personalaufwand</t>
        </is>
      </c>
      <c r="E2281" s="7" t="n">
        <v>30579.25</v>
      </c>
      <c r="F2281" s="7" t="n">
        <v>366951</v>
      </c>
    </row>
    <row r="2282" ht="21" customHeight="1">
      <c r="A2282" s="7" t="n">
        <v>2028</v>
      </c>
      <c r="B2282" s="7" t="n">
        <v>6</v>
      </c>
      <c r="C2282" s="10" t="inlineStr">
        <is>
          <t>Raumkosten</t>
        </is>
      </c>
      <c r="D2282" s="10" t="inlineStr">
        <is>
          <t>Raumkosten</t>
        </is>
      </c>
      <c r="E2282" s="7" t="n">
        <v>7023.98</v>
      </c>
      <c r="F2282" s="7" t="n">
        <v>84287.78</v>
      </c>
    </row>
    <row r="2283" ht="21" customHeight="1">
      <c r="A2283" s="7" t="n">
        <v>2031</v>
      </c>
      <c r="B2283" s="7" t="n">
        <v>6</v>
      </c>
      <c r="C2283" s="10" t="inlineStr">
        <is>
          <t>Bestandsveraend</t>
        </is>
      </c>
      <c r="D2283" s="10" t="inlineStr">
        <is>
          <t>Gesamtleistung</t>
        </is>
      </c>
      <c r="E2283" s="7" t="n">
        <v>0</v>
      </c>
      <c r="F2283" s="7" t="n">
        <v>0</v>
      </c>
    </row>
    <row r="2284" ht="21" customHeight="1">
      <c r="A2284" s="7" t="n">
        <v>2029</v>
      </c>
      <c r="B2284" s="7" t="n">
        <v>6</v>
      </c>
      <c r="C2284" s="10" t="inlineStr">
        <is>
          <t>Lohn + Gehalt</t>
        </is>
      </c>
      <c r="D2284" s="10" t="inlineStr">
        <is>
          <t>Personalaufwand</t>
        </is>
      </c>
      <c r="E2284" s="7" t="n">
        <v>356250.11</v>
      </c>
      <c r="F2284" s="7" t="n">
        <v>4275001.35</v>
      </c>
    </row>
    <row r="2285" ht="21" customHeight="1">
      <c r="A2285" s="7" t="n">
        <v>2029</v>
      </c>
      <c r="B2285" s="7" t="n">
        <v>6</v>
      </c>
      <c r="C2285" s="10" t="inlineStr">
        <is>
          <t>Aufw. Heizmat.</t>
        </is>
      </c>
      <c r="D2285" s="10" t="inlineStr">
        <is>
          <t>Vorleistungen</t>
        </is>
      </c>
      <c r="E2285" s="7" t="n">
        <v>245.07</v>
      </c>
      <c r="F2285" s="7" t="n">
        <v>2940.88</v>
      </c>
    </row>
    <row r="2286" ht="21" customHeight="1">
      <c r="A2286" s="7" t="n">
        <v>2031</v>
      </c>
      <c r="B2286" s="7" t="n">
        <v>6</v>
      </c>
      <c r="C2286" s="10" t="inlineStr">
        <is>
          <t>Verwaltungskost</t>
        </is>
      </c>
      <c r="D2286" s="10" t="inlineStr">
        <is>
          <t>Verwaltungskosten</t>
        </is>
      </c>
      <c r="E2286" s="7" t="n">
        <v>7531.31</v>
      </c>
      <c r="F2286" s="7" t="n">
        <v>90375.69</v>
      </c>
    </row>
    <row r="2287" ht="21" customHeight="1">
      <c r="A2287" s="7" t="n">
        <v>2028</v>
      </c>
      <c r="B2287" s="7" t="n">
        <v>6</v>
      </c>
      <c r="C2287" s="10" t="inlineStr">
        <is>
          <t>Erl. Waren Dt.</t>
        </is>
      </c>
      <c r="D2287" s="10" t="inlineStr">
        <is>
          <t>Gesamtleistung</t>
        </is>
      </c>
      <c r="E2287" s="7" t="n">
        <v>44950.49</v>
      </c>
      <c r="F2287" s="7" t="n">
        <v>539405.87</v>
      </c>
    </row>
    <row r="2288" ht="21" customHeight="1">
      <c r="A2288" s="7" t="n">
        <v>2030</v>
      </c>
      <c r="B2288" s="7" t="n">
        <v>6</v>
      </c>
      <c r="C2288" s="10" t="inlineStr">
        <is>
          <t>Uebr.neutr. Ert</t>
        </is>
      </c>
      <c r="D2288" s="10" t="inlineStr">
        <is>
          <t>Gesamtleistung</t>
        </is>
      </c>
      <c r="E2288" s="7" t="n">
        <v>207.38</v>
      </c>
      <c r="F2288" s="7" t="n">
        <v>2488.5</v>
      </c>
    </row>
    <row r="2289" ht="21" customHeight="1">
      <c r="A2289" s="7" t="n">
        <v>2030</v>
      </c>
      <c r="B2289" s="7" t="n">
        <v>6</v>
      </c>
      <c r="C2289" s="10" t="inlineStr">
        <is>
          <t>Raumkosten</t>
        </is>
      </c>
      <c r="D2289" s="10" t="inlineStr">
        <is>
          <t>Raumkosten</t>
        </is>
      </c>
      <c r="E2289" s="7" t="n">
        <v>7307.75</v>
      </c>
      <c r="F2289" s="7" t="n">
        <v>87693</v>
      </c>
    </row>
    <row r="2290" ht="21" customHeight="1">
      <c r="A2290" s="7" t="n">
        <v>2030</v>
      </c>
      <c r="B2290" s="7" t="n">
        <v>6</v>
      </c>
      <c r="C2290" s="10" t="inlineStr">
        <is>
          <t>Fremdl. Persona</t>
        </is>
      </c>
      <c r="D2290" s="10" t="inlineStr">
        <is>
          <t>Vorleistungen</t>
        </is>
      </c>
      <c r="E2290" s="7" t="n">
        <v>76.56999999999999</v>
      </c>
      <c r="F2290" s="7" t="n">
        <v>918.79</v>
      </c>
    </row>
    <row r="2291" ht="21" customHeight="1">
      <c r="A2291" s="7" t="n">
        <v>2027</v>
      </c>
      <c r="B2291" s="7" t="n">
        <v>6</v>
      </c>
      <c r="C2291" s="10" t="inlineStr">
        <is>
          <t>Leasing PKW</t>
        </is>
      </c>
      <c r="D2291" s="10" t="inlineStr">
        <is>
          <t>Fuhrparkkosten</t>
        </is>
      </c>
      <c r="E2291" s="7" t="n">
        <v>21940.43</v>
      </c>
      <c r="F2291" s="7" t="n">
        <v>263285.11</v>
      </c>
    </row>
    <row r="2292" ht="21" customHeight="1">
      <c r="A2292" s="7" t="n">
        <v>2030</v>
      </c>
      <c r="B2292" s="7" t="n">
        <v>6</v>
      </c>
      <c r="C2292" s="10" t="inlineStr">
        <is>
          <t>Ertrag KFZ-Nutz</t>
        </is>
      </c>
      <c r="D2292" s="10" t="inlineStr">
        <is>
          <t>Gesamtleistung</t>
        </is>
      </c>
      <c r="E2292" s="7" t="n">
        <v>9193.41</v>
      </c>
      <c r="F2292" s="7" t="n">
        <v>110320.94</v>
      </c>
    </row>
    <row r="2293" ht="21" customHeight="1">
      <c r="A2293" s="7" t="n">
        <v>2028</v>
      </c>
      <c r="B2293" s="7" t="n">
        <v>6</v>
      </c>
      <c r="C2293" s="10" t="inlineStr">
        <is>
          <t>Uebr.neutr. Ert</t>
        </is>
      </c>
      <c r="D2293" s="10" t="inlineStr">
        <is>
          <t>Gesamtleistung</t>
        </is>
      </c>
      <c r="E2293" s="7" t="n">
        <v>151.92</v>
      </c>
      <c r="F2293" s="7" t="n">
        <v>1823.08</v>
      </c>
    </row>
    <row r="2294" ht="21" customHeight="1">
      <c r="A2294" s="7" t="n">
        <v>2030</v>
      </c>
      <c r="B2294" s="7" t="n">
        <v>6</v>
      </c>
      <c r="C2294" s="10" t="inlineStr">
        <is>
          <t>Soziale Abgaben</t>
        </is>
      </c>
      <c r="D2294" s="10" t="inlineStr">
        <is>
          <t>Personalaufwand</t>
        </is>
      </c>
      <c r="E2294" s="7" t="n">
        <v>104141.87</v>
      </c>
      <c r="F2294" s="7" t="n">
        <v>1249702.47</v>
      </c>
    </row>
    <row r="2295" ht="21" customHeight="1">
      <c r="A2295" s="7" t="n">
        <v>2030</v>
      </c>
      <c r="B2295" s="7" t="n">
        <v>6</v>
      </c>
      <c r="C2295" s="10" t="inlineStr">
        <is>
          <t>Ankauf Rohstoff</t>
        </is>
      </c>
      <c r="D2295" s="10" t="inlineStr">
        <is>
          <t>Vorleistungen</t>
        </is>
      </c>
      <c r="E2295" s="7" t="n">
        <v>1483.55</v>
      </c>
      <c r="F2295" s="7" t="n">
        <v>17802.65</v>
      </c>
    </row>
    <row r="2296" ht="21" customHeight="1">
      <c r="A2296" s="7" t="n">
        <v>2031</v>
      </c>
      <c r="B2296" s="7" t="n">
        <v>6</v>
      </c>
      <c r="C2296" s="10" t="inlineStr">
        <is>
          <t>Aufw. Heizmat.</t>
        </is>
      </c>
      <c r="D2296" s="10" t="inlineStr">
        <is>
          <t>Vorleistungen</t>
        </is>
      </c>
      <c r="E2296" s="7" t="n">
        <v>216.16</v>
      </c>
      <c r="F2296" s="7" t="n">
        <v>2593.97</v>
      </c>
    </row>
    <row r="2297" ht="21" customHeight="1">
      <c r="A2297" s="7" t="n">
        <v>2030</v>
      </c>
      <c r="B2297" s="7" t="n">
        <v>6</v>
      </c>
      <c r="C2297" s="10" t="inlineStr">
        <is>
          <t>IT-Aufwendungen</t>
        </is>
      </c>
      <c r="D2297" s="10" t="inlineStr">
        <is>
          <t>Verwaltungskosten</t>
        </is>
      </c>
      <c r="E2297" s="7" t="n">
        <v>12671.51</v>
      </c>
      <c r="F2297" s="7" t="n">
        <v>152058.16</v>
      </c>
    </row>
    <row r="2298" ht="21" customHeight="1">
      <c r="A2298" s="7" t="n">
        <v>2027</v>
      </c>
      <c r="B2298" s="7" t="n">
        <v>6</v>
      </c>
      <c r="C2298" s="10" t="inlineStr">
        <is>
          <t>Treibstoffe, Oe</t>
        </is>
      </c>
      <c r="D2298" s="10" t="inlineStr">
        <is>
          <t>Fuhrparkkosten</t>
        </is>
      </c>
      <c r="E2298" s="7" t="n">
        <v>28695.87</v>
      </c>
      <c r="F2298" s="7" t="n">
        <v>344350.48</v>
      </c>
    </row>
    <row r="2299" ht="21" customHeight="1">
      <c r="A2299" s="7" t="n">
        <v>2028</v>
      </c>
      <c r="B2299" s="7" t="n">
        <v>6</v>
      </c>
      <c r="C2299" s="10" t="inlineStr">
        <is>
          <t>Aufw. Heizmat.</t>
        </is>
      </c>
      <c r="D2299" s="10" t="inlineStr">
        <is>
          <t>Vorleistungen</t>
        </is>
      </c>
      <c r="E2299" s="7" t="n">
        <v>260.43</v>
      </c>
      <c r="F2299" s="7" t="n">
        <v>3125.13</v>
      </c>
    </row>
    <row r="2300" ht="21" customHeight="1">
      <c r="A2300" s="7" t="n">
        <v>2031</v>
      </c>
      <c r="B2300" s="7" t="n">
        <v>6</v>
      </c>
      <c r="C2300" s="10" t="inlineStr">
        <is>
          <t>Ertrag KFZ-Nutz</t>
        </is>
      </c>
      <c r="D2300" s="10" t="inlineStr">
        <is>
          <t>Gesamtleistung</t>
        </is>
      </c>
      <c r="E2300" s="7" t="n">
        <v>9597.290000000001</v>
      </c>
      <c r="F2300" s="7" t="n">
        <v>115167.5</v>
      </c>
    </row>
    <row r="2301" ht="21" customHeight="1">
      <c r="A2301" s="7" t="n">
        <v>2027</v>
      </c>
      <c r="B2301" s="7" t="n">
        <v>6</v>
      </c>
      <c r="C2301" s="10" t="inlineStr">
        <is>
          <t>Raumkosten</t>
        </is>
      </c>
      <c r="D2301" s="10" t="inlineStr">
        <is>
          <t>Raumkosten</t>
        </is>
      </c>
      <c r="E2301" s="7" t="n">
        <v>5046.85</v>
      </c>
      <c r="F2301" s="7" t="n">
        <v>60562.14</v>
      </c>
    </row>
    <row r="2302" ht="21" customHeight="1">
      <c r="A2302" s="7" t="n">
        <v>2028</v>
      </c>
      <c r="B2302" s="7" t="n">
        <v>6</v>
      </c>
      <c r="C2302" s="10" t="inlineStr">
        <is>
          <t>Soziale Abgaben</t>
        </is>
      </c>
      <c r="D2302" s="10" t="inlineStr">
        <is>
          <t>Personalaufwand</t>
        </is>
      </c>
      <c r="E2302" s="7" t="n">
        <v>85007.57000000001</v>
      </c>
      <c r="F2302" s="7" t="n">
        <v>1020090.84</v>
      </c>
    </row>
    <row r="2303" ht="21" customHeight="1">
      <c r="A2303" s="7" t="n">
        <v>2029</v>
      </c>
      <c r="B2303" s="7" t="n">
        <v>6</v>
      </c>
      <c r="C2303" s="10" t="inlineStr">
        <is>
          <t>Miete Grdst/Gebäud</t>
        </is>
      </c>
      <c r="D2303" s="10" t="inlineStr">
        <is>
          <t>Raumkosten</t>
        </is>
      </c>
      <c r="E2303" s="7" t="n">
        <v>18238.55</v>
      </c>
      <c r="F2303" s="7" t="n">
        <v>218862.64</v>
      </c>
    </row>
    <row r="2304" ht="21" customHeight="1">
      <c r="A2304" s="7" t="n">
        <v>2031</v>
      </c>
      <c r="B2304" s="7" t="n">
        <v>6</v>
      </c>
      <c r="C2304" s="10" t="inlineStr">
        <is>
          <t>Raumkosten</t>
        </is>
      </c>
      <c r="D2304" s="10" t="inlineStr">
        <is>
          <t>Raumkosten</t>
        </is>
      </c>
      <c r="E2304" s="7" t="n">
        <v>7453.91</v>
      </c>
      <c r="F2304" s="7" t="n">
        <v>89446.89</v>
      </c>
    </row>
    <row r="2305" ht="21" customHeight="1">
      <c r="A2305" s="7" t="n">
        <v>2031</v>
      </c>
      <c r="B2305" s="7" t="n">
        <v>6</v>
      </c>
      <c r="C2305" s="10" t="inlineStr">
        <is>
          <t>Behaelterkosten</t>
        </is>
      </c>
      <c r="D2305" s="10" t="inlineStr">
        <is>
          <t>Instandh. Betriebsausstattung</t>
        </is>
      </c>
      <c r="E2305" s="7" t="n">
        <v>13.39</v>
      </c>
      <c r="F2305" s="7" t="n">
        <v>160.68</v>
      </c>
    </row>
    <row r="2306" ht="21" customHeight="1">
      <c r="A2306" s="7" t="n">
        <v>2031</v>
      </c>
      <c r="B2306" s="7" t="n">
        <v>6</v>
      </c>
      <c r="C2306" s="10" t="inlineStr">
        <is>
          <t>Instandh.Fuhrp</t>
        </is>
      </c>
      <c r="D2306" s="10" t="inlineStr">
        <is>
          <t>Fuhrparkkosten</t>
        </is>
      </c>
      <c r="E2306" s="7" t="n">
        <v>38327.36</v>
      </c>
      <c r="F2306" s="7" t="n">
        <v>459928.28</v>
      </c>
    </row>
    <row r="2307" ht="21" customHeight="1">
      <c r="A2307" s="7" t="n">
        <v>2030</v>
      </c>
      <c r="B2307" s="7" t="n">
        <v>6</v>
      </c>
      <c r="C2307" s="10" t="inlineStr">
        <is>
          <t>Ueb. bezog.Leis</t>
        </is>
      </c>
      <c r="D2307" s="10" t="inlineStr">
        <is>
          <t>Vorleistungen</t>
        </is>
      </c>
      <c r="E2307" s="7" t="n">
        <v>1385029.28</v>
      </c>
      <c r="F2307" s="7" t="n">
        <v>16620351.38</v>
      </c>
    </row>
    <row r="2308" ht="21" customHeight="1">
      <c r="A2308" s="7" t="n">
        <v>2027</v>
      </c>
      <c r="B2308" s="7" t="n">
        <v>6</v>
      </c>
      <c r="C2308" s="10" t="inlineStr">
        <is>
          <t>Miete LKW,Schiffe</t>
        </is>
      </c>
      <c r="D2308" s="10" t="inlineStr">
        <is>
          <t>Fuhrparkkosten</t>
        </is>
      </c>
      <c r="E2308" s="7" t="n">
        <v>36751.61</v>
      </c>
      <c r="F2308" s="7" t="n">
        <v>441019.28</v>
      </c>
    </row>
    <row r="2309" ht="21" customHeight="1">
      <c r="A2309" s="7" t="n">
        <v>2030</v>
      </c>
      <c r="B2309" s="7" t="n">
        <v>6</v>
      </c>
      <c r="C2309" s="10" t="inlineStr">
        <is>
          <t>Leasing LKW</t>
        </is>
      </c>
      <c r="D2309" s="10" t="inlineStr">
        <is>
          <t>Fuhrparkkosten</t>
        </is>
      </c>
      <c r="E2309" s="7" t="n">
        <v>2745.62</v>
      </c>
      <c r="F2309" s="7" t="n">
        <v>32947.44</v>
      </c>
    </row>
    <row r="2310" ht="21" customHeight="1">
      <c r="A2310" s="7" t="n">
        <v>2031</v>
      </c>
      <c r="B2310" s="7" t="n">
        <v>6</v>
      </c>
      <c r="C2310" s="10" t="inlineStr">
        <is>
          <t>Vertriebskosten</t>
        </is>
      </c>
      <c r="D2310" s="10" t="inlineStr">
        <is>
          <t>Vertriebskosten</t>
        </is>
      </c>
      <c r="E2310" s="7" t="n">
        <v>13167.99</v>
      </c>
      <c r="F2310" s="7" t="n">
        <v>158015.82</v>
      </c>
    </row>
    <row r="2311" ht="21" customHeight="1">
      <c r="A2311" s="7" t="n">
        <v>2028</v>
      </c>
      <c r="B2311" s="7" t="n">
        <v>6</v>
      </c>
      <c r="C2311" s="10" t="inlineStr">
        <is>
          <t>Behaelterkosten</t>
        </is>
      </c>
      <c r="D2311" s="10" t="inlineStr">
        <is>
          <t>Instandh. Betriebsausstattung</t>
        </is>
      </c>
      <c r="E2311" s="7" t="n">
        <v>11.57</v>
      </c>
      <c r="F2311" s="7" t="n">
        <v>138.8</v>
      </c>
    </row>
    <row r="2312" ht="21" customHeight="1">
      <c r="A2312" s="7" t="n">
        <v>2030</v>
      </c>
      <c r="B2312" s="7" t="n">
        <v>6</v>
      </c>
      <c r="C2312" s="10" t="inlineStr">
        <is>
          <t>Verwaltungskost</t>
        </is>
      </c>
      <c r="D2312" s="10" t="inlineStr">
        <is>
          <t>Verwaltungskosten</t>
        </is>
      </c>
      <c r="E2312" s="7" t="n">
        <v>7311.95</v>
      </c>
      <c r="F2312" s="7" t="n">
        <v>87743.38</v>
      </c>
    </row>
    <row r="2313" ht="21" customHeight="1">
      <c r="A2313" s="7" t="n">
        <v>2030</v>
      </c>
      <c r="B2313" s="7" t="n">
        <v>6</v>
      </c>
      <c r="C2313" s="10" t="inlineStr">
        <is>
          <t>Rechts- u. Beratungs</t>
        </is>
      </c>
      <c r="D2313" s="10" t="inlineStr">
        <is>
          <t>Verwaltungskosten</t>
        </is>
      </c>
      <c r="E2313" s="7" t="n">
        <v>28013.14</v>
      </c>
      <c r="F2313" s="7" t="n">
        <v>336157.66</v>
      </c>
    </row>
    <row r="2314" ht="21" customHeight="1">
      <c r="A2314" s="7" t="n">
        <v>2028</v>
      </c>
      <c r="B2314" s="7" t="n">
        <v>6</v>
      </c>
      <c r="C2314" s="10" t="inlineStr">
        <is>
          <t>Sonst Fuhrparkkosten</t>
        </is>
      </c>
      <c r="D2314" s="10" t="inlineStr">
        <is>
          <t>Fuhrparkkosten</t>
        </is>
      </c>
      <c r="E2314" s="7" t="n">
        <v>5288.59</v>
      </c>
      <c r="F2314" s="7" t="n">
        <v>63463.1</v>
      </c>
    </row>
    <row r="2315" ht="21" customHeight="1">
      <c r="A2315" s="7" t="n">
        <v>2029</v>
      </c>
      <c r="B2315" s="7" t="n">
        <v>6</v>
      </c>
      <c r="C2315" s="10" t="inlineStr">
        <is>
          <t>Erl. so. DL Dt.</t>
        </is>
      </c>
      <c r="D2315" s="10" t="inlineStr">
        <is>
          <t>Gesamtleistung</t>
        </is>
      </c>
      <c r="E2315" s="7" t="n">
        <v>2200755.15</v>
      </c>
      <c r="F2315" s="7" t="n">
        <v>26409061.76</v>
      </c>
    </row>
    <row r="2316" ht="21" customHeight="1">
      <c r="A2316" s="7" t="n">
        <v>2031</v>
      </c>
      <c r="B2316" s="7" t="n">
        <v>6</v>
      </c>
      <c r="C2316" s="10" t="inlineStr">
        <is>
          <t>Uebr.neutr. Ert</t>
        </is>
      </c>
      <c r="D2316" s="10" t="inlineStr">
        <is>
          <t>Gesamtleistung</t>
        </is>
      </c>
      <c r="E2316" s="7" t="n">
        <v>227.28</v>
      </c>
      <c r="F2316" s="7" t="n">
        <v>2727.33</v>
      </c>
    </row>
    <row r="2317" ht="21" customHeight="1">
      <c r="A2317" s="7" t="n">
        <v>2030</v>
      </c>
      <c r="B2317" s="7" t="n">
        <v>6</v>
      </c>
      <c r="C2317" s="10" t="inlineStr">
        <is>
          <t>Erl. Waren Dt.</t>
        </is>
      </c>
      <c r="D2317" s="10" t="inlineStr">
        <is>
          <t>Gesamtleistung</t>
        </is>
      </c>
      <c r="E2317" s="7" t="n">
        <v>49038.99</v>
      </c>
      <c r="F2317" s="7" t="n">
        <v>588467.85</v>
      </c>
    </row>
    <row r="2318" ht="21" customHeight="1">
      <c r="A2318" s="7" t="n">
        <v>2028</v>
      </c>
      <c r="B2318" s="7" t="n">
        <v>6</v>
      </c>
      <c r="C2318" s="10" t="inlineStr">
        <is>
          <t>Weiterber. Frem</t>
        </is>
      </c>
      <c r="D2318" s="10" t="inlineStr">
        <is>
          <t>Vorleistungen</t>
        </is>
      </c>
      <c r="E2318" s="7" t="n">
        <v>0</v>
      </c>
      <c r="F2318" s="7" t="n">
        <v>0</v>
      </c>
    </row>
    <row r="2319" ht="21" customHeight="1">
      <c r="A2319" s="7" t="n">
        <v>2027</v>
      </c>
      <c r="B2319" s="7" t="n">
        <v>6</v>
      </c>
      <c r="C2319" s="10" t="inlineStr">
        <is>
          <t>IT-Aufwendungen</t>
        </is>
      </c>
      <c r="D2319" s="10" t="inlineStr">
        <is>
          <t>Verwaltungskosten</t>
        </is>
      </c>
      <c r="E2319" s="7" t="n">
        <v>11596.23</v>
      </c>
      <c r="F2319" s="7" t="n">
        <v>139154.76</v>
      </c>
    </row>
    <row r="2320" ht="21" customHeight="1">
      <c r="A2320" s="7" t="n">
        <v>2028</v>
      </c>
      <c r="B2320" s="7" t="n">
        <v>6</v>
      </c>
      <c r="C2320" s="10" t="inlineStr">
        <is>
          <t>Leasing LKW</t>
        </is>
      </c>
      <c r="D2320" s="10" t="inlineStr">
        <is>
          <t>Fuhrparkkosten</t>
        </is>
      </c>
      <c r="E2320" s="7" t="n">
        <v>2443.59</v>
      </c>
      <c r="F2320" s="7" t="n">
        <v>29323.11</v>
      </c>
    </row>
    <row r="2321" ht="21" customHeight="1">
      <c r="A2321" s="7" t="n">
        <v>2031</v>
      </c>
      <c r="B2321" s="7" t="n">
        <v>6</v>
      </c>
      <c r="C2321" s="10" t="inlineStr">
        <is>
          <t>Weiterber. Frem</t>
        </is>
      </c>
      <c r="D2321" s="10" t="inlineStr">
        <is>
          <t>Vorleistungen</t>
        </is>
      </c>
      <c r="E2321" s="7" t="n">
        <v>0</v>
      </c>
      <c r="F2321" s="7" t="n">
        <v>0</v>
      </c>
    </row>
    <row r="2322" ht="21" customHeight="1">
      <c r="A2322" s="7" t="n">
        <v>2028</v>
      </c>
      <c r="B2322" s="7" t="n">
        <v>6</v>
      </c>
      <c r="C2322" s="10" t="inlineStr">
        <is>
          <t>Lohn + Gehalt</t>
        </is>
      </c>
      <c r="D2322" s="10" t="inlineStr">
        <is>
          <t>Personalaufwand</t>
        </is>
      </c>
      <c r="E2322" s="7" t="n">
        <v>321097.26</v>
      </c>
      <c r="F2322" s="7" t="n">
        <v>3853167.13</v>
      </c>
    </row>
    <row r="2323" ht="21" customHeight="1">
      <c r="A2323" s="7" t="n">
        <v>2029</v>
      </c>
      <c r="B2323" s="7" t="n">
        <v>6</v>
      </c>
      <c r="C2323" s="10" t="inlineStr">
        <is>
          <t>Miete LKW,Schiffe</t>
        </is>
      </c>
      <c r="D2323" s="10" t="inlineStr">
        <is>
          <t>Fuhrparkkosten</t>
        </is>
      </c>
      <c r="E2323" s="7" t="n">
        <v>41294.11</v>
      </c>
      <c r="F2323" s="7" t="n">
        <v>495529.28</v>
      </c>
    </row>
    <row r="2324" ht="21" customHeight="1">
      <c r="A2324" s="7" t="n">
        <v>2030</v>
      </c>
      <c r="B2324" s="7" t="n">
        <v>6</v>
      </c>
      <c r="C2324" s="10" t="inlineStr">
        <is>
          <t>Erl. so. DL Dt.</t>
        </is>
      </c>
      <c r="D2324" s="10" t="inlineStr">
        <is>
          <t>Gesamtleistung</t>
        </is>
      </c>
      <c r="E2324" s="7" t="n">
        <v>2311684.01</v>
      </c>
      <c r="F2324" s="7" t="n">
        <v>27740208.09</v>
      </c>
    </row>
    <row r="2325" ht="21" customHeight="1">
      <c r="A2325" s="7" t="n">
        <v>2030</v>
      </c>
      <c r="B2325" s="7" t="n">
        <v>6</v>
      </c>
      <c r="C2325" s="10" t="inlineStr">
        <is>
          <t>Versicherungskosten</t>
        </is>
      </c>
      <c r="D2325" s="10" t="inlineStr">
        <is>
          <t>Verwaltungskosten</t>
        </is>
      </c>
      <c r="E2325" s="7" t="n">
        <v>11790.1</v>
      </c>
      <c r="F2325" s="7" t="n">
        <v>141481.23</v>
      </c>
    </row>
    <row r="2326" ht="21" customHeight="1">
      <c r="A2326" s="7" t="n">
        <v>2029</v>
      </c>
      <c r="B2326" s="7" t="n">
        <v>6</v>
      </c>
      <c r="C2326" s="10" t="inlineStr">
        <is>
          <t>Sonstige Steuer</t>
        </is>
      </c>
      <c r="D2326" s="10" t="inlineStr">
        <is>
          <t>Fuhrparkkosten</t>
        </is>
      </c>
      <c r="E2326" s="7" t="n">
        <v>1682.38</v>
      </c>
      <c r="F2326" s="7" t="n">
        <v>20188.51</v>
      </c>
    </row>
    <row r="2327" ht="21" customHeight="1">
      <c r="A2327" s="7" t="n">
        <v>2027</v>
      </c>
      <c r="B2327" s="7" t="n">
        <v>6</v>
      </c>
      <c r="C2327" s="10" t="inlineStr">
        <is>
          <t>Sonst Fuhrparkkosten</t>
        </is>
      </c>
      <c r="D2327" s="10" t="inlineStr">
        <is>
          <t>Fuhrparkkosten</t>
        </is>
      </c>
      <c r="E2327" s="7" t="n">
        <v>4989.24</v>
      </c>
      <c r="F2327" s="7" t="n">
        <v>59870.86</v>
      </c>
    </row>
    <row r="2328" ht="21" customHeight="1">
      <c r="A2328" s="7" t="n">
        <v>2028</v>
      </c>
      <c r="B2328" s="7" t="n">
        <v>6</v>
      </c>
      <c r="C2328" s="10" t="inlineStr">
        <is>
          <t>Bestandsveraend</t>
        </is>
      </c>
      <c r="D2328" s="10" t="inlineStr">
        <is>
          <t>Gesamtleistung</t>
        </is>
      </c>
      <c r="E2328" s="7" t="n">
        <v>0</v>
      </c>
      <c r="F2328" s="7" t="n">
        <v>0</v>
      </c>
    </row>
    <row r="2329" ht="21" customHeight="1">
      <c r="A2329" s="7" t="n">
        <v>2028</v>
      </c>
      <c r="B2329" s="7" t="n">
        <v>6</v>
      </c>
      <c r="C2329" s="10" t="inlineStr">
        <is>
          <t>So. betr. Aufwa</t>
        </is>
      </c>
      <c r="D2329" s="10" t="inlineStr">
        <is>
          <t>Verwaltungskosten</t>
        </is>
      </c>
      <c r="E2329" s="7" t="n">
        <v>673.0599999999999</v>
      </c>
      <c r="F2329" s="7" t="n">
        <v>8076.71</v>
      </c>
    </row>
    <row r="2330" ht="21" customHeight="1">
      <c r="A2330" s="7" t="n">
        <v>2030</v>
      </c>
      <c r="B2330" s="7" t="n">
        <v>6</v>
      </c>
      <c r="C2330" s="10" t="inlineStr">
        <is>
          <t>Miete LKW,Schiffe</t>
        </is>
      </c>
      <c r="D2330" s="10" t="inlineStr">
        <is>
          <t>Fuhrparkkosten</t>
        </is>
      </c>
      <c r="E2330" s="7" t="n">
        <v>43771.75</v>
      </c>
      <c r="F2330" s="7" t="n">
        <v>525261.04</v>
      </c>
    </row>
    <row r="2331" ht="21" customHeight="1">
      <c r="A2331" s="7" t="n">
        <v>2028</v>
      </c>
      <c r="B2331" s="7" t="n">
        <v>6</v>
      </c>
      <c r="C2331" s="10" t="inlineStr">
        <is>
          <t>Miete LKW,Schiffe</t>
        </is>
      </c>
      <c r="D2331" s="10" t="inlineStr">
        <is>
          <t>Fuhrparkkosten</t>
        </is>
      </c>
      <c r="E2331" s="7" t="n">
        <v>38956.71</v>
      </c>
      <c r="F2331" s="7" t="n">
        <v>467480.47</v>
      </c>
    </row>
    <row r="2332" ht="21" customHeight="1">
      <c r="A2332" s="7" t="n">
        <v>2028</v>
      </c>
      <c r="B2332" s="7" t="n">
        <v>6</v>
      </c>
      <c r="C2332" s="10" t="inlineStr">
        <is>
          <t>sonst Personalk</t>
        </is>
      </c>
      <c r="D2332" s="10" t="inlineStr">
        <is>
          <t>Personalaufwand</t>
        </is>
      </c>
      <c r="E2332" s="7" t="n">
        <v>12597.51</v>
      </c>
      <c r="F2332" s="7" t="n">
        <v>151170.09</v>
      </c>
    </row>
    <row r="2333" ht="21" customHeight="1">
      <c r="A2333" s="7" t="n">
        <v>2030</v>
      </c>
      <c r="B2333" s="7" t="n">
        <v>6</v>
      </c>
      <c r="C2333" s="10" t="inlineStr">
        <is>
          <t>Leasing PKW</t>
        </is>
      </c>
      <c r="D2333" s="10" t="inlineStr">
        <is>
          <t>Fuhrparkkosten</t>
        </is>
      </c>
      <c r="E2333" s="7" t="n">
        <v>26131.4</v>
      </c>
      <c r="F2333" s="7" t="n">
        <v>313576.76</v>
      </c>
    </row>
    <row r="2334" ht="21" customHeight="1">
      <c r="A2334" s="7" t="n">
        <v>2031</v>
      </c>
      <c r="B2334" s="7" t="n">
        <v>6</v>
      </c>
      <c r="C2334" s="10" t="inlineStr">
        <is>
          <t>Aufwand Umlage</t>
        </is>
      </c>
      <c r="D2334" s="10" t="inlineStr">
        <is>
          <t>Verwaltungskosten</t>
        </is>
      </c>
      <c r="E2334" s="7" t="n">
        <v>3807.87</v>
      </c>
      <c r="F2334" s="7" t="n">
        <v>45694.43</v>
      </c>
    </row>
    <row r="2335" ht="21" customHeight="1">
      <c r="A2335" s="7" t="n">
        <v>2031</v>
      </c>
      <c r="B2335" s="7" t="n">
        <v>6</v>
      </c>
      <c r="C2335" s="10" t="inlineStr">
        <is>
          <t>sonst Personalk</t>
        </is>
      </c>
      <c r="D2335" s="10" t="inlineStr">
        <is>
          <t>Personalaufwand</t>
        </is>
      </c>
      <c r="E2335" s="7" t="n">
        <v>17070.54</v>
      </c>
      <c r="F2335" s="7" t="n">
        <v>204846.51</v>
      </c>
    </row>
    <row r="2336" ht="21" customHeight="1">
      <c r="A2336" s="7" t="n">
        <v>2027</v>
      </c>
      <c r="B2336" s="7" t="n">
        <v>6</v>
      </c>
      <c r="C2336" s="10" t="inlineStr">
        <is>
          <t>sonst Personalk</t>
        </is>
      </c>
      <c r="D2336" s="10" t="inlineStr">
        <is>
          <t>Personalaufwand</t>
        </is>
      </c>
      <c r="E2336" s="7" t="n">
        <v>10949.84</v>
      </c>
      <c r="F2336" s="7" t="n">
        <v>131398.1</v>
      </c>
    </row>
    <row r="2337" ht="21" customHeight="1">
      <c r="A2337" s="7" t="n">
        <v>2031</v>
      </c>
      <c r="B2337" s="7" t="n">
        <v>6</v>
      </c>
      <c r="C2337" s="10" t="inlineStr">
        <is>
          <t>Miete PKW</t>
        </is>
      </c>
      <c r="D2337" s="10" t="inlineStr">
        <is>
          <t>Fuhrparkkosten</t>
        </is>
      </c>
      <c r="E2337" s="7" t="n">
        <v>5824.81</v>
      </c>
      <c r="F2337" s="7" t="n">
        <v>69897.67</v>
      </c>
    </row>
    <row r="2338" ht="21" customHeight="1">
      <c r="A2338" s="7" t="n">
        <v>2029</v>
      </c>
      <c r="B2338" s="7" t="n">
        <v>6</v>
      </c>
      <c r="C2338" s="10" t="inlineStr">
        <is>
          <t>Raumkosten</t>
        </is>
      </c>
      <c r="D2338" s="10" t="inlineStr">
        <is>
          <t>Raumkosten</t>
        </is>
      </c>
      <c r="E2338" s="7" t="n">
        <v>7164.46</v>
      </c>
      <c r="F2338" s="7" t="n">
        <v>85973.53</v>
      </c>
    </row>
    <row r="2339" ht="21" customHeight="1">
      <c r="A2339" s="7" t="n">
        <v>2031</v>
      </c>
      <c r="B2339" s="7" t="n">
        <v>6</v>
      </c>
      <c r="C2339" s="10" t="inlineStr">
        <is>
          <t>Aufw. f. Alters</t>
        </is>
      </c>
      <c r="D2339" s="10" t="inlineStr">
        <is>
          <t>Personalaufwand</t>
        </is>
      </c>
      <c r="E2339" s="7" t="n">
        <v>1434.03</v>
      </c>
      <c r="F2339" s="7" t="n">
        <v>17208.41</v>
      </c>
    </row>
    <row r="2340" ht="21" customHeight="1">
      <c r="A2340" s="7" t="n">
        <v>2031</v>
      </c>
      <c r="B2340" s="7" t="n">
        <v>6</v>
      </c>
      <c r="C2340" s="10" t="inlineStr">
        <is>
          <t>IT-Aufwendungen</t>
        </is>
      </c>
      <c r="D2340" s="10" t="inlineStr">
        <is>
          <t>Verwaltungskosten</t>
        </is>
      </c>
      <c r="E2340" s="7" t="n">
        <v>13051.66</v>
      </c>
      <c r="F2340" s="7" t="n">
        <v>156619.9</v>
      </c>
    </row>
    <row r="2341" ht="21" customHeight="1">
      <c r="A2341" s="7" t="n">
        <v>2028</v>
      </c>
      <c r="B2341" s="7" t="n">
        <v>6</v>
      </c>
      <c r="C2341" s="10" t="inlineStr">
        <is>
          <t>Miete Grdst/Gebäud</t>
        </is>
      </c>
      <c r="D2341" s="10" t="inlineStr">
        <is>
          <t>Raumkosten</t>
        </is>
      </c>
      <c r="E2341" s="7" t="n">
        <v>17880.93</v>
      </c>
      <c r="F2341" s="7" t="n">
        <v>214571.21</v>
      </c>
    </row>
    <row r="2342" ht="21" customHeight="1">
      <c r="A2342" s="7" t="n">
        <v>2027</v>
      </c>
      <c r="B2342" s="7" t="n">
        <v>6</v>
      </c>
      <c r="C2342" s="10" t="inlineStr">
        <is>
          <t>Erloesschmaeler</t>
        </is>
      </c>
      <c r="D2342" s="10" t="inlineStr">
        <is>
          <t>Gesamtleistung</t>
        </is>
      </c>
      <c r="E2342" s="7" t="n">
        <v>-7483.88</v>
      </c>
      <c r="F2342" s="7" t="n">
        <v>-89806.53</v>
      </c>
    </row>
    <row r="2343" ht="21" customHeight="1">
      <c r="A2343" s="7" t="n">
        <v>2029</v>
      </c>
      <c r="B2343" s="7" t="n">
        <v>6</v>
      </c>
      <c r="C2343" s="10" t="inlineStr">
        <is>
          <t>sonst Personalk</t>
        </is>
      </c>
      <c r="D2343" s="10" t="inlineStr">
        <is>
          <t>Personalaufwand</t>
        </is>
      </c>
      <c r="E2343" s="7" t="n">
        <v>13957.15</v>
      </c>
      <c r="F2343" s="7" t="n">
        <v>167485.78</v>
      </c>
    </row>
    <row r="2344" ht="21" customHeight="1">
      <c r="A2344" s="7" t="n">
        <v>2028</v>
      </c>
      <c r="B2344" s="7" t="n">
        <v>6</v>
      </c>
      <c r="C2344" s="10" t="inlineStr">
        <is>
          <t>Fremdl. Fuhrlei</t>
        </is>
      </c>
      <c r="D2344" s="10" t="inlineStr">
        <is>
          <t>Vorleistungen</t>
        </is>
      </c>
      <c r="E2344" s="7" t="n">
        <v>363.29</v>
      </c>
      <c r="F2344" s="7" t="n">
        <v>4359.52</v>
      </c>
    </row>
    <row r="2345" ht="21" customHeight="1">
      <c r="A2345" s="7" t="n">
        <v>2027</v>
      </c>
      <c r="B2345" s="7" t="n">
        <v>6</v>
      </c>
      <c r="C2345" s="10" t="inlineStr">
        <is>
          <t>Erl. so. DL Dt.</t>
        </is>
      </c>
      <c r="D2345" s="10" t="inlineStr">
        <is>
          <t>Gesamtleistung</t>
        </is>
      </c>
      <c r="E2345" s="7" t="n">
        <v>1996174.37</v>
      </c>
      <c r="F2345" s="7" t="n">
        <v>23954092.45</v>
      </c>
    </row>
    <row r="2346" ht="21" customHeight="1">
      <c r="A2346" s="7" t="n">
        <v>2027</v>
      </c>
      <c r="B2346" s="7" t="n">
        <v>6</v>
      </c>
      <c r="C2346" s="10" t="inlineStr">
        <is>
          <t>Aufw. Heizmat.</t>
        </is>
      </c>
      <c r="D2346" s="10" t="inlineStr">
        <is>
          <t>Vorleistungen</t>
        </is>
      </c>
      <c r="E2346" s="7" t="n">
        <v>275.72</v>
      </c>
      <c r="F2346" s="7" t="n">
        <v>3308.65</v>
      </c>
    </row>
    <row r="2347" ht="21" customHeight="1">
      <c r="A2347" s="7" t="n">
        <v>2028</v>
      </c>
      <c r="B2347" s="7" t="n">
        <v>6</v>
      </c>
      <c r="C2347" s="10" t="inlineStr">
        <is>
          <t>Versicherungskosten</t>
        </is>
      </c>
      <c r="D2347" s="10" t="inlineStr">
        <is>
          <t>Verwaltungskosten</t>
        </is>
      </c>
      <c r="E2347" s="7" t="n">
        <v>11113.3</v>
      </c>
      <c r="F2347" s="7" t="n">
        <v>133359.63</v>
      </c>
    </row>
    <row r="2348" ht="21" customHeight="1">
      <c r="A2348" s="7" t="n">
        <v>2031</v>
      </c>
      <c r="B2348" s="7" t="n">
        <v>6</v>
      </c>
      <c r="C2348" s="10" t="inlineStr">
        <is>
          <t>Miete LKW,Schiffe</t>
        </is>
      </c>
      <c r="D2348" s="10" t="inlineStr">
        <is>
          <t>Fuhrparkkosten</t>
        </is>
      </c>
      <c r="E2348" s="7" t="n">
        <v>46398.06</v>
      </c>
      <c r="F2348" s="7" t="n">
        <v>556776.71</v>
      </c>
    </row>
    <row r="2349" ht="21" customHeight="1">
      <c r="A2349" s="7" t="n">
        <v>2027</v>
      </c>
      <c r="B2349" s="7" t="n">
        <v>6</v>
      </c>
      <c r="C2349" s="10" t="inlineStr">
        <is>
          <t>Weiterber. Frem</t>
        </is>
      </c>
      <c r="D2349" s="10" t="inlineStr">
        <is>
          <t>Vorleistungen</t>
        </is>
      </c>
      <c r="E2349" s="7" t="n">
        <v>0</v>
      </c>
      <c r="F2349" s="7" t="n">
        <v>0</v>
      </c>
    </row>
    <row r="2350" ht="21" customHeight="1">
      <c r="A2350" s="7" t="n">
        <v>2028</v>
      </c>
      <c r="B2350" s="7" t="n">
        <v>6</v>
      </c>
      <c r="C2350" s="10" t="inlineStr">
        <is>
          <t>Erloesschmaeler</t>
        </is>
      </c>
      <c r="D2350" s="10" t="inlineStr">
        <is>
          <t>Gesamtleistung</t>
        </is>
      </c>
      <c r="E2350" s="7" t="n">
        <v>-8355.469999999999</v>
      </c>
      <c r="F2350" s="7" t="n">
        <v>-100265.61</v>
      </c>
    </row>
    <row r="2351" ht="21" customHeight="1">
      <c r="A2351" s="7" t="n">
        <v>2027</v>
      </c>
      <c r="B2351" s="7" t="n">
        <v>6</v>
      </c>
      <c r="C2351" s="10" t="inlineStr">
        <is>
          <t>Uebr.neutr. Ert</t>
        </is>
      </c>
      <c r="D2351" s="10" t="inlineStr">
        <is>
          <t>Gesamtleistung</t>
        </is>
      </c>
      <c r="E2351" s="7" t="n">
        <v>113.94</v>
      </c>
      <c r="F2351" s="7" t="n">
        <v>1367.31</v>
      </c>
    </row>
    <row r="2352" ht="21" customHeight="1">
      <c r="A2352" s="7" t="n">
        <v>2028</v>
      </c>
      <c r="B2352" s="7" t="n">
        <v>6</v>
      </c>
      <c r="C2352" s="10" t="inlineStr">
        <is>
          <t>Miete Behälter</t>
        </is>
      </c>
      <c r="D2352" s="10" t="inlineStr">
        <is>
          <t>Instandh. Betriebsausstattung</t>
        </is>
      </c>
      <c r="E2352" s="7" t="n">
        <v>24.08</v>
      </c>
      <c r="F2352" s="7" t="n">
        <v>289</v>
      </c>
    </row>
    <row r="2353" ht="21" customHeight="1">
      <c r="A2353" s="7" t="n">
        <v>2028</v>
      </c>
      <c r="B2353" s="7" t="n">
        <v>6</v>
      </c>
      <c r="C2353" s="10" t="inlineStr">
        <is>
          <t>Aufw. so. Hilfs</t>
        </is>
      </c>
      <c r="D2353" s="10" t="inlineStr">
        <is>
          <t>Vorleistungen</t>
        </is>
      </c>
      <c r="E2353" s="7" t="n">
        <v>-16546.31</v>
      </c>
      <c r="F2353" s="7" t="n">
        <v>-198555.67</v>
      </c>
    </row>
    <row r="2354" ht="21" customHeight="1">
      <c r="A2354" s="7" t="n">
        <v>2030</v>
      </c>
      <c r="B2354" s="7" t="n">
        <v>6</v>
      </c>
      <c r="C2354" s="10" t="inlineStr">
        <is>
          <t>Treibstoffe, Oe</t>
        </is>
      </c>
      <c r="D2354" s="10" t="inlineStr">
        <is>
          <t>Fuhrparkkosten</t>
        </is>
      </c>
      <c r="E2354" s="7" t="n">
        <v>34177.25</v>
      </c>
      <c r="F2354" s="7" t="n">
        <v>410126.96</v>
      </c>
    </row>
    <row r="2355" ht="21" customHeight="1">
      <c r="A2355" s="7" t="n">
        <v>2030</v>
      </c>
      <c r="B2355" s="7" t="n">
        <v>6</v>
      </c>
      <c r="C2355" s="10" t="inlineStr">
        <is>
          <t>Ueb Lohn-Gehalt</t>
        </is>
      </c>
      <c r="D2355" s="10" t="inlineStr">
        <is>
          <t>Personalaufwand</t>
        </is>
      </c>
      <c r="E2355" s="7" t="n">
        <v>41842.02</v>
      </c>
      <c r="F2355" s="7" t="n">
        <v>502104.18</v>
      </c>
    </row>
    <row r="2356" ht="21" customHeight="1">
      <c r="A2356" s="7" t="n">
        <v>2030</v>
      </c>
      <c r="B2356" s="7" t="n">
        <v>6</v>
      </c>
      <c r="C2356" s="10" t="inlineStr">
        <is>
          <t>Aufw. f. Alters</t>
        </is>
      </c>
      <c r="D2356" s="10" t="inlineStr">
        <is>
          <t>Personalaufwand</t>
        </is>
      </c>
      <c r="E2356" s="7" t="n">
        <v>1387.56</v>
      </c>
      <c r="F2356" s="7" t="n">
        <v>16650.69</v>
      </c>
    </row>
    <row r="2357" ht="21" customHeight="1">
      <c r="A2357" s="7" t="n">
        <v>2031</v>
      </c>
      <c r="B2357" s="7" t="n">
        <v>6</v>
      </c>
      <c r="C2357" s="10" t="inlineStr">
        <is>
          <t>Fremdl. Persona</t>
        </is>
      </c>
      <c r="D2357" s="10" t="inlineStr">
        <is>
          <t>Vorleistungen</t>
        </is>
      </c>
      <c r="E2357" s="7" t="n">
        <v>79.40000000000001</v>
      </c>
      <c r="F2357" s="7" t="n">
        <v>952.79</v>
      </c>
    </row>
    <row r="2358" ht="21" customHeight="1">
      <c r="A2358" s="7" t="n">
        <v>2029</v>
      </c>
      <c r="B2358" s="7" t="n">
        <v>7</v>
      </c>
      <c r="C2358" s="10" t="inlineStr">
        <is>
          <t>Sonderz. Prämie</t>
        </is>
      </c>
      <c r="D2358" s="10" t="inlineStr">
        <is>
          <t>Personalaufwand</t>
        </is>
      </c>
      <c r="E2358" s="7" t="n">
        <v>23292.21</v>
      </c>
      <c r="F2358" s="7" t="n">
        <v>279506.56</v>
      </c>
    </row>
    <row r="2359" ht="21" customHeight="1">
      <c r="A2359" s="7" t="n">
        <v>2030</v>
      </c>
      <c r="B2359" s="7" t="n">
        <v>7</v>
      </c>
      <c r="C2359" s="10" t="inlineStr">
        <is>
          <t>sonst Personalk</t>
        </is>
      </c>
      <c r="D2359" s="10" t="inlineStr">
        <is>
          <t>Personalaufwand</t>
        </is>
      </c>
      <c r="E2359" s="7" t="n">
        <v>15558.93</v>
      </c>
      <c r="F2359" s="7" t="n">
        <v>186707.19</v>
      </c>
    </row>
    <row r="2360" ht="21" customHeight="1">
      <c r="A2360" s="7" t="n">
        <v>2031</v>
      </c>
      <c r="B2360" s="7" t="n">
        <v>7</v>
      </c>
      <c r="C2360" s="10" t="inlineStr">
        <is>
          <t>Ankauf Rohstoff</t>
        </is>
      </c>
      <c r="D2360" s="10" t="inlineStr">
        <is>
          <t>Vorleistungen</t>
        </is>
      </c>
      <c r="E2360" s="7" t="n">
        <v>1489.65</v>
      </c>
      <c r="F2360" s="7" t="n">
        <v>17875.76</v>
      </c>
    </row>
    <row r="2361" ht="21" customHeight="1">
      <c r="A2361" s="7" t="n">
        <v>2029</v>
      </c>
      <c r="B2361" s="7" t="n">
        <v>7</v>
      </c>
      <c r="C2361" s="10" t="inlineStr">
        <is>
          <t>Weiterber. Frem</t>
        </is>
      </c>
      <c r="D2361" s="10" t="inlineStr">
        <is>
          <t>Vorleistungen</t>
        </is>
      </c>
      <c r="E2361" s="7" t="n">
        <v>0</v>
      </c>
      <c r="F2361" s="7" t="n">
        <v>0</v>
      </c>
    </row>
    <row r="2362" ht="21" customHeight="1">
      <c r="A2362" s="7" t="n">
        <v>2031</v>
      </c>
      <c r="B2362" s="7" t="n">
        <v>7</v>
      </c>
      <c r="C2362" s="10" t="inlineStr">
        <is>
          <t>Sonstige Steuer</t>
        </is>
      </c>
      <c r="D2362" s="10" t="inlineStr">
        <is>
          <t>Fuhrparkkosten</t>
        </is>
      </c>
      <c r="E2362" s="7" t="n">
        <v>1890.32</v>
      </c>
      <c r="F2362" s="7" t="n">
        <v>22683.81</v>
      </c>
    </row>
    <row r="2363" ht="21" customHeight="1">
      <c r="A2363" s="7" t="n">
        <v>2030</v>
      </c>
      <c r="B2363" s="7" t="n">
        <v>7</v>
      </c>
      <c r="C2363" s="10" t="inlineStr">
        <is>
          <t>Bestandsveraend</t>
        </is>
      </c>
      <c r="D2363" s="10" t="inlineStr">
        <is>
          <t>Gesamtleistung</t>
        </is>
      </c>
      <c r="E2363" s="7" t="n">
        <v>0</v>
      </c>
      <c r="F2363" s="7" t="n">
        <v>0</v>
      </c>
    </row>
    <row r="2364" ht="21" customHeight="1">
      <c r="A2364" s="7" t="n">
        <v>2031</v>
      </c>
      <c r="B2364" s="7" t="n">
        <v>7</v>
      </c>
      <c r="C2364" s="10" t="inlineStr">
        <is>
          <t>Erl. so. DL Dt.</t>
        </is>
      </c>
      <c r="D2364" s="10" t="inlineStr">
        <is>
          <t>Gesamtleistung</t>
        </is>
      </c>
      <c r="E2364" s="7" t="n">
        <v>2428139.11</v>
      </c>
      <c r="F2364" s="7" t="n">
        <v>29137669.32</v>
      </c>
    </row>
    <row r="2365" ht="21" customHeight="1">
      <c r="A2365" s="7" t="n">
        <v>2030</v>
      </c>
      <c r="B2365" s="7" t="n">
        <v>7</v>
      </c>
      <c r="C2365" s="10" t="inlineStr">
        <is>
          <t>Sonstige Steuer</t>
        </is>
      </c>
      <c r="D2365" s="10" t="inlineStr">
        <is>
          <t>Fuhrparkkosten</t>
        </is>
      </c>
      <c r="E2365" s="7" t="n">
        <v>1783.32</v>
      </c>
      <c r="F2365" s="7" t="n">
        <v>21399.82</v>
      </c>
    </row>
    <row r="2366" ht="21" customHeight="1">
      <c r="A2366" s="7" t="n">
        <v>2030</v>
      </c>
      <c r="B2366" s="7" t="n">
        <v>7</v>
      </c>
      <c r="C2366" s="10" t="inlineStr">
        <is>
          <t>Sonderz. Prämie</t>
        </is>
      </c>
      <c r="D2366" s="10" t="inlineStr">
        <is>
          <t>Personalaufwand</t>
        </is>
      </c>
      <c r="E2366" s="7" t="n">
        <v>25004.1</v>
      </c>
      <c r="F2366" s="7" t="n">
        <v>300049.14</v>
      </c>
    </row>
    <row r="2367" ht="21" customHeight="1">
      <c r="A2367" s="7" t="n">
        <v>2029</v>
      </c>
      <c r="B2367" s="7" t="n">
        <v>7</v>
      </c>
      <c r="C2367" s="10" t="inlineStr">
        <is>
          <t>Soziale Abgaben</t>
        </is>
      </c>
      <c r="D2367" s="10" t="inlineStr">
        <is>
          <t>Personalaufwand</t>
        </is>
      </c>
      <c r="E2367" s="7" t="n">
        <v>94488.11</v>
      </c>
      <c r="F2367" s="7" t="n">
        <v>1133857.35</v>
      </c>
    </row>
    <row r="2368" ht="21" customHeight="1">
      <c r="A2368" s="7" t="n">
        <v>2031</v>
      </c>
      <c r="B2368" s="7" t="n">
        <v>7</v>
      </c>
      <c r="C2368" s="10" t="inlineStr">
        <is>
          <t>So. betr. Aufwa</t>
        </is>
      </c>
      <c r="D2368" s="10" t="inlineStr">
        <is>
          <t>Verwaltungskosten</t>
        </is>
      </c>
      <c r="E2368" s="7" t="n">
        <v>735.47</v>
      </c>
      <c r="F2368" s="7" t="n">
        <v>8825.639999999999</v>
      </c>
    </row>
    <row r="2369" ht="21" customHeight="1">
      <c r="A2369" s="7" t="n">
        <v>2027</v>
      </c>
      <c r="B2369" s="7" t="n">
        <v>7</v>
      </c>
      <c r="C2369" s="10" t="inlineStr">
        <is>
          <t>Lohn + Gehalt</t>
        </is>
      </c>
      <c r="D2369" s="10" t="inlineStr">
        <is>
          <t>Personalaufwand</t>
        </is>
      </c>
      <c r="E2369" s="7" t="n">
        <v>287946.36</v>
      </c>
      <c r="F2369" s="7" t="n">
        <v>3455356.33</v>
      </c>
    </row>
    <row r="2370" ht="21" customHeight="1">
      <c r="A2370" s="7" t="n">
        <v>2027</v>
      </c>
      <c r="B2370" s="7" t="n">
        <v>7</v>
      </c>
      <c r="C2370" s="10" t="inlineStr">
        <is>
          <t>So. betr. Aufwa</t>
        </is>
      </c>
      <c r="D2370" s="10" t="inlineStr">
        <is>
          <t>Verwaltungskosten</t>
        </is>
      </c>
      <c r="E2370" s="7" t="n">
        <v>653.45</v>
      </c>
      <c r="F2370" s="7" t="n">
        <v>7841.45</v>
      </c>
    </row>
    <row r="2371" ht="21" customHeight="1">
      <c r="A2371" s="7" t="n">
        <v>2028</v>
      </c>
      <c r="B2371" s="7" t="n">
        <v>7</v>
      </c>
      <c r="C2371" s="10" t="inlineStr">
        <is>
          <t>Ueb Lohn-Gehalt</t>
        </is>
      </c>
      <c r="D2371" s="10" t="inlineStr">
        <is>
          <t>Personalaufwand</t>
        </is>
      </c>
      <c r="E2371" s="7" t="n">
        <v>34332.83</v>
      </c>
      <c r="F2371" s="7" t="n">
        <v>411993.96</v>
      </c>
    </row>
    <row r="2372" ht="21" customHeight="1">
      <c r="A2372" s="7" t="n">
        <v>2027</v>
      </c>
      <c r="B2372" s="7" t="n">
        <v>7</v>
      </c>
      <c r="C2372" s="10" t="inlineStr">
        <is>
          <t>Verwaltungskost</t>
        </is>
      </c>
      <c r="D2372" s="10" t="inlineStr">
        <is>
          <t>Verwaltungskosten</t>
        </is>
      </c>
      <c r="E2372" s="7" t="n">
        <v>6691.47</v>
      </c>
      <c r="F2372" s="7" t="n">
        <v>80297.62</v>
      </c>
    </row>
    <row r="2373" ht="21" customHeight="1">
      <c r="A2373" s="7" t="n">
        <v>2030</v>
      </c>
      <c r="B2373" s="7" t="n">
        <v>7</v>
      </c>
      <c r="C2373" s="10" t="inlineStr">
        <is>
          <t>Aufw. Heizmat.</t>
        </is>
      </c>
      <c r="D2373" s="10" t="inlineStr">
        <is>
          <t>Vorleistungen</t>
        </is>
      </c>
      <c r="E2373" s="7" t="n">
        <v>230.4</v>
      </c>
      <c r="F2373" s="7" t="n">
        <v>2764.82</v>
      </c>
    </row>
    <row r="2374" ht="21" customHeight="1">
      <c r="A2374" s="7" t="n">
        <v>2027</v>
      </c>
      <c r="B2374" s="7" t="n">
        <v>7</v>
      </c>
      <c r="C2374" s="10" t="inlineStr">
        <is>
          <t>Versicherungskosten</t>
        </is>
      </c>
      <c r="D2374" s="10" t="inlineStr">
        <is>
          <t>Verwaltungskosten</t>
        </is>
      </c>
      <c r="E2374" s="7" t="n">
        <v>10789.61</v>
      </c>
      <c r="F2374" s="7" t="n">
        <v>129475.37</v>
      </c>
    </row>
    <row r="2375" ht="21" customHeight="1">
      <c r="A2375" s="7" t="n">
        <v>2031</v>
      </c>
      <c r="B2375" s="7" t="n">
        <v>7</v>
      </c>
      <c r="C2375" s="10" t="inlineStr">
        <is>
          <t>Instandh. BGA</t>
        </is>
      </c>
      <c r="D2375" s="10" t="inlineStr">
        <is>
          <t>Instandh. Betriebsausstattung</t>
        </is>
      </c>
      <c r="E2375" s="7" t="n">
        <v>5124.63</v>
      </c>
      <c r="F2375" s="7" t="n">
        <v>61495.58</v>
      </c>
    </row>
    <row r="2376" ht="21" customHeight="1">
      <c r="A2376" s="7" t="n">
        <v>2029</v>
      </c>
      <c r="B2376" s="7" t="n">
        <v>7</v>
      </c>
      <c r="C2376" s="10" t="inlineStr">
        <is>
          <t>Treibstoffe, Oe</t>
        </is>
      </c>
      <c r="D2376" s="10" t="inlineStr">
        <is>
          <t>Fuhrparkkosten</t>
        </is>
      </c>
      <c r="E2376" s="7" t="n">
        <v>32242.68</v>
      </c>
      <c r="F2376" s="7" t="n">
        <v>386912.19</v>
      </c>
    </row>
    <row r="2377" ht="21" customHeight="1">
      <c r="A2377" s="7" t="n">
        <v>2027</v>
      </c>
      <c r="B2377" s="7" t="n">
        <v>7</v>
      </c>
      <c r="C2377" s="10" t="inlineStr">
        <is>
          <t>Instandh. BGA</t>
        </is>
      </c>
      <c r="D2377" s="10" t="inlineStr">
        <is>
          <t>Instandh. Betriebsausstattung</t>
        </is>
      </c>
      <c r="E2377" s="7" t="n">
        <v>4216.05</v>
      </c>
      <c r="F2377" s="7" t="n">
        <v>50592.58</v>
      </c>
    </row>
    <row r="2378" ht="21" customHeight="1">
      <c r="A2378" s="7" t="n">
        <v>2029</v>
      </c>
      <c r="B2378" s="7" t="n">
        <v>7</v>
      </c>
      <c r="C2378" s="10" t="inlineStr">
        <is>
          <t>Ueb Lohn-Gehalt</t>
        </is>
      </c>
      <c r="D2378" s="10" t="inlineStr">
        <is>
          <t>Personalaufwand</t>
        </is>
      </c>
      <c r="E2378" s="7" t="n">
        <v>37989.9</v>
      </c>
      <c r="F2378" s="7" t="n">
        <v>455878.84</v>
      </c>
    </row>
    <row r="2379" ht="21" customHeight="1">
      <c r="A2379" s="7" t="n">
        <v>2031</v>
      </c>
      <c r="B2379" s="7" t="n">
        <v>7</v>
      </c>
      <c r="C2379" s="10" t="inlineStr">
        <is>
          <t>Erl. Waren Dt.</t>
        </is>
      </c>
      <c r="D2379" s="10" t="inlineStr">
        <is>
          <t>Gesamtleistung</t>
        </is>
      </c>
      <c r="E2379" s="7" t="n">
        <v>50865.59</v>
      </c>
      <c r="F2379" s="7" t="n">
        <v>610387.05</v>
      </c>
    </row>
    <row r="2380" ht="21" customHeight="1">
      <c r="A2380" s="7" t="n">
        <v>2027</v>
      </c>
      <c r="B2380" s="7" t="n">
        <v>7</v>
      </c>
      <c r="C2380" s="10" t="inlineStr">
        <is>
          <t>Fremdl. Persona</t>
        </is>
      </c>
      <c r="D2380" s="10" t="inlineStr">
        <is>
          <t>Vorleistungen</t>
        </is>
      </c>
      <c r="E2380" s="7" t="n">
        <v>61.31</v>
      </c>
      <c r="F2380" s="7" t="n">
        <v>735.66</v>
      </c>
    </row>
    <row r="2381" ht="21" customHeight="1">
      <c r="A2381" s="7" t="n">
        <v>2027</v>
      </c>
      <c r="B2381" s="7" t="n">
        <v>7</v>
      </c>
      <c r="C2381" s="10" t="inlineStr">
        <is>
          <t>Aufwand Umlage</t>
        </is>
      </c>
      <c r="D2381" s="10" t="inlineStr">
        <is>
          <t>Verwaltungskosten</t>
        </is>
      </c>
      <c r="E2381" s="7" t="n">
        <v>3383.24</v>
      </c>
      <c r="F2381" s="7" t="n">
        <v>40598.91</v>
      </c>
    </row>
    <row r="2382" ht="21" customHeight="1">
      <c r="A2382" s="7" t="n">
        <v>2031</v>
      </c>
      <c r="B2382" s="7" t="n">
        <v>7</v>
      </c>
      <c r="C2382" s="10" t="inlineStr">
        <is>
          <t>Ueb Lohn-Gehalt</t>
        </is>
      </c>
      <c r="D2382" s="10" t="inlineStr">
        <is>
          <t>Personalaufwand</t>
        </is>
      </c>
      <c r="E2382" s="7" t="n">
        <v>45675.82</v>
      </c>
      <c r="F2382" s="7" t="n">
        <v>548109.79</v>
      </c>
    </row>
    <row r="2383" ht="21" customHeight="1">
      <c r="A2383" s="7" t="n">
        <v>2027</v>
      </c>
      <c r="B2383" s="7" t="n">
        <v>7</v>
      </c>
      <c r="C2383" s="10" t="inlineStr">
        <is>
          <t>Rechts- u. Beratungs</t>
        </is>
      </c>
      <c r="D2383" s="10" t="inlineStr">
        <is>
          <t>Verwaltungskosten</t>
        </is>
      </c>
      <c r="E2383" s="7" t="n">
        <v>25635.99</v>
      </c>
      <c r="F2383" s="7" t="n">
        <v>307631.89</v>
      </c>
    </row>
    <row r="2384" ht="21" customHeight="1">
      <c r="A2384" s="7" t="n">
        <v>2028</v>
      </c>
      <c r="B2384" s="7" t="n">
        <v>7</v>
      </c>
      <c r="C2384" s="10" t="inlineStr">
        <is>
          <t>Verwaltungskost</t>
        </is>
      </c>
      <c r="D2384" s="10" t="inlineStr">
        <is>
          <t>Verwaltungskosten</t>
        </is>
      </c>
      <c r="E2384" s="7" t="n">
        <v>6892.21</v>
      </c>
      <c r="F2384" s="7" t="n">
        <v>82706.56</v>
      </c>
    </row>
    <row r="2385" ht="21" customHeight="1">
      <c r="A2385" s="7" t="n">
        <v>2028</v>
      </c>
      <c r="B2385" s="7" t="n">
        <v>7</v>
      </c>
      <c r="C2385" s="10" t="inlineStr">
        <is>
          <t>Ueb. bezog.Leis</t>
        </is>
      </c>
      <c r="D2385" s="10" t="inlineStr">
        <is>
          <t>Vorleistungen</t>
        </is>
      </c>
      <c r="E2385" s="7" t="n">
        <v>1342498.67</v>
      </c>
      <c r="F2385" s="7" t="n">
        <v>16109983.99</v>
      </c>
    </row>
    <row r="2386" ht="21" customHeight="1">
      <c r="A2386" s="7" t="n">
        <v>2028</v>
      </c>
      <c r="B2386" s="7" t="n">
        <v>7</v>
      </c>
      <c r="C2386" s="10" t="inlineStr">
        <is>
          <t>Ankauf Rohstoff</t>
        </is>
      </c>
      <c r="D2386" s="10" t="inlineStr">
        <is>
          <t>Vorleistungen</t>
        </is>
      </c>
      <c r="E2386" s="7" t="n">
        <v>1457.38</v>
      </c>
      <c r="F2386" s="7" t="n">
        <v>17488.61</v>
      </c>
    </row>
    <row r="2387" ht="21" customHeight="1">
      <c r="A2387" s="7" t="n">
        <v>2029</v>
      </c>
      <c r="B2387" s="7" t="n">
        <v>7</v>
      </c>
      <c r="C2387" s="10" t="inlineStr">
        <is>
          <t>Erloesschmaeler</t>
        </is>
      </c>
      <c r="D2387" s="10" t="inlineStr">
        <is>
          <t>Gesamtleistung</t>
        </is>
      </c>
      <c r="E2387" s="7" t="n">
        <v>-9048.01</v>
      </c>
      <c r="F2387" s="7" t="n">
        <v>-108576.08</v>
      </c>
    </row>
    <row r="2388" ht="21" customHeight="1">
      <c r="A2388" s="7" t="n">
        <v>2029</v>
      </c>
      <c r="B2388" s="7" t="n">
        <v>7</v>
      </c>
      <c r="C2388" s="10" t="inlineStr">
        <is>
          <t>Leasing PKW</t>
        </is>
      </c>
      <c r="D2388" s="10" t="inlineStr">
        <is>
          <t>Fuhrparkkosten</t>
        </is>
      </c>
      <c r="E2388" s="7" t="n">
        <v>24652.26</v>
      </c>
      <c r="F2388" s="7" t="n">
        <v>295827.14</v>
      </c>
    </row>
    <row r="2389" ht="21" customHeight="1">
      <c r="A2389" s="7" t="n">
        <v>2029</v>
      </c>
      <c r="B2389" s="7" t="n">
        <v>7</v>
      </c>
      <c r="C2389" s="10" t="inlineStr">
        <is>
          <t>Fremdl. Persona</t>
        </is>
      </c>
      <c r="D2389" s="10" t="inlineStr">
        <is>
          <t>Vorleistungen</t>
        </is>
      </c>
      <c r="E2389" s="7" t="n">
        <v>73.3</v>
      </c>
      <c r="F2389" s="7" t="n">
        <v>879.54</v>
      </c>
    </row>
    <row r="2390" ht="21" customHeight="1">
      <c r="A2390" s="7" t="n">
        <v>2028</v>
      </c>
      <c r="B2390" s="7" t="n">
        <v>7</v>
      </c>
      <c r="C2390" s="10" t="inlineStr">
        <is>
          <t>Aufwand Umlage</t>
        </is>
      </c>
      <c r="D2390" s="10" t="inlineStr">
        <is>
          <t>Verwaltungskosten</t>
        </is>
      </c>
      <c r="E2390" s="7" t="n">
        <v>3484.74</v>
      </c>
      <c r="F2390" s="7" t="n">
        <v>41816.88</v>
      </c>
    </row>
    <row r="2391" ht="21" customHeight="1">
      <c r="A2391" s="7" t="n">
        <v>2027</v>
      </c>
      <c r="B2391" s="7" t="n">
        <v>7</v>
      </c>
      <c r="C2391" s="10" t="inlineStr">
        <is>
          <t>Ankauf Rohstoff</t>
        </is>
      </c>
      <c r="D2391" s="10" t="inlineStr">
        <is>
          <t>Vorleistungen</t>
        </is>
      </c>
      <c r="E2391" s="7" t="n">
        <v>1408.24</v>
      </c>
      <c r="F2391" s="7" t="n">
        <v>16898.9</v>
      </c>
    </row>
    <row r="2392" ht="21" customHeight="1">
      <c r="A2392" s="7" t="n">
        <v>2030</v>
      </c>
      <c r="B2392" s="7" t="n">
        <v>7</v>
      </c>
      <c r="C2392" s="10" t="inlineStr">
        <is>
          <t>Erloesschmaeler</t>
        </is>
      </c>
      <c r="D2392" s="10" t="inlineStr">
        <is>
          <t>Gesamtleistung</t>
        </is>
      </c>
      <c r="E2392" s="7" t="n">
        <v>-9690.75</v>
      </c>
      <c r="F2392" s="7" t="n">
        <v>-116289.05</v>
      </c>
    </row>
    <row r="2393" ht="21" customHeight="1">
      <c r="A2393" s="7" t="n">
        <v>2029</v>
      </c>
      <c r="B2393" s="7" t="n">
        <v>7</v>
      </c>
      <c r="C2393" s="10" t="inlineStr">
        <is>
          <t>Sonst Fuhrparkkosten</t>
        </is>
      </c>
      <c r="D2393" s="10" t="inlineStr">
        <is>
          <t>Fuhrparkkosten</t>
        </is>
      </c>
      <c r="E2393" s="7" t="n">
        <v>5605.91</v>
      </c>
      <c r="F2393" s="7" t="n">
        <v>67270.89</v>
      </c>
    </row>
    <row r="2394" ht="21" customHeight="1">
      <c r="A2394" s="7" t="n">
        <v>2027</v>
      </c>
      <c r="B2394" s="7" t="n">
        <v>7</v>
      </c>
      <c r="C2394" s="10" t="inlineStr">
        <is>
          <t>Soziale Abgaben</t>
        </is>
      </c>
      <c r="D2394" s="10" t="inlineStr">
        <is>
          <t>Personalaufwand</t>
        </is>
      </c>
      <c r="E2394" s="7" t="n">
        <v>75903.69</v>
      </c>
      <c r="F2394" s="7" t="n">
        <v>910844.28</v>
      </c>
    </row>
    <row r="2395" ht="21" customHeight="1">
      <c r="A2395" s="7" t="n">
        <v>2031</v>
      </c>
      <c r="B2395" s="7" t="n">
        <v>7</v>
      </c>
      <c r="C2395" s="10" t="inlineStr">
        <is>
          <t>Erloesschmaeler</t>
        </is>
      </c>
      <c r="D2395" s="10" t="inlineStr">
        <is>
          <t>Gesamtleistung</t>
        </is>
      </c>
      <c r="E2395" s="7" t="n">
        <v>-10347.15</v>
      </c>
      <c r="F2395" s="7" t="n">
        <v>-124165.81</v>
      </c>
    </row>
    <row r="2396" ht="21" customHeight="1">
      <c r="A2396" s="7" t="n">
        <v>2029</v>
      </c>
      <c r="B2396" s="7" t="n">
        <v>7</v>
      </c>
      <c r="C2396" s="10" t="inlineStr">
        <is>
          <t>Ertr. weiterber</t>
        </is>
      </c>
      <c r="D2396" s="10" t="inlineStr">
        <is>
          <t>Gesamtleistung</t>
        </is>
      </c>
      <c r="E2396" s="7" t="n">
        <v>1036.39</v>
      </c>
      <c r="F2396" s="7" t="n">
        <v>12436.69</v>
      </c>
    </row>
    <row r="2397" ht="21" customHeight="1">
      <c r="A2397" s="7" t="n">
        <v>2027</v>
      </c>
      <c r="B2397" s="7" t="n">
        <v>7</v>
      </c>
      <c r="C2397" s="10" t="inlineStr">
        <is>
          <t>Sonderz. Prämie</t>
        </is>
      </c>
      <c r="D2397" s="10" t="inlineStr">
        <is>
          <t>Personalaufwand</t>
        </is>
      </c>
      <c r="E2397" s="7" t="n">
        <v>19636.08</v>
      </c>
      <c r="F2397" s="7" t="n">
        <v>235633</v>
      </c>
    </row>
    <row r="2398" ht="21" customHeight="1">
      <c r="A2398" s="7" t="n">
        <v>2027</v>
      </c>
      <c r="B2398" s="7" t="n">
        <v>7</v>
      </c>
      <c r="C2398" s="10" t="inlineStr">
        <is>
          <t>Miete Behälter</t>
        </is>
      </c>
      <c r="D2398" s="10" t="inlineStr">
        <is>
          <t>Instandh. Betriebsausstattung</t>
        </is>
      </c>
      <c r="E2398" s="7" t="n">
        <v>22.94</v>
      </c>
      <c r="F2398" s="7" t="n">
        <v>275.23</v>
      </c>
    </row>
    <row r="2399" ht="21" customHeight="1">
      <c r="A2399" s="7" t="n">
        <v>2031</v>
      </c>
      <c r="B2399" s="7" t="n">
        <v>7</v>
      </c>
      <c r="C2399" s="10" t="inlineStr">
        <is>
          <t>Versicherungskosten</t>
        </is>
      </c>
      <c r="D2399" s="10" t="inlineStr">
        <is>
          <t>Verwaltungskosten</t>
        </is>
      </c>
      <c r="E2399" s="7" t="n">
        <v>12143.81</v>
      </c>
      <c r="F2399" s="7" t="n">
        <v>145725.66</v>
      </c>
    </row>
    <row r="2400" ht="21" customHeight="1">
      <c r="A2400" s="7" t="n">
        <v>2029</v>
      </c>
      <c r="B2400" s="7" t="n">
        <v>7</v>
      </c>
      <c r="C2400" s="10" t="inlineStr">
        <is>
          <t>Rechts- u. Beratungs</t>
        </is>
      </c>
      <c r="D2400" s="10" t="inlineStr">
        <is>
          <t>Verwaltungskosten</t>
        </is>
      </c>
      <c r="E2400" s="7" t="n">
        <v>27197.22</v>
      </c>
      <c r="F2400" s="7" t="n">
        <v>326366.65</v>
      </c>
    </row>
    <row r="2401" ht="21" customHeight="1">
      <c r="A2401" s="7" t="n">
        <v>2028</v>
      </c>
      <c r="B2401" s="7" t="n">
        <v>7</v>
      </c>
      <c r="C2401" s="10" t="inlineStr">
        <is>
          <t>Instandh.Fuhrp</t>
        </is>
      </c>
      <c r="D2401" s="10" t="inlineStr">
        <is>
          <t>Fuhrparkkosten</t>
        </is>
      </c>
      <c r="E2401" s="7" t="n">
        <v>32180.39</v>
      </c>
      <c r="F2401" s="7" t="n">
        <v>386164.66</v>
      </c>
    </row>
    <row r="2402" ht="21" customHeight="1">
      <c r="A2402" s="7" t="n">
        <v>2030</v>
      </c>
      <c r="B2402" s="7" t="n">
        <v>7</v>
      </c>
      <c r="C2402" s="10" t="inlineStr">
        <is>
          <t>Miete Grdst/Gebäud</t>
        </is>
      </c>
      <c r="D2402" s="10" t="inlineStr">
        <is>
          <t>Raumkosten</t>
        </is>
      </c>
      <c r="E2402" s="7" t="n">
        <v>18603.32</v>
      </c>
      <c r="F2402" s="7" t="n">
        <v>223239.88</v>
      </c>
    </row>
    <row r="2403" ht="21" customHeight="1">
      <c r="A2403" s="7" t="n">
        <v>2027</v>
      </c>
      <c r="B2403" s="7" t="n">
        <v>7</v>
      </c>
      <c r="C2403" s="10" t="inlineStr">
        <is>
          <t>Ueb. bezog.Leis</t>
        </is>
      </c>
      <c r="D2403" s="10" t="inlineStr">
        <is>
          <t>Vorleistungen</t>
        </is>
      </c>
      <c r="E2403" s="7" t="n">
        <v>1319862.34</v>
      </c>
      <c r="F2403" s="7" t="n">
        <v>15838348.13</v>
      </c>
    </row>
    <row r="2404" ht="21" customHeight="1">
      <c r="A2404" s="7" t="n">
        <v>2029</v>
      </c>
      <c r="B2404" s="7" t="n">
        <v>7</v>
      </c>
      <c r="C2404" s="10" t="inlineStr">
        <is>
          <t>Erl. Waren Dt.</t>
        </is>
      </c>
      <c r="D2404" s="10" t="inlineStr">
        <is>
          <t>Gesamtleistung</t>
        </is>
      </c>
      <c r="E2404" s="7" t="n">
        <v>47334.08</v>
      </c>
      <c r="F2404" s="7" t="n">
        <v>568008.92</v>
      </c>
    </row>
    <row r="2405" ht="21" customHeight="1">
      <c r="A2405" s="7" t="n">
        <v>2031</v>
      </c>
      <c r="B2405" s="7" t="n">
        <v>7</v>
      </c>
      <c r="C2405" s="10" t="inlineStr">
        <is>
          <t>Treibstoffe, Oe</t>
        </is>
      </c>
      <c r="D2405" s="10" t="inlineStr">
        <is>
          <t>Fuhrparkkosten</t>
        </is>
      </c>
      <c r="E2405" s="7" t="n">
        <v>36227.88</v>
      </c>
      <c r="F2405" s="7" t="n">
        <v>434734.54</v>
      </c>
    </row>
    <row r="2406" ht="21" customHeight="1">
      <c r="A2406" s="7" t="n">
        <v>2029</v>
      </c>
      <c r="B2406" s="7" t="n">
        <v>7</v>
      </c>
      <c r="C2406" s="10" t="inlineStr">
        <is>
          <t>Miete Behälter</t>
        </is>
      </c>
      <c r="D2406" s="10" t="inlineStr">
        <is>
          <t>Instandh. Betriebsausstattung</t>
        </is>
      </c>
      <c r="E2406" s="7" t="n">
        <v>25.29</v>
      </c>
      <c r="F2406" s="7" t="n">
        <v>303.45</v>
      </c>
    </row>
    <row r="2407" ht="21" customHeight="1">
      <c r="A2407" s="7" t="n">
        <v>2030</v>
      </c>
      <c r="B2407" s="7" t="n">
        <v>7</v>
      </c>
      <c r="C2407" s="10" t="inlineStr">
        <is>
          <t>Instandh. BGA</t>
        </is>
      </c>
      <c r="D2407" s="10" t="inlineStr">
        <is>
          <t>Instandh. Betriebsausstattung</t>
        </is>
      </c>
      <c r="E2407" s="7" t="n">
        <v>4880.6</v>
      </c>
      <c r="F2407" s="7" t="n">
        <v>58567.23</v>
      </c>
    </row>
    <row r="2408" ht="21" customHeight="1">
      <c r="A2408" s="7" t="n">
        <v>2030</v>
      </c>
      <c r="B2408" s="7" t="n">
        <v>7</v>
      </c>
      <c r="C2408" s="10" t="inlineStr">
        <is>
          <t>Lohn + Gehalt</t>
        </is>
      </c>
      <c r="D2408" s="10" t="inlineStr">
        <is>
          <t>Personalaufwand</t>
        </is>
      </c>
      <c r="E2408" s="7" t="n">
        <v>392030.8</v>
      </c>
      <c r="F2408" s="7" t="n">
        <v>4704369.59</v>
      </c>
    </row>
    <row r="2409" ht="21" customHeight="1">
      <c r="A2409" s="7" t="n">
        <v>2027</v>
      </c>
      <c r="B2409" s="7" t="n">
        <v>7</v>
      </c>
      <c r="C2409" s="10" t="inlineStr">
        <is>
          <t>Bestandsveraend</t>
        </is>
      </c>
      <c r="D2409" s="10" t="inlineStr">
        <is>
          <t>Gesamtleistung</t>
        </is>
      </c>
      <c r="E2409" s="7" t="n">
        <v>0</v>
      </c>
      <c r="F2409" s="7" t="n">
        <v>0</v>
      </c>
    </row>
    <row r="2410" ht="21" customHeight="1">
      <c r="A2410" s="7" t="n">
        <v>2027</v>
      </c>
      <c r="B2410" s="7" t="n">
        <v>7</v>
      </c>
      <c r="C2410" s="10" t="inlineStr">
        <is>
          <t>Aufw. so. Hilfs</t>
        </is>
      </c>
      <c r="D2410" s="10" t="inlineStr">
        <is>
          <t>Vorleistungen</t>
        </is>
      </c>
      <c r="E2410" s="7" t="n">
        <v>-16362.04</v>
      </c>
      <c r="F2410" s="7" t="n">
        <v>-196344.47</v>
      </c>
    </row>
    <row r="2411" ht="21" customHeight="1">
      <c r="A2411" s="7" t="n">
        <v>2027</v>
      </c>
      <c r="B2411" s="7" t="n">
        <v>7</v>
      </c>
      <c r="C2411" s="10" t="inlineStr">
        <is>
          <t>Aufw. f. Alters</t>
        </is>
      </c>
      <c r="D2411" s="10" t="inlineStr">
        <is>
          <t>Personalaufwand</t>
        </is>
      </c>
      <c r="E2411" s="7" t="n">
        <v>1234.77</v>
      </c>
      <c r="F2411" s="7" t="n">
        <v>14817.29</v>
      </c>
    </row>
    <row r="2412" ht="21" customHeight="1">
      <c r="A2412" s="7" t="n">
        <v>2027</v>
      </c>
      <c r="B2412" s="7" t="n">
        <v>7</v>
      </c>
      <c r="C2412" s="10" t="inlineStr">
        <is>
          <t>Vertriebskosten</t>
        </is>
      </c>
      <c r="D2412" s="10" t="inlineStr">
        <is>
          <t>Vertriebskosten</t>
        </is>
      </c>
      <c r="E2412" s="7" t="n">
        <v>10833.33</v>
      </c>
      <c r="F2412" s="7" t="n">
        <v>130000</v>
      </c>
    </row>
    <row r="2413" ht="21" customHeight="1">
      <c r="A2413" s="7" t="n">
        <v>2027</v>
      </c>
      <c r="B2413" s="7" t="n">
        <v>7</v>
      </c>
      <c r="C2413" s="10" t="inlineStr">
        <is>
          <t>Ertrag KFZ-Nutz</t>
        </is>
      </c>
      <c r="D2413" s="10" t="inlineStr">
        <is>
          <t>Gesamtleistung</t>
        </is>
      </c>
      <c r="E2413" s="7" t="n">
        <v>8029.69</v>
      </c>
      <c r="F2413" s="7" t="n">
        <v>96356.3</v>
      </c>
    </row>
    <row r="2414" ht="21" customHeight="1">
      <c r="A2414" s="7" t="n">
        <v>2031</v>
      </c>
      <c r="B2414" s="7" t="n">
        <v>7</v>
      </c>
      <c r="C2414" s="10" t="inlineStr">
        <is>
          <t>Lohn + Gehalt</t>
        </is>
      </c>
      <c r="D2414" s="10" t="inlineStr">
        <is>
          <t>Personalaufwand</t>
        </is>
      </c>
      <c r="E2414" s="7" t="n">
        <v>428257.62</v>
      </c>
      <c r="F2414" s="7" t="n">
        <v>5139091.39</v>
      </c>
    </row>
    <row r="2415" ht="21" customHeight="1">
      <c r="A2415" s="7" t="n">
        <v>2031</v>
      </c>
      <c r="B2415" s="7" t="n">
        <v>7</v>
      </c>
      <c r="C2415" s="10" t="inlineStr">
        <is>
          <t>Soziale Abgaben</t>
        </is>
      </c>
      <c r="D2415" s="10" t="inlineStr">
        <is>
          <t>Personalaufwand</t>
        </is>
      </c>
      <c r="E2415" s="7" t="n">
        <v>113909.76</v>
      </c>
      <c r="F2415" s="7" t="n">
        <v>1366917.09</v>
      </c>
    </row>
    <row r="2416" ht="21" customHeight="1">
      <c r="A2416" s="7" t="n">
        <v>2031</v>
      </c>
      <c r="B2416" s="7" t="n">
        <v>7</v>
      </c>
      <c r="C2416" s="10" t="inlineStr">
        <is>
          <t>Sonst Fuhrparkkosten</t>
        </is>
      </c>
      <c r="D2416" s="10" t="inlineStr">
        <is>
          <t>Fuhrparkkosten</t>
        </is>
      </c>
      <c r="E2416" s="7" t="n">
        <v>6298.8</v>
      </c>
      <c r="F2416" s="7" t="n">
        <v>75585.56</v>
      </c>
    </row>
    <row r="2417" ht="21" customHeight="1">
      <c r="A2417" s="7" t="n">
        <v>2030</v>
      </c>
      <c r="B2417" s="7" t="n">
        <v>7</v>
      </c>
      <c r="C2417" s="10" t="inlineStr">
        <is>
          <t>Miete Behälter</t>
        </is>
      </c>
      <c r="D2417" s="10" t="inlineStr">
        <is>
          <t>Instandh. Betriebsausstattung</t>
        </is>
      </c>
      <c r="E2417" s="7" t="n">
        <v>26.55</v>
      </c>
      <c r="F2417" s="7" t="n">
        <v>318.62</v>
      </c>
    </row>
    <row r="2418" ht="21" customHeight="1">
      <c r="A2418" s="7" t="n">
        <v>2028</v>
      </c>
      <c r="B2418" s="7" t="n">
        <v>7</v>
      </c>
      <c r="C2418" s="10" t="inlineStr">
        <is>
          <t>Miete PKW</t>
        </is>
      </c>
      <c r="D2418" s="10" t="inlineStr">
        <is>
          <t>Fuhrparkkosten</t>
        </is>
      </c>
      <c r="E2418" s="7" t="n">
        <v>4890.62</v>
      </c>
      <c r="F2418" s="7" t="n">
        <v>58687.43</v>
      </c>
    </row>
    <row r="2419" ht="21" customHeight="1">
      <c r="A2419" s="7" t="n">
        <v>2030</v>
      </c>
      <c r="B2419" s="7" t="n">
        <v>7</v>
      </c>
      <c r="C2419" s="10" t="inlineStr">
        <is>
          <t>Aufwand Umlage</t>
        </is>
      </c>
      <c r="D2419" s="10" t="inlineStr">
        <is>
          <t>Verwaltungskosten</t>
        </is>
      </c>
      <c r="E2419" s="7" t="n">
        <v>3696.96</v>
      </c>
      <c r="F2419" s="7" t="n">
        <v>44363.53</v>
      </c>
    </row>
    <row r="2420" ht="21" customHeight="1">
      <c r="A2420" s="7" t="n">
        <v>2030</v>
      </c>
      <c r="B2420" s="7" t="n">
        <v>7</v>
      </c>
      <c r="C2420" s="10" t="inlineStr">
        <is>
          <t>So. betr. Aufwa</t>
        </is>
      </c>
      <c r="D2420" s="10" t="inlineStr">
        <is>
          <t>Verwaltungskosten</t>
        </is>
      </c>
      <c r="E2420" s="7" t="n">
        <v>714.05</v>
      </c>
      <c r="F2420" s="7" t="n">
        <v>8568.57</v>
      </c>
    </row>
    <row r="2421" ht="21" customHeight="1">
      <c r="A2421" s="7" t="n">
        <v>2029</v>
      </c>
      <c r="B2421" s="7" t="n">
        <v>7</v>
      </c>
      <c r="C2421" s="10" t="inlineStr">
        <is>
          <t>Versicherungskosten</t>
        </is>
      </c>
      <c r="D2421" s="10" t="inlineStr">
        <is>
          <t>Verwaltungskosten</t>
        </is>
      </c>
      <c r="E2421" s="7" t="n">
        <v>11446.7</v>
      </c>
      <c r="F2421" s="7" t="n">
        <v>137360.42</v>
      </c>
    </row>
    <row r="2422" ht="21" customHeight="1">
      <c r="A2422" s="7" t="n">
        <v>2027</v>
      </c>
      <c r="B2422" s="7" t="n">
        <v>7</v>
      </c>
      <c r="C2422" s="10" t="inlineStr">
        <is>
          <t>Sonstige Steuer</t>
        </is>
      </c>
      <c r="D2422" s="10" t="inlineStr">
        <is>
          <t>Fuhrparkkosten</t>
        </is>
      </c>
      <c r="E2422" s="7" t="n">
        <v>1497.31</v>
      </c>
      <c r="F2422" s="7" t="n">
        <v>17967.71</v>
      </c>
    </row>
    <row r="2423" ht="21" customHeight="1">
      <c r="A2423" s="7" t="n">
        <v>2031</v>
      </c>
      <c r="B2423" s="7" t="n">
        <v>7</v>
      </c>
      <c r="C2423" s="10" t="inlineStr">
        <is>
          <t>Leasing LKW</t>
        </is>
      </c>
      <c r="D2423" s="10" t="inlineStr">
        <is>
          <t>Fuhrparkkosten</t>
        </is>
      </c>
      <c r="E2423" s="7" t="n">
        <v>2910.36</v>
      </c>
      <c r="F2423" s="7" t="n">
        <v>34924.28</v>
      </c>
    </row>
    <row r="2424" ht="21" customHeight="1">
      <c r="A2424" s="7" t="n">
        <v>2029</v>
      </c>
      <c r="B2424" s="7" t="n">
        <v>7</v>
      </c>
      <c r="C2424" s="10" t="inlineStr">
        <is>
          <t>Leasing LKW</t>
        </is>
      </c>
      <c r="D2424" s="10" t="inlineStr">
        <is>
          <t>Fuhrparkkosten</t>
        </is>
      </c>
      <c r="E2424" s="7" t="n">
        <v>2590.21</v>
      </c>
      <c r="F2424" s="7" t="n">
        <v>31082.49</v>
      </c>
    </row>
    <row r="2425" ht="21" customHeight="1">
      <c r="A2425" s="7" t="n">
        <v>2027</v>
      </c>
      <c r="B2425" s="7" t="n">
        <v>7</v>
      </c>
      <c r="C2425" s="10" t="inlineStr">
        <is>
          <t>Instandh.Fuhrp</t>
        </is>
      </c>
      <c r="D2425" s="10" t="inlineStr">
        <is>
          <t>Fuhrparkkosten</t>
        </is>
      </c>
      <c r="E2425" s="7" t="n">
        <v>30358.86</v>
      </c>
      <c r="F2425" s="7" t="n">
        <v>364306.28</v>
      </c>
    </row>
    <row r="2426" ht="21" customHeight="1">
      <c r="A2426" s="7" t="n">
        <v>2029</v>
      </c>
      <c r="B2426" s="7" t="n">
        <v>7</v>
      </c>
      <c r="C2426" s="10" t="inlineStr">
        <is>
          <t>Vertriebskosten</t>
        </is>
      </c>
      <c r="D2426" s="10" t="inlineStr">
        <is>
          <t>Vertriebskosten</t>
        </is>
      </c>
      <c r="E2426" s="7" t="n">
        <v>11943.75</v>
      </c>
      <c r="F2426" s="7" t="n">
        <v>143325</v>
      </c>
    </row>
    <row r="2427" ht="21" customHeight="1">
      <c r="A2427" s="7" t="n">
        <v>2031</v>
      </c>
      <c r="B2427" s="7" t="n">
        <v>7</v>
      </c>
      <c r="C2427" s="10" t="inlineStr">
        <is>
          <t>Miete Grdst/Gebäud</t>
        </is>
      </c>
      <c r="D2427" s="10" t="inlineStr">
        <is>
          <t>Raumkosten</t>
        </is>
      </c>
      <c r="E2427" s="7" t="n">
        <v>18975.39</v>
      </c>
      <c r="F2427" s="7" t="n">
        <v>227704.65</v>
      </c>
    </row>
    <row r="2428" ht="21" customHeight="1">
      <c r="A2428" s="7" t="n">
        <v>2029</v>
      </c>
      <c r="B2428" s="7" t="n">
        <v>7</v>
      </c>
      <c r="C2428" s="10" t="inlineStr">
        <is>
          <t>Uebr.neutr. Ert</t>
        </is>
      </c>
      <c r="D2428" s="10" t="inlineStr">
        <is>
          <t>Gesamtleistung</t>
        </is>
      </c>
      <c r="E2428" s="7" t="n">
        <v>189.9</v>
      </c>
      <c r="F2428" s="7" t="n">
        <v>2278.85</v>
      </c>
    </row>
    <row r="2429" ht="21" customHeight="1">
      <c r="A2429" s="7" t="n">
        <v>2030</v>
      </c>
      <c r="B2429" s="7" t="n">
        <v>7</v>
      </c>
      <c r="C2429" s="10" t="inlineStr">
        <is>
          <t>Behaelterkosten</t>
        </is>
      </c>
      <c r="D2429" s="10" t="inlineStr">
        <is>
          <t>Instandh. Betriebsausstattung</t>
        </is>
      </c>
      <c r="E2429" s="7" t="n">
        <v>12.75</v>
      </c>
      <c r="F2429" s="7" t="n">
        <v>153.03</v>
      </c>
    </row>
    <row r="2430" ht="21" customHeight="1">
      <c r="A2430" s="7" t="n">
        <v>2029</v>
      </c>
      <c r="B2430" s="7" t="n">
        <v>7</v>
      </c>
      <c r="C2430" s="10" t="inlineStr">
        <is>
          <t>IT-Aufwendungen</t>
        </is>
      </c>
      <c r="D2430" s="10" t="inlineStr">
        <is>
          <t>Verwaltungskosten</t>
        </is>
      </c>
      <c r="E2430" s="7" t="n">
        <v>12302.44</v>
      </c>
      <c r="F2430" s="7" t="n">
        <v>147629.28</v>
      </c>
    </row>
    <row r="2431" ht="21" customHeight="1">
      <c r="A2431" s="7" t="n">
        <v>2028</v>
      </c>
      <c r="B2431" s="7" t="n">
        <v>7</v>
      </c>
      <c r="C2431" s="10" t="inlineStr">
        <is>
          <t>Instandh. BGA</t>
        </is>
      </c>
      <c r="D2431" s="10" t="inlineStr">
        <is>
          <t>Instandh. Betriebsausstattung</t>
        </is>
      </c>
      <c r="E2431" s="7" t="n">
        <v>4426.85</v>
      </c>
      <c r="F2431" s="7" t="n">
        <v>53122.2</v>
      </c>
    </row>
    <row r="2432" ht="21" customHeight="1">
      <c r="A2432" s="7" t="n">
        <v>2029</v>
      </c>
      <c r="B2432" s="7" t="n">
        <v>7</v>
      </c>
      <c r="C2432" s="10" t="inlineStr">
        <is>
          <t>Instandh.Fuhrp</t>
        </is>
      </c>
      <c r="D2432" s="10" t="inlineStr">
        <is>
          <t>Fuhrparkkosten</t>
        </is>
      </c>
      <c r="E2432" s="7" t="n">
        <v>34111.21</v>
      </c>
      <c r="F2432" s="7" t="n">
        <v>409334.56</v>
      </c>
    </row>
    <row r="2433" ht="21" customHeight="1">
      <c r="A2433" s="7" t="n">
        <v>2031</v>
      </c>
      <c r="B2433" s="7" t="n">
        <v>7</v>
      </c>
      <c r="C2433" s="10" t="inlineStr">
        <is>
          <t>Rechts- u. Beratungs</t>
        </is>
      </c>
      <c r="D2433" s="10" t="inlineStr">
        <is>
          <t>Verwaltungskosten</t>
        </is>
      </c>
      <c r="E2433" s="7" t="n">
        <v>28853.53</v>
      </c>
      <c r="F2433" s="7" t="n">
        <v>346242.38</v>
      </c>
    </row>
    <row r="2434" ht="21" customHeight="1">
      <c r="A2434" s="7" t="n">
        <v>2029</v>
      </c>
      <c r="B2434" s="7" t="n">
        <v>7</v>
      </c>
      <c r="C2434" s="10" t="inlineStr">
        <is>
          <t>Ertrag KFZ-Nutz</t>
        </is>
      </c>
      <c r="D2434" s="10" t="inlineStr">
        <is>
          <t>Gesamtleistung</t>
        </is>
      </c>
      <c r="E2434" s="7" t="n">
        <v>8815.82</v>
      </c>
      <c r="F2434" s="7" t="n">
        <v>105789.86</v>
      </c>
    </row>
    <row r="2435" ht="21" customHeight="1">
      <c r="A2435" s="7" t="n">
        <v>2030</v>
      </c>
      <c r="B2435" s="7" t="n">
        <v>7</v>
      </c>
      <c r="C2435" s="10" t="inlineStr">
        <is>
          <t>Ertr. weiterber</t>
        </is>
      </c>
      <c r="D2435" s="10" t="inlineStr">
        <is>
          <t>Gesamtleistung</t>
        </is>
      </c>
      <c r="E2435" s="7" t="n">
        <v>1104.47</v>
      </c>
      <c r="F2435" s="7" t="n">
        <v>13253.67</v>
      </c>
    </row>
    <row r="2436" ht="21" customHeight="1">
      <c r="A2436" s="7" t="n">
        <v>2028</v>
      </c>
      <c r="B2436" s="7" t="n">
        <v>7</v>
      </c>
      <c r="C2436" s="10" t="inlineStr">
        <is>
          <t>Leasing PKW</t>
        </is>
      </c>
      <c r="D2436" s="10" t="inlineStr">
        <is>
          <t>Fuhrparkkosten</t>
        </is>
      </c>
      <c r="E2436" s="7" t="n">
        <v>23256.85</v>
      </c>
      <c r="F2436" s="7" t="n">
        <v>279082.22</v>
      </c>
    </row>
    <row r="2437" ht="21" customHeight="1">
      <c r="A2437" s="7" t="n">
        <v>2028</v>
      </c>
      <c r="B2437" s="7" t="n">
        <v>7</v>
      </c>
      <c r="C2437" s="10" t="inlineStr">
        <is>
          <t>Treibstoffe, Oe</t>
        </is>
      </c>
      <c r="D2437" s="10" t="inlineStr">
        <is>
          <t>Fuhrparkkosten</t>
        </is>
      </c>
      <c r="E2437" s="7" t="n">
        <v>30417.62</v>
      </c>
      <c r="F2437" s="7" t="n">
        <v>365011.49</v>
      </c>
    </row>
    <row r="2438" ht="21" customHeight="1">
      <c r="A2438" s="7" t="n">
        <v>2029</v>
      </c>
      <c r="B2438" s="7" t="n">
        <v>7</v>
      </c>
      <c r="C2438" s="10" t="inlineStr">
        <is>
          <t>Miete PKW</t>
        </is>
      </c>
      <c r="D2438" s="10" t="inlineStr">
        <is>
          <t>Fuhrparkkosten</t>
        </is>
      </c>
      <c r="E2438" s="7" t="n">
        <v>5184.06</v>
      </c>
      <c r="F2438" s="7" t="n">
        <v>62208.67</v>
      </c>
    </row>
    <row r="2439" ht="21" customHeight="1">
      <c r="A2439" s="7" t="n">
        <v>2028</v>
      </c>
      <c r="B2439" s="7" t="n">
        <v>7</v>
      </c>
      <c r="C2439" s="10" t="inlineStr">
        <is>
          <t>Ertr. weiterber</t>
        </is>
      </c>
      <c r="D2439" s="10" t="inlineStr">
        <is>
          <t>Gesamtleistung</t>
        </is>
      </c>
      <c r="E2439" s="7" t="n">
        <v>980.91</v>
      </c>
      <c r="F2439" s="7" t="n">
        <v>11770.87</v>
      </c>
    </row>
    <row r="2440" ht="21" customHeight="1">
      <c r="A2440" s="7" t="n">
        <v>2029</v>
      </c>
      <c r="B2440" s="7" t="n">
        <v>7</v>
      </c>
      <c r="C2440" s="10" t="inlineStr">
        <is>
          <t>Instandh. BGA</t>
        </is>
      </c>
      <c r="D2440" s="10" t="inlineStr">
        <is>
          <t>Instandh. Betriebsausstattung</t>
        </is>
      </c>
      <c r="E2440" s="7" t="n">
        <v>4648.19</v>
      </c>
      <c r="F2440" s="7" t="n">
        <v>55778.31</v>
      </c>
    </row>
    <row r="2441" ht="21" customHeight="1">
      <c r="A2441" s="7" t="n">
        <v>2028</v>
      </c>
      <c r="B2441" s="7" t="n">
        <v>7</v>
      </c>
      <c r="C2441" s="10" t="inlineStr">
        <is>
          <t>Erl. so. DL Dt.</t>
        </is>
      </c>
      <c r="D2441" s="10" t="inlineStr">
        <is>
          <t>Gesamtleistung</t>
        </is>
      </c>
      <c r="E2441" s="7" t="n">
        <v>2095866.37</v>
      </c>
      <c r="F2441" s="7" t="n">
        <v>25150396.49</v>
      </c>
    </row>
    <row r="2442" ht="21" customHeight="1">
      <c r="A2442" s="7" t="n">
        <v>2028</v>
      </c>
      <c r="B2442" s="7" t="n">
        <v>7</v>
      </c>
      <c r="C2442" s="10" t="inlineStr">
        <is>
          <t>IT-Aufwendungen</t>
        </is>
      </c>
      <c r="D2442" s="10" t="inlineStr">
        <is>
          <t>Verwaltungskosten</t>
        </is>
      </c>
      <c r="E2442" s="7" t="n">
        <v>11944.12</v>
      </c>
      <c r="F2442" s="7" t="n">
        <v>143329.39</v>
      </c>
    </row>
    <row r="2443" ht="21" customHeight="1">
      <c r="A2443" s="7" t="n">
        <v>2029</v>
      </c>
      <c r="B2443" s="7" t="n">
        <v>7</v>
      </c>
      <c r="C2443" s="10" t="inlineStr">
        <is>
          <t>Ueb. bezog.Leis</t>
        </is>
      </c>
      <c r="D2443" s="10" t="inlineStr">
        <is>
          <t>Vorleistungen</t>
        </is>
      </c>
      <c r="E2443" s="7" t="n">
        <v>1364260.58</v>
      </c>
      <c r="F2443" s="7" t="n">
        <v>16371126.93</v>
      </c>
    </row>
    <row r="2444" ht="21" customHeight="1">
      <c r="A2444" s="7" t="n">
        <v>2031</v>
      </c>
      <c r="B2444" s="7" t="n">
        <v>7</v>
      </c>
      <c r="C2444" s="10" t="inlineStr">
        <is>
          <t>Sonderz. Prämie</t>
        </is>
      </c>
      <c r="D2444" s="10" t="inlineStr">
        <is>
          <t>Personalaufwand</t>
        </is>
      </c>
      <c r="E2444" s="7" t="n">
        <v>26838.18</v>
      </c>
      <c r="F2444" s="7" t="n">
        <v>322058.2</v>
      </c>
    </row>
    <row r="2445" ht="21" customHeight="1">
      <c r="A2445" s="7" t="n">
        <v>2029</v>
      </c>
      <c r="B2445" s="7" t="n">
        <v>7</v>
      </c>
      <c r="C2445" s="10" t="inlineStr">
        <is>
          <t>Verwaltungskost</t>
        </is>
      </c>
      <c r="D2445" s="10" t="inlineStr">
        <is>
          <t>Verwaltungskosten</t>
        </is>
      </c>
      <c r="E2445" s="7" t="n">
        <v>7098.98</v>
      </c>
      <c r="F2445" s="7" t="n">
        <v>85187.74000000001</v>
      </c>
    </row>
    <row r="2446" ht="21" customHeight="1">
      <c r="A2446" s="7" t="n">
        <v>2028</v>
      </c>
      <c r="B2446" s="7" t="n">
        <v>7</v>
      </c>
      <c r="C2446" s="10" t="inlineStr">
        <is>
          <t>Ertrag KFZ-Nutz</t>
        </is>
      </c>
      <c r="D2446" s="10" t="inlineStr">
        <is>
          <t>Gesamtleistung</t>
        </is>
      </c>
      <c r="E2446" s="7" t="n">
        <v>8405.780000000001</v>
      </c>
      <c r="F2446" s="7" t="n">
        <v>100869.3</v>
      </c>
    </row>
    <row r="2447" ht="21" customHeight="1">
      <c r="A2447" s="7" t="n">
        <v>2030</v>
      </c>
      <c r="B2447" s="7" t="n">
        <v>7</v>
      </c>
      <c r="C2447" s="10" t="inlineStr">
        <is>
          <t>Sonst Fuhrparkkosten</t>
        </is>
      </c>
      <c r="D2447" s="10" t="inlineStr">
        <is>
          <t>Fuhrparkkosten</t>
        </is>
      </c>
      <c r="E2447" s="7" t="n">
        <v>5942.26</v>
      </c>
      <c r="F2447" s="7" t="n">
        <v>71307.13</v>
      </c>
    </row>
    <row r="2448" ht="21" customHeight="1">
      <c r="A2448" s="7" t="n">
        <v>2028</v>
      </c>
      <c r="B2448" s="7" t="n">
        <v>7</v>
      </c>
      <c r="C2448" s="10" t="inlineStr">
        <is>
          <t>Rechts- u. Beratungs</t>
        </is>
      </c>
      <c r="D2448" s="10" t="inlineStr">
        <is>
          <t>Verwaltungskosten</t>
        </is>
      </c>
      <c r="E2448" s="7" t="n">
        <v>26405.07</v>
      </c>
      <c r="F2448" s="7" t="n">
        <v>316860.83</v>
      </c>
    </row>
    <row r="2449" ht="21" customHeight="1">
      <c r="A2449" s="7" t="n">
        <v>2027</v>
      </c>
      <c r="B2449" s="7" t="n">
        <v>7</v>
      </c>
      <c r="C2449" s="10" t="inlineStr">
        <is>
          <t>Leasing LKW</t>
        </is>
      </c>
      <c r="D2449" s="10" t="inlineStr">
        <is>
          <t>Fuhrparkkosten</t>
        </is>
      </c>
      <c r="E2449" s="7" t="n">
        <v>2305.28</v>
      </c>
      <c r="F2449" s="7" t="n">
        <v>27663.3</v>
      </c>
    </row>
    <row r="2450" ht="21" customHeight="1">
      <c r="A2450" s="7" t="n">
        <v>2031</v>
      </c>
      <c r="B2450" s="7" t="n">
        <v>7</v>
      </c>
      <c r="C2450" s="10" t="inlineStr">
        <is>
          <t>Fremdl. Fuhrlei</t>
        </is>
      </c>
      <c r="D2450" s="10" t="inlineStr">
        <is>
          <t>Vorleistungen</t>
        </is>
      </c>
      <c r="E2450" s="7" t="n">
        <v>374.24</v>
      </c>
      <c r="F2450" s="7" t="n">
        <v>4490.84</v>
      </c>
    </row>
    <row r="2451" ht="21" customHeight="1">
      <c r="A2451" s="7" t="n">
        <v>2029</v>
      </c>
      <c r="B2451" s="7" t="n">
        <v>7</v>
      </c>
      <c r="C2451" s="10" t="inlineStr">
        <is>
          <t>Fremdl. Fuhrlei</t>
        </is>
      </c>
      <c r="D2451" s="10" t="inlineStr">
        <is>
          <t>Vorleistungen</t>
        </is>
      </c>
      <c r="E2451" s="7" t="n">
        <v>362.07</v>
      </c>
      <c r="F2451" s="7" t="n">
        <v>4344.88</v>
      </c>
    </row>
    <row r="2452" ht="21" customHeight="1">
      <c r="A2452" s="7" t="n">
        <v>2028</v>
      </c>
      <c r="B2452" s="7" t="n">
        <v>7</v>
      </c>
      <c r="C2452" s="10" t="inlineStr">
        <is>
          <t>Vertriebskosten</t>
        </is>
      </c>
      <c r="D2452" s="10" t="inlineStr">
        <is>
          <t>Vertriebskosten</t>
        </is>
      </c>
      <c r="E2452" s="7" t="n">
        <v>11375</v>
      </c>
      <c r="F2452" s="7" t="n">
        <v>136500</v>
      </c>
    </row>
    <row r="2453" ht="21" customHeight="1">
      <c r="A2453" s="7" t="n">
        <v>2031</v>
      </c>
      <c r="B2453" s="7" t="n">
        <v>7</v>
      </c>
      <c r="C2453" s="10" t="inlineStr">
        <is>
          <t>Aufw. so. Hilfs</t>
        </is>
      </c>
      <c r="D2453" s="10" t="inlineStr">
        <is>
          <t>Vorleistungen</t>
        </is>
      </c>
      <c r="E2453" s="7" t="n">
        <v>-17544.22</v>
      </c>
      <c r="F2453" s="7" t="n">
        <v>-210530.6</v>
      </c>
    </row>
    <row r="2454" ht="21" customHeight="1">
      <c r="A2454" s="7" t="n">
        <v>2029</v>
      </c>
      <c r="B2454" s="7" t="n">
        <v>7</v>
      </c>
      <c r="C2454" s="10" t="inlineStr">
        <is>
          <t>Ankauf Rohstoff</t>
        </is>
      </c>
      <c r="D2454" s="10" t="inlineStr">
        <is>
          <t>Vorleistungen</t>
        </is>
      </c>
      <c r="E2454" s="7" t="n">
        <v>1473.64</v>
      </c>
      <c r="F2454" s="7" t="n">
        <v>17683.65</v>
      </c>
    </row>
    <row r="2455" ht="21" customHeight="1">
      <c r="A2455" s="7" t="n">
        <v>2028</v>
      </c>
      <c r="B2455" s="7" t="n">
        <v>7</v>
      </c>
      <c r="C2455" s="10" t="inlineStr">
        <is>
          <t>Sonstige Steuer</t>
        </is>
      </c>
      <c r="D2455" s="10" t="inlineStr">
        <is>
          <t>Fuhrparkkosten</t>
        </is>
      </c>
      <c r="E2455" s="7" t="n">
        <v>1587.15</v>
      </c>
      <c r="F2455" s="7" t="n">
        <v>19045.76</v>
      </c>
    </row>
    <row r="2456" ht="21" customHeight="1">
      <c r="A2456" s="7" t="n">
        <v>2030</v>
      </c>
      <c r="B2456" s="7" t="n">
        <v>7</v>
      </c>
      <c r="C2456" s="10" t="inlineStr">
        <is>
          <t>Weiterber. Frem</t>
        </is>
      </c>
      <c r="D2456" s="10" t="inlineStr">
        <is>
          <t>Vorleistungen</t>
        </is>
      </c>
      <c r="E2456" s="7" t="n">
        <v>0</v>
      </c>
      <c r="F2456" s="7" t="n">
        <v>0</v>
      </c>
    </row>
    <row r="2457" ht="21" customHeight="1">
      <c r="A2457" s="7" t="n">
        <v>2031</v>
      </c>
      <c r="B2457" s="7" t="n">
        <v>7</v>
      </c>
      <c r="C2457" s="10" t="inlineStr">
        <is>
          <t>Miete Behälter</t>
        </is>
      </c>
      <c r="D2457" s="10" t="inlineStr">
        <is>
          <t>Instandh. Betriebsausstattung</t>
        </is>
      </c>
      <c r="E2457" s="7" t="n">
        <v>27.88</v>
      </c>
      <c r="F2457" s="7" t="n">
        <v>334.55</v>
      </c>
    </row>
    <row r="2458" ht="21" customHeight="1">
      <c r="A2458" s="7" t="n">
        <v>2027</v>
      </c>
      <c r="B2458" s="7" t="n">
        <v>7</v>
      </c>
      <c r="C2458" s="10" t="inlineStr">
        <is>
          <t>Miete Grdst/Gebäud</t>
        </is>
      </c>
      <c r="D2458" s="10" t="inlineStr">
        <is>
          <t>Raumkosten</t>
        </is>
      </c>
      <c r="E2458" s="7" t="n">
        <v>15284.77</v>
      </c>
      <c r="F2458" s="7" t="n">
        <v>183417.26</v>
      </c>
    </row>
    <row r="2459" ht="21" customHeight="1">
      <c r="A2459" s="7" t="n">
        <v>2028</v>
      </c>
      <c r="B2459" s="7" t="n">
        <v>7</v>
      </c>
      <c r="C2459" s="10" t="inlineStr">
        <is>
          <t>Aufw. f. Alters</t>
        </is>
      </c>
      <c r="D2459" s="10" t="inlineStr">
        <is>
          <t>Personalaufwand</t>
        </is>
      </c>
      <c r="E2459" s="7" t="n">
        <v>1290.05</v>
      </c>
      <c r="F2459" s="7" t="n">
        <v>15480.56</v>
      </c>
    </row>
    <row r="2460" ht="21" customHeight="1">
      <c r="A2460" s="7" t="n">
        <v>2028</v>
      </c>
      <c r="B2460" s="7" t="n">
        <v>7</v>
      </c>
      <c r="C2460" s="10" t="inlineStr">
        <is>
          <t>Fremdl. Persona</t>
        </is>
      </c>
      <c r="D2460" s="10" t="inlineStr">
        <is>
          <t>Vorleistungen</t>
        </is>
      </c>
      <c r="E2460" s="7" t="n">
        <v>69.04000000000001</v>
      </c>
      <c r="F2460" s="7" t="n">
        <v>828.42</v>
      </c>
    </row>
    <row r="2461" ht="21" customHeight="1">
      <c r="A2461" s="7" t="n">
        <v>2030</v>
      </c>
      <c r="B2461" s="7" t="n">
        <v>7</v>
      </c>
      <c r="C2461" s="10" t="inlineStr">
        <is>
          <t>Vertriebskosten</t>
        </is>
      </c>
      <c r="D2461" s="10" t="inlineStr">
        <is>
          <t>Vertriebskosten</t>
        </is>
      </c>
      <c r="E2461" s="7" t="n">
        <v>12540.94</v>
      </c>
      <c r="F2461" s="7" t="n">
        <v>150491.26</v>
      </c>
    </row>
    <row r="2462" ht="21" customHeight="1">
      <c r="A2462" s="7" t="n">
        <v>2030</v>
      </c>
      <c r="B2462" s="7" t="n">
        <v>7</v>
      </c>
      <c r="C2462" s="10" t="inlineStr">
        <is>
          <t>Aufw. so. Hilfs</t>
        </is>
      </c>
      <c r="D2462" s="10" t="inlineStr">
        <is>
          <t>Vorleistungen</t>
        </is>
      </c>
      <c r="E2462" s="7" t="n">
        <v>-17197.35</v>
      </c>
      <c r="F2462" s="7" t="n">
        <v>-206368.2</v>
      </c>
    </row>
    <row r="2463" ht="21" customHeight="1">
      <c r="A2463" s="7" t="n">
        <v>2029</v>
      </c>
      <c r="B2463" s="7" t="n">
        <v>7</v>
      </c>
      <c r="C2463" s="10" t="inlineStr">
        <is>
          <t>Aufw. so. Hilfs</t>
        </is>
      </c>
      <c r="D2463" s="10" t="inlineStr">
        <is>
          <t>Vorleistungen</t>
        </is>
      </c>
      <c r="E2463" s="7" t="n">
        <v>-16834.66</v>
      </c>
      <c r="F2463" s="7" t="n">
        <v>-202015.88</v>
      </c>
    </row>
    <row r="2464" ht="21" customHeight="1">
      <c r="A2464" s="7" t="n">
        <v>2027</v>
      </c>
      <c r="B2464" s="7" t="n">
        <v>7</v>
      </c>
      <c r="C2464" s="10" t="inlineStr">
        <is>
          <t>Miete PKW</t>
        </is>
      </c>
      <c r="D2464" s="10" t="inlineStr">
        <is>
          <t>Fuhrparkkosten</t>
        </is>
      </c>
      <c r="E2464" s="7" t="n">
        <v>4613.79</v>
      </c>
      <c r="F2464" s="7" t="n">
        <v>55365.51</v>
      </c>
    </row>
    <row r="2465" ht="21" customHeight="1">
      <c r="A2465" s="7" t="n">
        <v>2030</v>
      </c>
      <c r="B2465" s="7" t="n">
        <v>7</v>
      </c>
      <c r="C2465" s="10" t="inlineStr">
        <is>
          <t>Fremdl. Fuhrlei</t>
        </is>
      </c>
      <c r="D2465" s="10" t="inlineStr">
        <is>
          <t>Vorleistungen</t>
        </is>
      </c>
      <c r="E2465" s="7" t="n">
        <v>368.3</v>
      </c>
      <c r="F2465" s="7" t="n">
        <v>4419.56</v>
      </c>
    </row>
    <row r="2466" ht="21" customHeight="1">
      <c r="A2466" s="7" t="n">
        <v>2030</v>
      </c>
      <c r="B2466" s="7" t="n">
        <v>7</v>
      </c>
      <c r="C2466" s="10" t="inlineStr">
        <is>
          <t>Miete PKW</t>
        </is>
      </c>
      <c r="D2466" s="10" t="inlineStr">
        <is>
          <t>Fuhrparkkosten</t>
        </is>
      </c>
      <c r="E2466" s="7" t="n">
        <v>5495.1</v>
      </c>
      <c r="F2466" s="7" t="n">
        <v>65941.19</v>
      </c>
    </row>
    <row r="2467" ht="21" customHeight="1">
      <c r="A2467" s="7" t="n">
        <v>2027</v>
      </c>
      <c r="B2467" s="7" t="n">
        <v>7</v>
      </c>
      <c r="C2467" s="10" t="inlineStr">
        <is>
          <t>Erl. Waren Dt.</t>
        </is>
      </c>
      <c r="D2467" s="10" t="inlineStr">
        <is>
          <t>Gesamtleistung</t>
        </is>
      </c>
      <c r="E2467" s="7" t="n">
        <v>42246.46</v>
      </c>
      <c r="F2467" s="7" t="n">
        <v>506957.51</v>
      </c>
    </row>
    <row r="2468" ht="21" customHeight="1">
      <c r="A2468" s="7" t="n">
        <v>2029</v>
      </c>
      <c r="B2468" s="7" t="n">
        <v>7</v>
      </c>
      <c r="C2468" s="10" t="inlineStr">
        <is>
          <t>Bestandsveraend</t>
        </is>
      </c>
      <c r="D2468" s="10" t="inlineStr">
        <is>
          <t>Gesamtleistung</t>
        </is>
      </c>
      <c r="E2468" s="7" t="n">
        <v>0</v>
      </c>
      <c r="F2468" s="7" t="n">
        <v>0</v>
      </c>
    </row>
    <row r="2469" ht="21" customHeight="1">
      <c r="A2469" s="7" t="n">
        <v>2031</v>
      </c>
      <c r="B2469" s="7" t="n">
        <v>7</v>
      </c>
      <c r="C2469" s="10" t="inlineStr">
        <is>
          <t>Leasing PKW</t>
        </is>
      </c>
      <c r="D2469" s="10" t="inlineStr">
        <is>
          <t>Fuhrparkkosten</t>
        </is>
      </c>
      <c r="E2469" s="7" t="n">
        <v>27699.28</v>
      </c>
      <c r="F2469" s="7" t="n">
        <v>332391.4</v>
      </c>
    </row>
    <row r="2470" ht="21" customHeight="1">
      <c r="A2470" s="7" t="n">
        <v>2029</v>
      </c>
      <c r="B2470" s="7" t="n">
        <v>7</v>
      </c>
      <c r="C2470" s="10" t="inlineStr">
        <is>
          <t>Behaelterkosten</t>
        </is>
      </c>
      <c r="D2470" s="10" t="inlineStr">
        <is>
          <t>Instandh. Betriebsausstattung</t>
        </is>
      </c>
      <c r="E2470" s="7" t="n">
        <v>12.15</v>
      </c>
      <c r="F2470" s="7" t="n">
        <v>145.74</v>
      </c>
    </row>
    <row r="2471" ht="21" customHeight="1">
      <c r="A2471" s="7" t="n">
        <v>2029</v>
      </c>
      <c r="B2471" s="7" t="n">
        <v>7</v>
      </c>
      <c r="C2471" s="10" t="inlineStr">
        <is>
          <t>Aufwand Umlage</t>
        </is>
      </c>
      <c r="D2471" s="10" t="inlineStr">
        <is>
          <t>Verwaltungskosten</t>
        </is>
      </c>
      <c r="E2471" s="7" t="n">
        <v>3589.28</v>
      </c>
      <c r="F2471" s="7" t="n">
        <v>43071.39</v>
      </c>
    </row>
    <row r="2472" ht="21" customHeight="1">
      <c r="A2472" s="7" t="n">
        <v>2030</v>
      </c>
      <c r="B2472" s="7" t="n">
        <v>7</v>
      </c>
      <c r="C2472" s="10" t="inlineStr">
        <is>
          <t>Instandh.Fuhrp</t>
        </is>
      </c>
      <c r="D2472" s="10" t="inlineStr">
        <is>
          <t>Fuhrparkkosten</t>
        </is>
      </c>
      <c r="E2472" s="7" t="n">
        <v>36157.89</v>
      </c>
      <c r="F2472" s="7" t="n">
        <v>433894.62</v>
      </c>
    </row>
    <row r="2473" ht="21" customHeight="1">
      <c r="A2473" s="7" t="n">
        <v>2028</v>
      </c>
      <c r="B2473" s="7" t="n">
        <v>7</v>
      </c>
      <c r="C2473" s="10" t="inlineStr">
        <is>
          <t>Sonderz. Prämie</t>
        </is>
      </c>
      <c r="D2473" s="10" t="inlineStr">
        <is>
          <t>Personalaufwand</t>
        </is>
      </c>
      <c r="E2473" s="7" t="n">
        <v>21386.26</v>
      </c>
      <c r="F2473" s="7" t="n">
        <v>256635.15</v>
      </c>
    </row>
    <row r="2474" ht="21" customHeight="1">
      <c r="A2474" s="7" t="n">
        <v>2029</v>
      </c>
      <c r="B2474" s="7" t="n">
        <v>7</v>
      </c>
      <c r="C2474" s="10" t="inlineStr">
        <is>
          <t>Aufw. f. Alters</t>
        </is>
      </c>
      <c r="D2474" s="10" t="inlineStr">
        <is>
          <t>Personalaufwand</t>
        </is>
      </c>
      <c r="E2474" s="7" t="n">
        <v>1366.43</v>
      </c>
      <c r="F2474" s="7" t="n">
        <v>16397.15</v>
      </c>
    </row>
    <row r="2475" ht="21" customHeight="1">
      <c r="A2475" s="7" t="n">
        <v>2027</v>
      </c>
      <c r="B2475" s="7" t="n">
        <v>7</v>
      </c>
      <c r="C2475" s="10" t="inlineStr">
        <is>
          <t>Ertr. weiterber</t>
        </is>
      </c>
      <c r="D2475" s="10" t="inlineStr">
        <is>
          <t>Gesamtleistung</t>
        </is>
      </c>
      <c r="E2475" s="7" t="n">
        <v>919.41</v>
      </c>
      <c r="F2475" s="7" t="n">
        <v>11032.96</v>
      </c>
    </row>
    <row r="2476" ht="21" customHeight="1">
      <c r="A2476" s="7" t="n">
        <v>2029</v>
      </c>
      <c r="B2476" s="7" t="n">
        <v>7</v>
      </c>
      <c r="C2476" s="10" t="inlineStr">
        <is>
          <t>So. betr. Aufwa</t>
        </is>
      </c>
      <c r="D2476" s="10" t="inlineStr">
        <is>
          <t>Verwaltungskosten</t>
        </is>
      </c>
      <c r="E2476" s="7" t="n">
        <v>693.25</v>
      </c>
      <c r="F2476" s="7" t="n">
        <v>8319.02</v>
      </c>
    </row>
    <row r="2477" ht="21" customHeight="1">
      <c r="A2477" s="7" t="n">
        <v>2031</v>
      </c>
      <c r="B2477" s="7" t="n">
        <v>7</v>
      </c>
      <c r="C2477" s="10" t="inlineStr">
        <is>
          <t>Ertr. weiterber</t>
        </is>
      </c>
      <c r="D2477" s="10" t="inlineStr">
        <is>
          <t>Gesamtleistung</t>
        </is>
      </c>
      <c r="E2477" s="7" t="n">
        <v>1173.93</v>
      </c>
      <c r="F2477" s="7" t="n">
        <v>14087.11</v>
      </c>
    </row>
    <row r="2478" ht="21" customHeight="1">
      <c r="A2478" s="7" t="n">
        <v>2031</v>
      </c>
      <c r="B2478" s="7" t="n">
        <v>7</v>
      </c>
      <c r="C2478" s="10" t="inlineStr">
        <is>
          <t>Ueb. bezog.Leis</t>
        </is>
      </c>
      <c r="D2478" s="10" t="inlineStr">
        <is>
          <t>Vorleistungen</t>
        </is>
      </c>
      <c r="E2478" s="7" t="n">
        <v>1404446.73</v>
      </c>
      <c r="F2478" s="7" t="n">
        <v>16853360.74</v>
      </c>
    </row>
    <row r="2479" ht="21" customHeight="1">
      <c r="A2479" s="7" t="n">
        <v>2027</v>
      </c>
      <c r="B2479" s="7" t="n">
        <v>7</v>
      </c>
      <c r="C2479" s="10" t="inlineStr">
        <is>
          <t>Fremdl. Fuhrlei</t>
        </is>
      </c>
      <c r="D2479" s="10" t="inlineStr">
        <is>
          <t>Vorleistungen</t>
        </is>
      </c>
      <c r="E2479" s="7" t="n">
        <v>371.09</v>
      </c>
      <c r="F2479" s="7" t="n">
        <v>4453.13</v>
      </c>
    </row>
    <row r="2480" ht="21" customHeight="1">
      <c r="A2480" s="7" t="n">
        <v>2027</v>
      </c>
      <c r="B2480" s="7" t="n">
        <v>7</v>
      </c>
      <c r="C2480" s="10" t="inlineStr">
        <is>
          <t>Behaelterkosten</t>
        </is>
      </c>
      <c r="D2480" s="10" t="inlineStr">
        <is>
          <t>Instandh. Betriebsausstattung</t>
        </is>
      </c>
      <c r="E2480" s="7" t="n">
        <v>11.02</v>
      </c>
      <c r="F2480" s="7" t="n">
        <v>132.19</v>
      </c>
    </row>
    <row r="2481" ht="21" customHeight="1">
      <c r="A2481" s="7" t="n">
        <v>2027</v>
      </c>
      <c r="B2481" s="7" t="n">
        <v>7</v>
      </c>
      <c r="C2481" s="10" t="inlineStr">
        <is>
          <t>Ueb Lohn-Gehalt</t>
        </is>
      </c>
      <c r="D2481" s="10" t="inlineStr">
        <is>
          <t>Personalaufwand</t>
        </is>
      </c>
      <c r="E2481" s="7" t="n">
        <v>30579.25</v>
      </c>
      <c r="F2481" s="7" t="n">
        <v>366951</v>
      </c>
    </row>
    <row r="2482" ht="21" customHeight="1">
      <c r="A2482" s="7" t="n">
        <v>2028</v>
      </c>
      <c r="B2482" s="7" t="n">
        <v>7</v>
      </c>
      <c r="C2482" s="10" t="inlineStr">
        <is>
          <t>Raumkosten</t>
        </is>
      </c>
      <c r="D2482" s="10" t="inlineStr">
        <is>
          <t>Raumkosten</t>
        </is>
      </c>
      <c r="E2482" s="7" t="n">
        <v>7023.98</v>
      </c>
      <c r="F2482" s="7" t="n">
        <v>84287.78</v>
      </c>
    </row>
    <row r="2483" ht="21" customHeight="1">
      <c r="A2483" s="7" t="n">
        <v>2031</v>
      </c>
      <c r="B2483" s="7" t="n">
        <v>7</v>
      </c>
      <c r="C2483" s="10" t="inlineStr">
        <is>
          <t>Bestandsveraend</t>
        </is>
      </c>
      <c r="D2483" s="10" t="inlineStr">
        <is>
          <t>Gesamtleistung</t>
        </is>
      </c>
      <c r="E2483" s="7" t="n">
        <v>0</v>
      </c>
      <c r="F2483" s="7" t="n">
        <v>0</v>
      </c>
    </row>
    <row r="2484" ht="21" customHeight="1">
      <c r="A2484" s="7" t="n">
        <v>2029</v>
      </c>
      <c r="B2484" s="7" t="n">
        <v>7</v>
      </c>
      <c r="C2484" s="10" t="inlineStr">
        <is>
          <t>Lohn + Gehalt</t>
        </is>
      </c>
      <c r="D2484" s="10" t="inlineStr">
        <is>
          <t>Personalaufwand</t>
        </is>
      </c>
      <c r="E2484" s="7" t="n">
        <v>356250.11</v>
      </c>
      <c r="F2484" s="7" t="n">
        <v>4275001.35</v>
      </c>
    </row>
    <row r="2485" ht="21" customHeight="1">
      <c r="A2485" s="7" t="n">
        <v>2029</v>
      </c>
      <c r="B2485" s="7" t="n">
        <v>7</v>
      </c>
      <c r="C2485" s="10" t="inlineStr">
        <is>
          <t>Aufw. Heizmat.</t>
        </is>
      </c>
      <c r="D2485" s="10" t="inlineStr">
        <is>
          <t>Vorleistungen</t>
        </is>
      </c>
      <c r="E2485" s="7" t="n">
        <v>245.07</v>
      </c>
      <c r="F2485" s="7" t="n">
        <v>2940.88</v>
      </c>
    </row>
    <row r="2486" ht="21" customHeight="1">
      <c r="A2486" s="7" t="n">
        <v>2031</v>
      </c>
      <c r="B2486" s="7" t="n">
        <v>7</v>
      </c>
      <c r="C2486" s="10" t="inlineStr">
        <is>
          <t>Verwaltungskost</t>
        </is>
      </c>
      <c r="D2486" s="10" t="inlineStr">
        <is>
          <t>Verwaltungskosten</t>
        </is>
      </c>
      <c r="E2486" s="7" t="n">
        <v>7531.31</v>
      </c>
      <c r="F2486" s="7" t="n">
        <v>90375.69</v>
      </c>
    </row>
    <row r="2487" ht="21" customHeight="1">
      <c r="A2487" s="7" t="n">
        <v>2028</v>
      </c>
      <c r="B2487" s="7" t="n">
        <v>7</v>
      </c>
      <c r="C2487" s="10" t="inlineStr">
        <is>
          <t>Erl. Waren Dt.</t>
        </is>
      </c>
      <c r="D2487" s="10" t="inlineStr">
        <is>
          <t>Gesamtleistung</t>
        </is>
      </c>
      <c r="E2487" s="7" t="n">
        <v>44950.49</v>
      </c>
      <c r="F2487" s="7" t="n">
        <v>539405.87</v>
      </c>
    </row>
    <row r="2488" ht="21" customHeight="1">
      <c r="A2488" s="7" t="n">
        <v>2030</v>
      </c>
      <c r="B2488" s="7" t="n">
        <v>7</v>
      </c>
      <c r="C2488" s="10" t="inlineStr">
        <is>
          <t>Uebr.neutr. Ert</t>
        </is>
      </c>
      <c r="D2488" s="10" t="inlineStr">
        <is>
          <t>Gesamtleistung</t>
        </is>
      </c>
      <c r="E2488" s="7" t="n">
        <v>207.38</v>
      </c>
      <c r="F2488" s="7" t="n">
        <v>2488.5</v>
      </c>
    </row>
    <row r="2489" ht="21" customHeight="1">
      <c r="A2489" s="7" t="n">
        <v>2030</v>
      </c>
      <c r="B2489" s="7" t="n">
        <v>7</v>
      </c>
      <c r="C2489" s="10" t="inlineStr">
        <is>
          <t>Raumkosten</t>
        </is>
      </c>
      <c r="D2489" s="10" t="inlineStr">
        <is>
          <t>Raumkosten</t>
        </is>
      </c>
      <c r="E2489" s="7" t="n">
        <v>7307.75</v>
      </c>
      <c r="F2489" s="7" t="n">
        <v>87693</v>
      </c>
    </row>
    <row r="2490" ht="21" customHeight="1">
      <c r="A2490" s="7" t="n">
        <v>2030</v>
      </c>
      <c r="B2490" s="7" t="n">
        <v>7</v>
      </c>
      <c r="C2490" s="10" t="inlineStr">
        <is>
          <t>Fremdl. Persona</t>
        </is>
      </c>
      <c r="D2490" s="10" t="inlineStr">
        <is>
          <t>Vorleistungen</t>
        </is>
      </c>
      <c r="E2490" s="7" t="n">
        <v>76.56999999999999</v>
      </c>
      <c r="F2490" s="7" t="n">
        <v>918.79</v>
      </c>
    </row>
    <row r="2491" ht="21" customHeight="1">
      <c r="A2491" s="7" t="n">
        <v>2027</v>
      </c>
      <c r="B2491" s="7" t="n">
        <v>7</v>
      </c>
      <c r="C2491" s="10" t="inlineStr">
        <is>
          <t>Leasing PKW</t>
        </is>
      </c>
      <c r="D2491" s="10" t="inlineStr">
        <is>
          <t>Fuhrparkkosten</t>
        </is>
      </c>
      <c r="E2491" s="7" t="n">
        <v>21940.43</v>
      </c>
      <c r="F2491" s="7" t="n">
        <v>263285.11</v>
      </c>
    </row>
    <row r="2492" ht="21" customHeight="1">
      <c r="A2492" s="7" t="n">
        <v>2030</v>
      </c>
      <c r="B2492" s="7" t="n">
        <v>7</v>
      </c>
      <c r="C2492" s="10" t="inlineStr">
        <is>
          <t>Ertrag KFZ-Nutz</t>
        </is>
      </c>
      <c r="D2492" s="10" t="inlineStr">
        <is>
          <t>Gesamtleistung</t>
        </is>
      </c>
      <c r="E2492" s="7" t="n">
        <v>9193.41</v>
      </c>
      <c r="F2492" s="7" t="n">
        <v>110320.94</v>
      </c>
    </row>
    <row r="2493" ht="21" customHeight="1">
      <c r="A2493" s="7" t="n">
        <v>2028</v>
      </c>
      <c r="B2493" s="7" t="n">
        <v>7</v>
      </c>
      <c r="C2493" s="10" t="inlineStr">
        <is>
          <t>Uebr.neutr. Ert</t>
        </is>
      </c>
      <c r="D2493" s="10" t="inlineStr">
        <is>
          <t>Gesamtleistung</t>
        </is>
      </c>
      <c r="E2493" s="7" t="n">
        <v>151.92</v>
      </c>
      <c r="F2493" s="7" t="n">
        <v>1823.08</v>
      </c>
    </row>
    <row r="2494" ht="21" customHeight="1">
      <c r="A2494" s="7" t="n">
        <v>2030</v>
      </c>
      <c r="B2494" s="7" t="n">
        <v>7</v>
      </c>
      <c r="C2494" s="10" t="inlineStr">
        <is>
          <t>Soziale Abgaben</t>
        </is>
      </c>
      <c r="D2494" s="10" t="inlineStr">
        <is>
          <t>Personalaufwand</t>
        </is>
      </c>
      <c r="E2494" s="7" t="n">
        <v>104141.87</v>
      </c>
      <c r="F2494" s="7" t="n">
        <v>1249702.47</v>
      </c>
    </row>
    <row r="2495" ht="21" customHeight="1">
      <c r="A2495" s="7" t="n">
        <v>2030</v>
      </c>
      <c r="B2495" s="7" t="n">
        <v>7</v>
      </c>
      <c r="C2495" s="10" t="inlineStr">
        <is>
          <t>Ankauf Rohstoff</t>
        </is>
      </c>
      <c r="D2495" s="10" t="inlineStr">
        <is>
          <t>Vorleistungen</t>
        </is>
      </c>
      <c r="E2495" s="7" t="n">
        <v>1483.55</v>
      </c>
      <c r="F2495" s="7" t="n">
        <v>17802.65</v>
      </c>
    </row>
    <row r="2496" ht="21" customHeight="1">
      <c r="A2496" s="7" t="n">
        <v>2031</v>
      </c>
      <c r="B2496" s="7" t="n">
        <v>7</v>
      </c>
      <c r="C2496" s="10" t="inlineStr">
        <is>
          <t>Aufw. Heizmat.</t>
        </is>
      </c>
      <c r="D2496" s="10" t="inlineStr">
        <is>
          <t>Vorleistungen</t>
        </is>
      </c>
      <c r="E2496" s="7" t="n">
        <v>216.16</v>
      </c>
      <c r="F2496" s="7" t="n">
        <v>2593.97</v>
      </c>
    </row>
    <row r="2497" ht="21" customHeight="1">
      <c r="A2497" s="7" t="n">
        <v>2030</v>
      </c>
      <c r="B2497" s="7" t="n">
        <v>7</v>
      </c>
      <c r="C2497" s="10" t="inlineStr">
        <is>
          <t>IT-Aufwendungen</t>
        </is>
      </c>
      <c r="D2497" s="10" t="inlineStr">
        <is>
          <t>Verwaltungskosten</t>
        </is>
      </c>
      <c r="E2497" s="7" t="n">
        <v>12671.51</v>
      </c>
      <c r="F2497" s="7" t="n">
        <v>152058.16</v>
      </c>
    </row>
    <row r="2498" ht="21" customHeight="1">
      <c r="A2498" s="7" t="n">
        <v>2027</v>
      </c>
      <c r="B2498" s="7" t="n">
        <v>7</v>
      </c>
      <c r="C2498" s="10" t="inlineStr">
        <is>
          <t>Treibstoffe, Oe</t>
        </is>
      </c>
      <c r="D2498" s="10" t="inlineStr">
        <is>
          <t>Fuhrparkkosten</t>
        </is>
      </c>
      <c r="E2498" s="7" t="n">
        <v>28695.87</v>
      </c>
      <c r="F2498" s="7" t="n">
        <v>344350.48</v>
      </c>
    </row>
    <row r="2499" ht="21" customHeight="1">
      <c r="A2499" s="7" t="n">
        <v>2028</v>
      </c>
      <c r="B2499" s="7" t="n">
        <v>7</v>
      </c>
      <c r="C2499" s="10" t="inlineStr">
        <is>
          <t>Aufw. Heizmat.</t>
        </is>
      </c>
      <c r="D2499" s="10" t="inlineStr">
        <is>
          <t>Vorleistungen</t>
        </is>
      </c>
      <c r="E2499" s="7" t="n">
        <v>260.43</v>
      </c>
      <c r="F2499" s="7" t="n">
        <v>3125.13</v>
      </c>
    </row>
    <row r="2500" ht="21" customHeight="1">
      <c r="A2500" s="7" t="n">
        <v>2031</v>
      </c>
      <c r="B2500" s="7" t="n">
        <v>7</v>
      </c>
      <c r="C2500" s="10" t="inlineStr">
        <is>
          <t>Ertrag KFZ-Nutz</t>
        </is>
      </c>
      <c r="D2500" s="10" t="inlineStr">
        <is>
          <t>Gesamtleistung</t>
        </is>
      </c>
      <c r="E2500" s="7" t="n">
        <v>9597.290000000001</v>
      </c>
      <c r="F2500" s="7" t="n">
        <v>115167.5</v>
      </c>
    </row>
    <row r="2501" ht="21" customHeight="1">
      <c r="A2501" s="7" t="n">
        <v>2027</v>
      </c>
      <c r="B2501" s="7" t="n">
        <v>7</v>
      </c>
      <c r="C2501" s="10" t="inlineStr">
        <is>
          <t>Raumkosten</t>
        </is>
      </c>
      <c r="D2501" s="10" t="inlineStr">
        <is>
          <t>Raumkosten</t>
        </is>
      </c>
      <c r="E2501" s="7" t="n">
        <v>5046.85</v>
      </c>
      <c r="F2501" s="7" t="n">
        <v>60562.14</v>
      </c>
    </row>
    <row r="2502" ht="21" customHeight="1">
      <c r="A2502" s="7" t="n">
        <v>2028</v>
      </c>
      <c r="B2502" s="7" t="n">
        <v>7</v>
      </c>
      <c r="C2502" s="10" t="inlineStr">
        <is>
          <t>Soziale Abgaben</t>
        </is>
      </c>
      <c r="D2502" s="10" t="inlineStr">
        <is>
          <t>Personalaufwand</t>
        </is>
      </c>
      <c r="E2502" s="7" t="n">
        <v>85007.57000000001</v>
      </c>
      <c r="F2502" s="7" t="n">
        <v>1020090.84</v>
      </c>
    </row>
    <row r="2503" ht="21" customHeight="1">
      <c r="A2503" s="7" t="n">
        <v>2029</v>
      </c>
      <c r="B2503" s="7" t="n">
        <v>7</v>
      </c>
      <c r="C2503" s="10" t="inlineStr">
        <is>
          <t>Miete Grdst/Gebäud</t>
        </is>
      </c>
      <c r="D2503" s="10" t="inlineStr">
        <is>
          <t>Raumkosten</t>
        </is>
      </c>
      <c r="E2503" s="7" t="n">
        <v>18238.55</v>
      </c>
      <c r="F2503" s="7" t="n">
        <v>218862.64</v>
      </c>
    </row>
    <row r="2504" ht="21" customHeight="1">
      <c r="A2504" s="7" t="n">
        <v>2031</v>
      </c>
      <c r="B2504" s="7" t="n">
        <v>7</v>
      </c>
      <c r="C2504" s="10" t="inlineStr">
        <is>
          <t>Raumkosten</t>
        </is>
      </c>
      <c r="D2504" s="10" t="inlineStr">
        <is>
          <t>Raumkosten</t>
        </is>
      </c>
      <c r="E2504" s="7" t="n">
        <v>7453.91</v>
      </c>
      <c r="F2504" s="7" t="n">
        <v>89446.89</v>
      </c>
    </row>
    <row r="2505" ht="21" customHeight="1">
      <c r="A2505" s="7" t="n">
        <v>2031</v>
      </c>
      <c r="B2505" s="7" t="n">
        <v>7</v>
      </c>
      <c r="C2505" s="10" t="inlineStr">
        <is>
          <t>Behaelterkosten</t>
        </is>
      </c>
      <c r="D2505" s="10" t="inlineStr">
        <is>
          <t>Instandh. Betriebsausstattung</t>
        </is>
      </c>
      <c r="E2505" s="7" t="n">
        <v>13.39</v>
      </c>
      <c r="F2505" s="7" t="n">
        <v>160.68</v>
      </c>
    </row>
    <row r="2506" ht="21" customHeight="1">
      <c r="A2506" s="7" t="n">
        <v>2031</v>
      </c>
      <c r="B2506" s="7" t="n">
        <v>7</v>
      </c>
      <c r="C2506" s="10" t="inlineStr">
        <is>
          <t>Instandh.Fuhrp</t>
        </is>
      </c>
      <c r="D2506" s="10" t="inlineStr">
        <is>
          <t>Fuhrparkkosten</t>
        </is>
      </c>
      <c r="E2506" s="7" t="n">
        <v>38327.36</v>
      </c>
      <c r="F2506" s="7" t="n">
        <v>459928.28</v>
      </c>
    </row>
    <row r="2507" ht="21" customHeight="1">
      <c r="A2507" s="7" t="n">
        <v>2030</v>
      </c>
      <c r="B2507" s="7" t="n">
        <v>7</v>
      </c>
      <c r="C2507" s="10" t="inlineStr">
        <is>
          <t>Ueb. bezog.Leis</t>
        </is>
      </c>
      <c r="D2507" s="10" t="inlineStr">
        <is>
          <t>Vorleistungen</t>
        </is>
      </c>
      <c r="E2507" s="7" t="n">
        <v>1385029.28</v>
      </c>
      <c r="F2507" s="7" t="n">
        <v>16620351.38</v>
      </c>
    </row>
    <row r="2508" ht="21" customHeight="1">
      <c r="A2508" s="7" t="n">
        <v>2027</v>
      </c>
      <c r="B2508" s="7" t="n">
        <v>7</v>
      </c>
      <c r="C2508" s="10" t="inlineStr">
        <is>
          <t>Miete LKW,Schiffe</t>
        </is>
      </c>
      <c r="D2508" s="10" t="inlineStr">
        <is>
          <t>Fuhrparkkosten</t>
        </is>
      </c>
      <c r="E2508" s="7" t="n">
        <v>36751.61</v>
      </c>
      <c r="F2508" s="7" t="n">
        <v>441019.28</v>
      </c>
    </row>
    <row r="2509" ht="21" customHeight="1">
      <c r="A2509" s="7" t="n">
        <v>2030</v>
      </c>
      <c r="B2509" s="7" t="n">
        <v>7</v>
      </c>
      <c r="C2509" s="10" t="inlineStr">
        <is>
          <t>Leasing LKW</t>
        </is>
      </c>
      <c r="D2509" s="10" t="inlineStr">
        <is>
          <t>Fuhrparkkosten</t>
        </is>
      </c>
      <c r="E2509" s="7" t="n">
        <v>2745.62</v>
      </c>
      <c r="F2509" s="7" t="n">
        <v>32947.44</v>
      </c>
    </row>
    <row r="2510" ht="21" customHeight="1">
      <c r="A2510" s="7" t="n">
        <v>2031</v>
      </c>
      <c r="B2510" s="7" t="n">
        <v>7</v>
      </c>
      <c r="C2510" s="10" t="inlineStr">
        <is>
          <t>Vertriebskosten</t>
        </is>
      </c>
      <c r="D2510" s="10" t="inlineStr">
        <is>
          <t>Vertriebskosten</t>
        </is>
      </c>
      <c r="E2510" s="7" t="n">
        <v>13167.99</v>
      </c>
      <c r="F2510" s="7" t="n">
        <v>158015.82</v>
      </c>
    </row>
    <row r="2511" ht="21" customHeight="1">
      <c r="A2511" s="7" t="n">
        <v>2028</v>
      </c>
      <c r="B2511" s="7" t="n">
        <v>7</v>
      </c>
      <c r="C2511" s="10" t="inlineStr">
        <is>
          <t>Behaelterkosten</t>
        </is>
      </c>
      <c r="D2511" s="10" t="inlineStr">
        <is>
          <t>Instandh. Betriebsausstattung</t>
        </is>
      </c>
      <c r="E2511" s="7" t="n">
        <v>11.57</v>
      </c>
      <c r="F2511" s="7" t="n">
        <v>138.8</v>
      </c>
    </row>
    <row r="2512" ht="21" customHeight="1">
      <c r="A2512" s="7" t="n">
        <v>2030</v>
      </c>
      <c r="B2512" s="7" t="n">
        <v>7</v>
      </c>
      <c r="C2512" s="10" t="inlineStr">
        <is>
          <t>Verwaltungskost</t>
        </is>
      </c>
      <c r="D2512" s="10" t="inlineStr">
        <is>
          <t>Verwaltungskosten</t>
        </is>
      </c>
      <c r="E2512" s="7" t="n">
        <v>7311.95</v>
      </c>
      <c r="F2512" s="7" t="n">
        <v>87743.38</v>
      </c>
    </row>
    <row r="2513" ht="21" customHeight="1">
      <c r="A2513" s="7" t="n">
        <v>2030</v>
      </c>
      <c r="B2513" s="7" t="n">
        <v>7</v>
      </c>
      <c r="C2513" s="10" t="inlineStr">
        <is>
          <t>Rechts- u. Beratungs</t>
        </is>
      </c>
      <c r="D2513" s="10" t="inlineStr">
        <is>
          <t>Verwaltungskosten</t>
        </is>
      </c>
      <c r="E2513" s="7" t="n">
        <v>28013.14</v>
      </c>
      <c r="F2513" s="7" t="n">
        <v>336157.66</v>
      </c>
    </row>
    <row r="2514" ht="21" customHeight="1">
      <c r="A2514" s="7" t="n">
        <v>2028</v>
      </c>
      <c r="B2514" s="7" t="n">
        <v>7</v>
      </c>
      <c r="C2514" s="10" t="inlineStr">
        <is>
          <t>Sonst Fuhrparkkosten</t>
        </is>
      </c>
      <c r="D2514" s="10" t="inlineStr">
        <is>
          <t>Fuhrparkkosten</t>
        </is>
      </c>
      <c r="E2514" s="7" t="n">
        <v>5288.59</v>
      </c>
      <c r="F2514" s="7" t="n">
        <v>63463.1</v>
      </c>
    </row>
    <row r="2515" ht="21" customHeight="1">
      <c r="A2515" s="7" t="n">
        <v>2029</v>
      </c>
      <c r="B2515" s="7" t="n">
        <v>7</v>
      </c>
      <c r="C2515" s="10" t="inlineStr">
        <is>
          <t>Erl. so. DL Dt.</t>
        </is>
      </c>
      <c r="D2515" s="10" t="inlineStr">
        <is>
          <t>Gesamtleistung</t>
        </is>
      </c>
      <c r="E2515" s="7" t="n">
        <v>2200755.15</v>
      </c>
      <c r="F2515" s="7" t="n">
        <v>26409061.76</v>
      </c>
    </row>
    <row r="2516" ht="21" customHeight="1">
      <c r="A2516" s="7" t="n">
        <v>2031</v>
      </c>
      <c r="B2516" s="7" t="n">
        <v>7</v>
      </c>
      <c r="C2516" s="10" t="inlineStr">
        <is>
          <t>Uebr.neutr. Ert</t>
        </is>
      </c>
      <c r="D2516" s="10" t="inlineStr">
        <is>
          <t>Gesamtleistung</t>
        </is>
      </c>
      <c r="E2516" s="7" t="n">
        <v>227.28</v>
      </c>
      <c r="F2516" s="7" t="n">
        <v>2727.33</v>
      </c>
    </row>
    <row r="2517" ht="21" customHeight="1">
      <c r="A2517" s="7" t="n">
        <v>2030</v>
      </c>
      <c r="B2517" s="7" t="n">
        <v>7</v>
      </c>
      <c r="C2517" s="10" t="inlineStr">
        <is>
          <t>Erl. Waren Dt.</t>
        </is>
      </c>
      <c r="D2517" s="10" t="inlineStr">
        <is>
          <t>Gesamtleistung</t>
        </is>
      </c>
      <c r="E2517" s="7" t="n">
        <v>49038.99</v>
      </c>
      <c r="F2517" s="7" t="n">
        <v>588467.85</v>
      </c>
    </row>
    <row r="2518" ht="21" customHeight="1">
      <c r="A2518" s="7" t="n">
        <v>2028</v>
      </c>
      <c r="B2518" s="7" t="n">
        <v>7</v>
      </c>
      <c r="C2518" s="10" t="inlineStr">
        <is>
          <t>Weiterber. Frem</t>
        </is>
      </c>
      <c r="D2518" s="10" t="inlineStr">
        <is>
          <t>Vorleistungen</t>
        </is>
      </c>
      <c r="E2518" s="7" t="n">
        <v>0</v>
      </c>
      <c r="F2518" s="7" t="n">
        <v>0</v>
      </c>
    </row>
    <row r="2519" ht="21" customHeight="1">
      <c r="A2519" s="7" t="n">
        <v>2027</v>
      </c>
      <c r="B2519" s="7" t="n">
        <v>7</v>
      </c>
      <c r="C2519" s="10" t="inlineStr">
        <is>
          <t>IT-Aufwendungen</t>
        </is>
      </c>
      <c r="D2519" s="10" t="inlineStr">
        <is>
          <t>Verwaltungskosten</t>
        </is>
      </c>
      <c r="E2519" s="7" t="n">
        <v>11596.23</v>
      </c>
      <c r="F2519" s="7" t="n">
        <v>139154.76</v>
      </c>
    </row>
    <row r="2520" ht="21" customHeight="1">
      <c r="A2520" s="7" t="n">
        <v>2028</v>
      </c>
      <c r="B2520" s="7" t="n">
        <v>7</v>
      </c>
      <c r="C2520" s="10" t="inlineStr">
        <is>
          <t>Leasing LKW</t>
        </is>
      </c>
      <c r="D2520" s="10" t="inlineStr">
        <is>
          <t>Fuhrparkkosten</t>
        </is>
      </c>
      <c r="E2520" s="7" t="n">
        <v>2443.59</v>
      </c>
      <c r="F2520" s="7" t="n">
        <v>29323.11</v>
      </c>
    </row>
    <row r="2521" ht="21" customHeight="1">
      <c r="A2521" s="7" t="n">
        <v>2031</v>
      </c>
      <c r="B2521" s="7" t="n">
        <v>7</v>
      </c>
      <c r="C2521" s="10" t="inlineStr">
        <is>
          <t>Weiterber. Frem</t>
        </is>
      </c>
      <c r="D2521" s="10" t="inlineStr">
        <is>
          <t>Vorleistungen</t>
        </is>
      </c>
      <c r="E2521" s="7" t="n">
        <v>0</v>
      </c>
      <c r="F2521" s="7" t="n">
        <v>0</v>
      </c>
    </row>
    <row r="2522" ht="21" customHeight="1">
      <c r="A2522" s="7" t="n">
        <v>2028</v>
      </c>
      <c r="B2522" s="7" t="n">
        <v>7</v>
      </c>
      <c r="C2522" s="10" t="inlineStr">
        <is>
          <t>Lohn + Gehalt</t>
        </is>
      </c>
      <c r="D2522" s="10" t="inlineStr">
        <is>
          <t>Personalaufwand</t>
        </is>
      </c>
      <c r="E2522" s="7" t="n">
        <v>321097.26</v>
      </c>
      <c r="F2522" s="7" t="n">
        <v>3853167.13</v>
      </c>
    </row>
    <row r="2523" ht="21" customHeight="1">
      <c r="A2523" s="7" t="n">
        <v>2029</v>
      </c>
      <c r="B2523" s="7" t="n">
        <v>7</v>
      </c>
      <c r="C2523" s="10" t="inlineStr">
        <is>
          <t>Miete LKW,Schiffe</t>
        </is>
      </c>
      <c r="D2523" s="10" t="inlineStr">
        <is>
          <t>Fuhrparkkosten</t>
        </is>
      </c>
      <c r="E2523" s="7" t="n">
        <v>41294.11</v>
      </c>
      <c r="F2523" s="7" t="n">
        <v>495529.28</v>
      </c>
    </row>
    <row r="2524" ht="21" customHeight="1">
      <c r="A2524" s="7" t="n">
        <v>2030</v>
      </c>
      <c r="B2524" s="7" t="n">
        <v>7</v>
      </c>
      <c r="C2524" s="10" t="inlineStr">
        <is>
          <t>Erl. so. DL Dt.</t>
        </is>
      </c>
      <c r="D2524" s="10" t="inlineStr">
        <is>
          <t>Gesamtleistung</t>
        </is>
      </c>
      <c r="E2524" s="7" t="n">
        <v>2311684.01</v>
      </c>
      <c r="F2524" s="7" t="n">
        <v>27740208.09</v>
      </c>
    </row>
    <row r="2525" ht="21" customHeight="1">
      <c r="A2525" s="7" t="n">
        <v>2030</v>
      </c>
      <c r="B2525" s="7" t="n">
        <v>7</v>
      </c>
      <c r="C2525" s="10" t="inlineStr">
        <is>
          <t>Versicherungskosten</t>
        </is>
      </c>
      <c r="D2525" s="10" t="inlineStr">
        <is>
          <t>Verwaltungskosten</t>
        </is>
      </c>
      <c r="E2525" s="7" t="n">
        <v>11790.1</v>
      </c>
      <c r="F2525" s="7" t="n">
        <v>141481.23</v>
      </c>
    </row>
    <row r="2526" ht="21" customHeight="1">
      <c r="A2526" s="7" t="n">
        <v>2029</v>
      </c>
      <c r="B2526" s="7" t="n">
        <v>7</v>
      </c>
      <c r="C2526" s="10" t="inlineStr">
        <is>
          <t>Sonstige Steuer</t>
        </is>
      </c>
      <c r="D2526" s="10" t="inlineStr">
        <is>
          <t>Fuhrparkkosten</t>
        </is>
      </c>
      <c r="E2526" s="7" t="n">
        <v>1682.38</v>
      </c>
      <c r="F2526" s="7" t="n">
        <v>20188.51</v>
      </c>
    </row>
    <row r="2527" ht="21" customHeight="1">
      <c r="A2527" s="7" t="n">
        <v>2027</v>
      </c>
      <c r="B2527" s="7" t="n">
        <v>7</v>
      </c>
      <c r="C2527" s="10" t="inlineStr">
        <is>
          <t>Sonst Fuhrparkkosten</t>
        </is>
      </c>
      <c r="D2527" s="10" t="inlineStr">
        <is>
          <t>Fuhrparkkosten</t>
        </is>
      </c>
      <c r="E2527" s="7" t="n">
        <v>4989.24</v>
      </c>
      <c r="F2527" s="7" t="n">
        <v>59870.86</v>
      </c>
    </row>
    <row r="2528" ht="21" customHeight="1">
      <c r="A2528" s="7" t="n">
        <v>2028</v>
      </c>
      <c r="B2528" s="7" t="n">
        <v>7</v>
      </c>
      <c r="C2528" s="10" t="inlineStr">
        <is>
          <t>Bestandsveraend</t>
        </is>
      </c>
      <c r="D2528" s="10" t="inlineStr">
        <is>
          <t>Gesamtleistung</t>
        </is>
      </c>
      <c r="E2528" s="7" t="n">
        <v>0</v>
      </c>
      <c r="F2528" s="7" t="n">
        <v>0</v>
      </c>
    </row>
    <row r="2529" ht="21" customHeight="1">
      <c r="A2529" s="7" t="n">
        <v>2028</v>
      </c>
      <c r="B2529" s="7" t="n">
        <v>7</v>
      </c>
      <c r="C2529" s="10" t="inlineStr">
        <is>
          <t>So. betr. Aufwa</t>
        </is>
      </c>
      <c r="D2529" s="10" t="inlineStr">
        <is>
          <t>Verwaltungskosten</t>
        </is>
      </c>
      <c r="E2529" s="7" t="n">
        <v>673.0599999999999</v>
      </c>
      <c r="F2529" s="7" t="n">
        <v>8076.71</v>
      </c>
    </row>
    <row r="2530" ht="21" customHeight="1">
      <c r="A2530" s="7" t="n">
        <v>2030</v>
      </c>
      <c r="B2530" s="7" t="n">
        <v>7</v>
      </c>
      <c r="C2530" s="10" t="inlineStr">
        <is>
          <t>Miete LKW,Schiffe</t>
        </is>
      </c>
      <c r="D2530" s="10" t="inlineStr">
        <is>
          <t>Fuhrparkkosten</t>
        </is>
      </c>
      <c r="E2530" s="7" t="n">
        <v>43771.75</v>
      </c>
      <c r="F2530" s="7" t="n">
        <v>525261.04</v>
      </c>
    </row>
    <row r="2531" ht="21" customHeight="1">
      <c r="A2531" s="7" t="n">
        <v>2028</v>
      </c>
      <c r="B2531" s="7" t="n">
        <v>7</v>
      </c>
      <c r="C2531" s="10" t="inlineStr">
        <is>
          <t>Miete LKW,Schiffe</t>
        </is>
      </c>
      <c r="D2531" s="10" t="inlineStr">
        <is>
          <t>Fuhrparkkosten</t>
        </is>
      </c>
      <c r="E2531" s="7" t="n">
        <v>38956.71</v>
      </c>
      <c r="F2531" s="7" t="n">
        <v>467480.47</v>
      </c>
    </row>
    <row r="2532" ht="21" customHeight="1">
      <c r="A2532" s="7" t="n">
        <v>2028</v>
      </c>
      <c r="B2532" s="7" t="n">
        <v>7</v>
      </c>
      <c r="C2532" s="10" t="inlineStr">
        <is>
          <t>sonst Personalk</t>
        </is>
      </c>
      <c r="D2532" s="10" t="inlineStr">
        <is>
          <t>Personalaufwand</t>
        </is>
      </c>
      <c r="E2532" s="7" t="n">
        <v>12597.51</v>
      </c>
      <c r="F2532" s="7" t="n">
        <v>151170.09</v>
      </c>
    </row>
    <row r="2533" ht="21" customHeight="1">
      <c r="A2533" s="7" t="n">
        <v>2030</v>
      </c>
      <c r="B2533" s="7" t="n">
        <v>7</v>
      </c>
      <c r="C2533" s="10" t="inlineStr">
        <is>
          <t>Leasing PKW</t>
        </is>
      </c>
      <c r="D2533" s="10" t="inlineStr">
        <is>
          <t>Fuhrparkkosten</t>
        </is>
      </c>
      <c r="E2533" s="7" t="n">
        <v>26131.4</v>
      </c>
      <c r="F2533" s="7" t="n">
        <v>313576.76</v>
      </c>
    </row>
    <row r="2534" ht="21" customHeight="1">
      <c r="A2534" s="7" t="n">
        <v>2031</v>
      </c>
      <c r="B2534" s="7" t="n">
        <v>7</v>
      </c>
      <c r="C2534" s="10" t="inlineStr">
        <is>
          <t>Aufwand Umlage</t>
        </is>
      </c>
      <c r="D2534" s="10" t="inlineStr">
        <is>
          <t>Verwaltungskosten</t>
        </is>
      </c>
      <c r="E2534" s="7" t="n">
        <v>3807.87</v>
      </c>
      <c r="F2534" s="7" t="n">
        <v>45694.43</v>
      </c>
    </row>
    <row r="2535" ht="21" customHeight="1">
      <c r="A2535" s="7" t="n">
        <v>2031</v>
      </c>
      <c r="B2535" s="7" t="n">
        <v>7</v>
      </c>
      <c r="C2535" s="10" t="inlineStr">
        <is>
          <t>sonst Personalk</t>
        </is>
      </c>
      <c r="D2535" s="10" t="inlineStr">
        <is>
          <t>Personalaufwand</t>
        </is>
      </c>
      <c r="E2535" s="7" t="n">
        <v>17070.54</v>
      </c>
      <c r="F2535" s="7" t="n">
        <v>204846.51</v>
      </c>
    </row>
    <row r="2536" ht="21" customHeight="1">
      <c r="A2536" s="7" t="n">
        <v>2027</v>
      </c>
      <c r="B2536" s="7" t="n">
        <v>7</v>
      </c>
      <c r="C2536" s="10" t="inlineStr">
        <is>
          <t>sonst Personalk</t>
        </is>
      </c>
      <c r="D2536" s="10" t="inlineStr">
        <is>
          <t>Personalaufwand</t>
        </is>
      </c>
      <c r="E2536" s="7" t="n">
        <v>10949.84</v>
      </c>
      <c r="F2536" s="7" t="n">
        <v>131398.1</v>
      </c>
    </row>
    <row r="2537" ht="21" customHeight="1">
      <c r="A2537" s="7" t="n">
        <v>2031</v>
      </c>
      <c r="B2537" s="7" t="n">
        <v>7</v>
      </c>
      <c r="C2537" s="10" t="inlineStr">
        <is>
          <t>Miete PKW</t>
        </is>
      </c>
      <c r="D2537" s="10" t="inlineStr">
        <is>
          <t>Fuhrparkkosten</t>
        </is>
      </c>
      <c r="E2537" s="7" t="n">
        <v>5824.81</v>
      </c>
      <c r="F2537" s="7" t="n">
        <v>69897.67</v>
      </c>
    </row>
    <row r="2538" ht="21" customHeight="1">
      <c r="A2538" s="7" t="n">
        <v>2029</v>
      </c>
      <c r="B2538" s="7" t="n">
        <v>7</v>
      </c>
      <c r="C2538" s="10" t="inlineStr">
        <is>
          <t>Raumkosten</t>
        </is>
      </c>
      <c r="D2538" s="10" t="inlineStr">
        <is>
          <t>Raumkosten</t>
        </is>
      </c>
      <c r="E2538" s="7" t="n">
        <v>7164.46</v>
      </c>
      <c r="F2538" s="7" t="n">
        <v>85973.53</v>
      </c>
    </row>
    <row r="2539" ht="21" customHeight="1">
      <c r="A2539" s="7" t="n">
        <v>2031</v>
      </c>
      <c r="B2539" s="7" t="n">
        <v>7</v>
      </c>
      <c r="C2539" s="10" t="inlineStr">
        <is>
          <t>Aufw. f. Alters</t>
        </is>
      </c>
      <c r="D2539" s="10" t="inlineStr">
        <is>
          <t>Personalaufwand</t>
        </is>
      </c>
      <c r="E2539" s="7" t="n">
        <v>1434.03</v>
      </c>
      <c r="F2539" s="7" t="n">
        <v>17208.41</v>
      </c>
    </row>
    <row r="2540" ht="21" customHeight="1">
      <c r="A2540" s="7" t="n">
        <v>2031</v>
      </c>
      <c r="B2540" s="7" t="n">
        <v>7</v>
      </c>
      <c r="C2540" s="10" t="inlineStr">
        <is>
          <t>IT-Aufwendungen</t>
        </is>
      </c>
      <c r="D2540" s="10" t="inlineStr">
        <is>
          <t>Verwaltungskosten</t>
        </is>
      </c>
      <c r="E2540" s="7" t="n">
        <v>13051.66</v>
      </c>
      <c r="F2540" s="7" t="n">
        <v>156619.9</v>
      </c>
    </row>
    <row r="2541" ht="21" customHeight="1">
      <c r="A2541" s="7" t="n">
        <v>2028</v>
      </c>
      <c r="B2541" s="7" t="n">
        <v>7</v>
      </c>
      <c r="C2541" s="10" t="inlineStr">
        <is>
          <t>Miete Grdst/Gebäud</t>
        </is>
      </c>
      <c r="D2541" s="10" t="inlineStr">
        <is>
          <t>Raumkosten</t>
        </is>
      </c>
      <c r="E2541" s="7" t="n">
        <v>17880.93</v>
      </c>
      <c r="F2541" s="7" t="n">
        <v>214571.21</v>
      </c>
    </row>
    <row r="2542" ht="21" customHeight="1">
      <c r="A2542" s="7" t="n">
        <v>2027</v>
      </c>
      <c r="B2542" s="7" t="n">
        <v>7</v>
      </c>
      <c r="C2542" s="10" t="inlineStr">
        <is>
          <t>Erloesschmaeler</t>
        </is>
      </c>
      <c r="D2542" s="10" t="inlineStr">
        <is>
          <t>Gesamtleistung</t>
        </is>
      </c>
      <c r="E2542" s="7" t="n">
        <v>-7483.88</v>
      </c>
      <c r="F2542" s="7" t="n">
        <v>-89806.53</v>
      </c>
    </row>
    <row r="2543" ht="21" customHeight="1">
      <c r="A2543" s="7" t="n">
        <v>2029</v>
      </c>
      <c r="B2543" s="7" t="n">
        <v>7</v>
      </c>
      <c r="C2543" s="10" t="inlineStr">
        <is>
          <t>sonst Personalk</t>
        </is>
      </c>
      <c r="D2543" s="10" t="inlineStr">
        <is>
          <t>Personalaufwand</t>
        </is>
      </c>
      <c r="E2543" s="7" t="n">
        <v>13957.15</v>
      </c>
      <c r="F2543" s="7" t="n">
        <v>167485.78</v>
      </c>
    </row>
    <row r="2544" ht="21" customHeight="1">
      <c r="A2544" s="7" t="n">
        <v>2028</v>
      </c>
      <c r="B2544" s="7" t="n">
        <v>7</v>
      </c>
      <c r="C2544" s="10" t="inlineStr">
        <is>
          <t>Fremdl. Fuhrlei</t>
        </is>
      </c>
      <c r="D2544" s="10" t="inlineStr">
        <is>
          <t>Vorleistungen</t>
        </is>
      </c>
      <c r="E2544" s="7" t="n">
        <v>363.29</v>
      </c>
      <c r="F2544" s="7" t="n">
        <v>4359.52</v>
      </c>
    </row>
    <row r="2545" ht="21" customHeight="1">
      <c r="A2545" s="7" t="n">
        <v>2027</v>
      </c>
      <c r="B2545" s="7" t="n">
        <v>7</v>
      </c>
      <c r="C2545" s="10" t="inlineStr">
        <is>
          <t>Erl. so. DL Dt.</t>
        </is>
      </c>
      <c r="D2545" s="10" t="inlineStr">
        <is>
          <t>Gesamtleistung</t>
        </is>
      </c>
      <c r="E2545" s="7" t="n">
        <v>1996174.37</v>
      </c>
      <c r="F2545" s="7" t="n">
        <v>23954092.45</v>
      </c>
    </row>
    <row r="2546" ht="21" customHeight="1">
      <c r="A2546" s="7" t="n">
        <v>2027</v>
      </c>
      <c r="B2546" s="7" t="n">
        <v>7</v>
      </c>
      <c r="C2546" s="10" t="inlineStr">
        <is>
          <t>Aufw. Heizmat.</t>
        </is>
      </c>
      <c r="D2546" s="10" t="inlineStr">
        <is>
          <t>Vorleistungen</t>
        </is>
      </c>
      <c r="E2546" s="7" t="n">
        <v>275.72</v>
      </c>
      <c r="F2546" s="7" t="n">
        <v>3308.65</v>
      </c>
    </row>
    <row r="2547" ht="21" customHeight="1">
      <c r="A2547" s="7" t="n">
        <v>2028</v>
      </c>
      <c r="B2547" s="7" t="n">
        <v>7</v>
      </c>
      <c r="C2547" s="10" t="inlineStr">
        <is>
          <t>Versicherungskosten</t>
        </is>
      </c>
      <c r="D2547" s="10" t="inlineStr">
        <is>
          <t>Verwaltungskosten</t>
        </is>
      </c>
      <c r="E2547" s="7" t="n">
        <v>11113.3</v>
      </c>
      <c r="F2547" s="7" t="n">
        <v>133359.63</v>
      </c>
    </row>
    <row r="2548" ht="21" customHeight="1">
      <c r="A2548" s="7" t="n">
        <v>2031</v>
      </c>
      <c r="B2548" s="7" t="n">
        <v>7</v>
      </c>
      <c r="C2548" s="10" t="inlineStr">
        <is>
          <t>Miete LKW,Schiffe</t>
        </is>
      </c>
      <c r="D2548" s="10" t="inlineStr">
        <is>
          <t>Fuhrparkkosten</t>
        </is>
      </c>
      <c r="E2548" s="7" t="n">
        <v>46398.06</v>
      </c>
      <c r="F2548" s="7" t="n">
        <v>556776.71</v>
      </c>
    </row>
    <row r="2549" ht="21" customHeight="1">
      <c r="A2549" s="7" t="n">
        <v>2027</v>
      </c>
      <c r="B2549" s="7" t="n">
        <v>7</v>
      </c>
      <c r="C2549" s="10" t="inlineStr">
        <is>
          <t>Weiterber. Frem</t>
        </is>
      </c>
      <c r="D2549" s="10" t="inlineStr">
        <is>
          <t>Vorleistungen</t>
        </is>
      </c>
      <c r="E2549" s="7" t="n">
        <v>0</v>
      </c>
      <c r="F2549" s="7" t="n">
        <v>0</v>
      </c>
    </row>
    <row r="2550" ht="21" customHeight="1">
      <c r="A2550" s="7" t="n">
        <v>2028</v>
      </c>
      <c r="B2550" s="7" t="n">
        <v>7</v>
      </c>
      <c r="C2550" s="10" t="inlineStr">
        <is>
          <t>Erloesschmaeler</t>
        </is>
      </c>
      <c r="D2550" s="10" t="inlineStr">
        <is>
          <t>Gesamtleistung</t>
        </is>
      </c>
      <c r="E2550" s="7" t="n">
        <v>-8355.469999999999</v>
      </c>
      <c r="F2550" s="7" t="n">
        <v>-100265.61</v>
      </c>
    </row>
    <row r="2551" ht="21" customHeight="1">
      <c r="A2551" s="7" t="n">
        <v>2027</v>
      </c>
      <c r="B2551" s="7" t="n">
        <v>7</v>
      </c>
      <c r="C2551" s="10" t="inlineStr">
        <is>
          <t>Uebr.neutr. Ert</t>
        </is>
      </c>
      <c r="D2551" s="10" t="inlineStr">
        <is>
          <t>Gesamtleistung</t>
        </is>
      </c>
      <c r="E2551" s="7" t="n">
        <v>113.94</v>
      </c>
      <c r="F2551" s="7" t="n">
        <v>1367.31</v>
      </c>
    </row>
    <row r="2552" ht="21" customHeight="1">
      <c r="A2552" s="7" t="n">
        <v>2028</v>
      </c>
      <c r="B2552" s="7" t="n">
        <v>7</v>
      </c>
      <c r="C2552" s="10" t="inlineStr">
        <is>
          <t>Miete Behälter</t>
        </is>
      </c>
      <c r="D2552" s="10" t="inlineStr">
        <is>
          <t>Instandh. Betriebsausstattung</t>
        </is>
      </c>
      <c r="E2552" s="7" t="n">
        <v>24.08</v>
      </c>
      <c r="F2552" s="7" t="n">
        <v>289</v>
      </c>
    </row>
    <row r="2553" ht="21" customHeight="1">
      <c r="A2553" s="7" t="n">
        <v>2028</v>
      </c>
      <c r="B2553" s="7" t="n">
        <v>7</v>
      </c>
      <c r="C2553" s="10" t="inlineStr">
        <is>
          <t>Aufw. so. Hilfs</t>
        </is>
      </c>
      <c r="D2553" s="10" t="inlineStr">
        <is>
          <t>Vorleistungen</t>
        </is>
      </c>
      <c r="E2553" s="7" t="n">
        <v>-16546.31</v>
      </c>
      <c r="F2553" s="7" t="n">
        <v>-198555.67</v>
      </c>
    </row>
    <row r="2554" ht="21" customHeight="1">
      <c r="A2554" s="7" t="n">
        <v>2030</v>
      </c>
      <c r="B2554" s="7" t="n">
        <v>7</v>
      </c>
      <c r="C2554" s="10" t="inlineStr">
        <is>
          <t>Treibstoffe, Oe</t>
        </is>
      </c>
      <c r="D2554" s="10" t="inlineStr">
        <is>
          <t>Fuhrparkkosten</t>
        </is>
      </c>
      <c r="E2554" s="7" t="n">
        <v>34177.25</v>
      </c>
      <c r="F2554" s="7" t="n">
        <v>410126.96</v>
      </c>
    </row>
    <row r="2555" ht="21" customHeight="1">
      <c r="A2555" s="7" t="n">
        <v>2030</v>
      </c>
      <c r="B2555" s="7" t="n">
        <v>7</v>
      </c>
      <c r="C2555" s="10" t="inlineStr">
        <is>
          <t>Ueb Lohn-Gehalt</t>
        </is>
      </c>
      <c r="D2555" s="10" t="inlineStr">
        <is>
          <t>Personalaufwand</t>
        </is>
      </c>
      <c r="E2555" s="7" t="n">
        <v>41842.02</v>
      </c>
      <c r="F2555" s="7" t="n">
        <v>502104.18</v>
      </c>
    </row>
    <row r="2556" ht="21" customHeight="1">
      <c r="A2556" s="7" t="n">
        <v>2030</v>
      </c>
      <c r="B2556" s="7" t="n">
        <v>7</v>
      </c>
      <c r="C2556" s="10" t="inlineStr">
        <is>
          <t>Aufw. f. Alters</t>
        </is>
      </c>
      <c r="D2556" s="10" t="inlineStr">
        <is>
          <t>Personalaufwand</t>
        </is>
      </c>
      <c r="E2556" s="7" t="n">
        <v>1387.56</v>
      </c>
      <c r="F2556" s="7" t="n">
        <v>16650.69</v>
      </c>
    </row>
    <row r="2557" ht="21" customHeight="1">
      <c r="A2557" s="7" t="n">
        <v>2031</v>
      </c>
      <c r="B2557" s="7" t="n">
        <v>7</v>
      </c>
      <c r="C2557" s="10" t="inlineStr">
        <is>
          <t>Fremdl. Persona</t>
        </is>
      </c>
      <c r="D2557" s="10" t="inlineStr">
        <is>
          <t>Vorleistungen</t>
        </is>
      </c>
      <c r="E2557" s="7" t="n">
        <v>79.40000000000001</v>
      </c>
      <c r="F2557" s="7" t="n">
        <v>952.79</v>
      </c>
    </row>
    <row r="2558" ht="21" customHeight="1">
      <c r="A2558" s="7" t="n">
        <v>2029</v>
      </c>
      <c r="B2558" s="7" t="n">
        <v>8</v>
      </c>
      <c r="C2558" s="10" t="inlineStr">
        <is>
          <t>Sonderz. Prämie</t>
        </is>
      </c>
      <c r="D2558" s="10" t="inlineStr">
        <is>
          <t>Personalaufwand</t>
        </is>
      </c>
      <c r="E2558" s="7" t="n">
        <v>23292.21</v>
      </c>
      <c r="F2558" s="7" t="n">
        <v>279506.56</v>
      </c>
    </row>
    <row r="2559" ht="21" customHeight="1">
      <c r="A2559" s="7" t="n">
        <v>2030</v>
      </c>
      <c r="B2559" s="7" t="n">
        <v>8</v>
      </c>
      <c r="C2559" s="10" t="inlineStr">
        <is>
          <t>sonst Personalk</t>
        </is>
      </c>
      <c r="D2559" s="10" t="inlineStr">
        <is>
          <t>Personalaufwand</t>
        </is>
      </c>
      <c r="E2559" s="7" t="n">
        <v>15558.93</v>
      </c>
      <c r="F2559" s="7" t="n">
        <v>186707.19</v>
      </c>
    </row>
    <row r="2560" ht="21" customHeight="1">
      <c r="A2560" s="7" t="n">
        <v>2031</v>
      </c>
      <c r="B2560" s="7" t="n">
        <v>8</v>
      </c>
      <c r="C2560" s="10" t="inlineStr">
        <is>
          <t>Ankauf Rohstoff</t>
        </is>
      </c>
      <c r="D2560" s="10" t="inlineStr">
        <is>
          <t>Vorleistungen</t>
        </is>
      </c>
      <c r="E2560" s="7" t="n">
        <v>1489.65</v>
      </c>
      <c r="F2560" s="7" t="n">
        <v>17875.76</v>
      </c>
    </row>
    <row r="2561" ht="21" customHeight="1">
      <c r="A2561" s="7" t="n">
        <v>2029</v>
      </c>
      <c r="B2561" s="7" t="n">
        <v>8</v>
      </c>
      <c r="C2561" s="10" t="inlineStr">
        <is>
          <t>Weiterber. Frem</t>
        </is>
      </c>
      <c r="D2561" s="10" t="inlineStr">
        <is>
          <t>Vorleistungen</t>
        </is>
      </c>
      <c r="E2561" s="7" t="n">
        <v>0</v>
      </c>
      <c r="F2561" s="7" t="n">
        <v>0</v>
      </c>
    </row>
    <row r="2562" ht="21" customHeight="1">
      <c r="A2562" s="7" t="n">
        <v>2031</v>
      </c>
      <c r="B2562" s="7" t="n">
        <v>8</v>
      </c>
      <c r="C2562" s="10" t="inlineStr">
        <is>
          <t>Sonstige Steuer</t>
        </is>
      </c>
      <c r="D2562" s="10" t="inlineStr">
        <is>
          <t>Fuhrparkkosten</t>
        </is>
      </c>
      <c r="E2562" s="7" t="n">
        <v>1890.32</v>
      </c>
      <c r="F2562" s="7" t="n">
        <v>22683.81</v>
      </c>
    </row>
    <row r="2563" ht="21" customHeight="1">
      <c r="A2563" s="7" t="n">
        <v>2030</v>
      </c>
      <c r="B2563" s="7" t="n">
        <v>8</v>
      </c>
      <c r="C2563" s="10" t="inlineStr">
        <is>
          <t>Bestandsveraend</t>
        </is>
      </c>
      <c r="D2563" s="10" t="inlineStr">
        <is>
          <t>Gesamtleistung</t>
        </is>
      </c>
      <c r="E2563" s="7" t="n">
        <v>0</v>
      </c>
      <c r="F2563" s="7" t="n">
        <v>0</v>
      </c>
    </row>
    <row r="2564" ht="21" customHeight="1">
      <c r="A2564" s="7" t="n">
        <v>2031</v>
      </c>
      <c r="B2564" s="7" t="n">
        <v>8</v>
      </c>
      <c r="C2564" s="10" t="inlineStr">
        <is>
          <t>Erl. so. DL Dt.</t>
        </is>
      </c>
      <c r="D2564" s="10" t="inlineStr">
        <is>
          <t>Gesamtleistung</t>
        </is>
      </c>
      <c r="E2564" s="7" t="n">
        <v>2428139.11</v>
      </c>
      <c r="F2564" s="7" t="n">
        <v>29137669.32</v>
      </c>
    </row>
    <row r="2565" ht="21" customHeight="1">
      <c r="A2565" s="7" t="n">
        <v>2030</v>
      </c>
      <c r="B2565" s="7" t="n">
        <v>8</v>
      </c>
      <c r="C2565" s="10" t="inlineStr">
        <is>
          <t>Sonstige Steuer</t>
        </is>
      </c>
      <c r="D2565" s="10" t="inlineStr">
        <is>
          <t>Fuhrparkkosten</t>
        </is>
      </c>
      <c r="E2565" s="7" t="n">
        <v>1783.32</v>
      </c>
      <c r="F2565" s="7" t="n">
        <v>21399.82</v>
      </c>
    </row>
    <row r="2566" ht="21" customHeight="1">
      <c r="A2566" s="7" t="n">
        <v>2030</v>
      </c>
      <c r="B2566" s="7" t="n">
        <v>8</v>
      </c>
      <c r="C2566" s="10" t="inlineStr">
        <is>
          <t>Sonderz. Prämie</t>
        </is>
      </c>
      <c r="D2566" s="10" t="inlineStr">
        <is>
          <t>Personalaufwand</t>
        </is>
      </c>
      <c r="E2566" s="7" t="n">
        <v>25004.1</v>
      </c>
      <c r="F2566" s="7" t="n">
        <v>300049.14</v>
      </c>
    </row>
    <row r="2567" ht="21" customHeight="1">
      <c r="A2567" s="7" t="n">
        <v>2029</v>
      </c>
      <c r="B2567" s="7" t="n">
        <v>8</v>
      </c>
      <c r="C2567" s="10" t="inlineStr">
        <is>
          <t>Soziale Abgaben</t>
        </is>
      </c>
      <c r="D2567" s="10" t="inlineStr">
        <is>
          <t>Personalaufwand</t>
        </is>
      </c>
      <c r="E2567" s="7" t="n">
        <v>94488.11</v>
      </c>
      <c r="F2567" s="7" t="n">
        <v>1133857.35</v>
      </c>
    </row>
    <row r="2568" ht="21" customHeight="1">
      <c r="A2568" s="7" t="n">
        <v>2031</v>
      </c>
      <c r="B2568" s="7" t="n">
        <v>8</v>
      </c>
      <c r="C2568" s="10" t="inlineStr">
        <is>
          <t>So. betr. Aufwa</t>
        </is>
      </c>
      <c r="D2568" s="10" t="inlineStr">
        <is>
          <t>Verwaltungskosten</t>
        </is>
      </c>
      <c r="E2568" s="7" t="n">
        <v>735.47</v>
      </c>
      <c r="F2568" s="7" t="n">
        <v>8825.639999999999</v>
      </c>
    </row>
    <row r="2569" ht="21" customHeight="1">
      <c r="A2569" s="7" t="n">
        <v>2027</v>
      </c>
      <c r="B2569" s="7" t="n">
        <v>8</v>
      </c>
      <c r="C2569" s="10" t="inlineStr">
        <is>
          <t>Lohn + Gehalt</t>
        </is>
      </c>
      <c r="D2569" s="10" t="inlineStr">
        <is>
          <t>Personalaufwand</t>
        </is>
      </c>
      <c r="E2569" s="7" t="n">
        <v>287946.36</v>
      </c>
      <c r="F2569" s="7" t="n">
        <v>3455356.33</v>
      </c>
    </row>
    <row r="2570" ht="21" customHeight="1">
      <c r="A2570" s="7" t="n">
        <v>2027</v>
      </c>
      <c r="B2570" s="7" t="n">
        <v>8</v>
      </c>
      <c r="C2570" s="10" t="inlineStr">
        <is>
          <t>So. betr. Aufwa</t>
        </is>
      </c>
      <c r="D2570" s="10" t="inlineStr">
        <is>
          <t>Verwaltungskosten</t>
        </is>
      </c>
      <c r="E2570" s="7" t="n">
        <v>653.45</v>
      </c>
      <c r="F2570" s="7" t="n">
        <v>7841.45</v>
      </c>
    </row>
    <row r="2571" ht="21" customHeight="1">
      <c r="A2571" s="7" t="n">
        <v>2028</v>
      </c>
      <c r="B2571" s="7" t="n">
        <v>8</v>
      </c>
      <c r="C2571" s="10" t="inlineStr">
        <is>
          <t>Ueb Lohn-Gehalt</t>
        </is>
      </c>
      <c r="D2571" s="10" t="inlineStr">
        <is>
          <t>Personalaufwand</t>
        </is>
      </c>
      <c r="E2571" s="7" t="n">
        <v>34332.83</v>
      </c>
      <c r="F2571" s="7" t="n">
        <v>411993.96</v>
      </c>
    </row>
    <row r="2572" ht="21" customHeight="1">
      <c r="A2572" s="7" t="n">
        <v>2027</v>
      </c>
      <c r="B2572" s="7" t="n">
        <v>8</v>
      </c>
      <c r="C2572" s="10" t="inlineStr">
        <is>
          <t>Verwaltungskost</t>
        </is>
      </c>
      <c r="D2572" s="10" t="inlineStr">
        <is>
          <t>Verwaltungskosten</t>
        </is>
      </c>
      <c r="E2572" s="7" t="n">
        <v>6691.47</v>
      </c>
      <c r="F2572" s="7" t="n">
        <v>80297.62</v>
      </c>
    </row>
    <row r="2573" ht="21" customHeight="1">
      <c r="A2573" s="7" t="n">
        <v>2030</v>
      </c>
      <c r="B2573" s="7" t="n">
        <v>8</v>
      </c>
      <c r="C2573" s="10" t="inlineStr">
        <is>
          <t>Aufw. Heizmat.</t>
        </is>
      </c>
      <c r="D2573" s="10" t="inlineStr">
        <is>
          <t>Vorleistungen</t>
        </is>
      </c>
      <c r="E2573" s="7" t="n">
        <v>230.4</v>
      </c>
      <c r="F2573" s="7" t="n">
        <v>2764.82</v>
      </c>
    </row>
    <row r="2574" ht="21" customHeight="1">
      <c r="A2574" s="7" t="n">
        <v>2027</v>
      </c>
      <c r="B2574" s="7" t="n">
        <v>8</v>
      </c>
      <c r="C2574" s="10" t="inlineStr">
        <is>
          <t>Versicherungskosten</t>
        </is>
      </c>
      <c r="D2574" s="10" t="inlineStr">
        <is>
          <t>Verwaltungskosten</t>
        </is>
      </c>
      <c r="E2574" s="7" t="n">
        <v>10789.61</v>
      </c>
      <c r="F2574" s="7" t="n">
        <v>129475.37</v>
      </c>
    </row>
    <row r="2575" ht="21" customHeight="1">
      <c r="A2575" s="7" t="n">
        <v>2031</v>
      </c>
      <c r="B2575" s="7" t="n">
        <v>8</v>
      </c>
      <c r="C2575" s="10" t="inlineStr">
        <is>
          <t>Instandh. BGA</t>
        </is>
      </c>
      <c r="D2575" s="10" t="inlineStr">
        <is>
          <t>Instandh. Betriebsausstattung</t>
        </is>
      </c>
      <c r="E2575" s="7" t="n">
        <v>5124.63</v>
      </c>
      <c r="F2575" s="7" t="n">
        <v>61495.58</v>
      </c>
    </row>
    <row r="2576" ht="21" customHeight="1">
      <c r="A2576" s="7" t="n">
        <v>2029</v>
      </c>
      <c r="B2576" s="7" t="n">
        <v>8</v>
      </c>
      <c r="C2576" s="10" t="inlineStr">
        <is>
          <t>Treibstoffe, Oe</t>
        </is>
      </c>
      <c r="D2576" s="10" t="inlineStr">
        <is>
          <t>Fuhrparkkosten</t>
        </is>
      </c>
      <c r="E2576" s="7" t="n">
        <v>32242.68</v>
      </c>
      <c r="F2576" s="7" t="n">
        <v>386912.19</v>
      </c>
    </row>
    <row r="2577" ht="21" customHeight="1">
      <c r="A2577" s="7" t="n">
        <v>2027</v>
      </c>
      <c r="B2577" s="7" t="n">
        <v>8</v>
      </c>
      <c r="C2577" s="10" t="inlineStr">
        <is>
          <t>Instandh. BGA</t>
        </is>
      </c>
      <c r="D2577" s="10" t="inlineStr">
        <is>
          <t>Instandh. Betriebsausstattung</t>
        </is>
      </c>
      <c r="E2577" s="7" t="n">
        <v>4216.05</v>
      </c>
      <c r="F2577" s="7" t="n">
        <v>50592.58</v>
      </c>
    </row>
    <row r="2578" ht="21" customHeight="1">
      <c r="A2578" s="7" t="n">
        <v>2029</v>
      </c>
      <c r="B2578" s="7" t="n">
        <v>8</v>
      </c>
      <c r="C2578" s="10" t="inlineStr">
        <is>
          <t>Ueb Lohn-Gehalt</t>
        </is>
      </c>
      <c r="D2578" s="10" t="inlineStr">
        <is>
          <t>Personalaufwand</t>
        </is>
      </c>
      <c r="E2578" s="7" t="n">
        <v>37989.9</v>
      </c>
      <c r="F2578" s="7" t="n">
        <v>455878.84</v>
      </c>
    </row>
    <row r="2579" ht="21" customHeight="1">
      <c r="A2579" s="7" t="n">
        <v>2031</v>
      </c>
      <c r="B2579" s="7" t="n">
        <v>8</v>
      </c>
      <c r="C2579" s="10" t="inlineStr">
        <is>
          <t>Erl. Waren Dt.</t>
        </is>
      </c>
      <c r="D2579" s="10" t="inlineStr">
        <is>
          <t>Gesamtleistung</t>
        </is>
      </c>
      <c r="E2579" s="7" t="n">
        <v>50865.59</v>
      </c>
      <c r="F2579" s="7" t="n">
        <v>610387.05</v>
      </c>
    </row>
    <row r="2580" ht="21" customHeight="1">
      <c r="A2580" s="7" t="n">
        <v>2027</v>
      </c>
      <c r="B2580" s="7" t="n">
        <v>8</v>
      </c>
      <c r="C2580" s="10" t="inlineStr">
        <is>
          <t>Fremdl. Persona</t>
        </is>
      </c>
      <c r="D2580" s="10" t="inlineStr">
        <is>
          <t>Vorleistungen</t>
        </is>
      </c>
      <c r="E2580" s="7" t="n">
        <v>61.31</v>
      </c>
      <c r="F2580" s="7" t="n">
        <v>735.66</v>
      </c>
    </row>
    <row r="2581" ht="21" customHeight="1">
      <c r="A2581" s="7" t="n">
        <v>2027</v>
      </c>
      <c r="B2581" s="7" t="n">
        <v>8</v>
      </c>
      <c r="C2581" s="10" t="inlineStr">
        <is>
          <t>Aufwand Umlage</t>
        </is>
      </c>
      <c r="D2581" s="10" t="inlineStr">
        <is>
          <t>Verwaltungskosten</t>
        </is>
      </c>
      <c r="E2581" s="7" t="n">
        <v>3383.24</v>
      </c>
      <c r="F2581" s="7" t="n">
        <v>40598.91</v>
      </c>
    </row>
    <row r="2582" ht="21" customHeight="1">
      <c r="A2582" s="7" t="n">
        <v>2031</v>
      </c>
      <c r="B2582" s="7" t="n">
        <v>8</v>
      </c>
      <c r="C2582" s="10" t="inlineStr">
        <is>
          <t>Ueb Lohn-Gehalt</t>
        </is>
      </c>
      <c r="D2582" s="10" t="inlineStr">
        <is>
          <t>Personalaufwand</t>
        </is>
      </c>
      <c r="E2582" s="7" t="n">
        <v>45675.82</v>
      </c>
      <c r="F2582" s="7" t="n">
        <v>548109.79</v>
      </c>
    </row>
    <row r="2583" ht="21" customHeight="1">
      <c r="A2583" s="7" t="n">
        <v>2027</v>
      </c>
      <c r="B2583" s="7" t="n">
        <v>8</v>
      </c>
      <c r="C2583" s="10" t="inlineStr">
        <is>
          <t>Rechts- u. Beratungs</t>
        </is>
      </c>
      <c r="D2583" s="10" t="inlineStr">
        <is>
          <t>Verwaltungskosten</t>
        </is>
      </c>
      <c r="E2583" s="7" t="n">
        <v>25635.99</v>
      </c>
      <c r="F2583" s="7" t="n">
        <v>307631.89</v>
      </c>
    </row>
    <row r="2584" ht="21" customHeight="1">
      <c r="A2584" s="7" t="n">
        <v>2028</v>
      </c>
      <c r="B2584" s="7" t="n">
        <v>8</v>
      </c>
      <c r="C2584" s="10" t="inlineStr">
        <is>
          <t>Verwaltungskost</t>
        </is>
      </c>
      <c r="D2584" s="10" t="inlineStr">
        <is>
          <t>Verwaltungskosten</t>
        </is>
      </c>
      <c r="E2584" s="7" t="n">
        <v>6892.21</v>
      </c>
      <c r="F2584" s="7" t="n">
        <v>82706.56</v>
      </c>
    </row>
    <row r="2585" ht="21" customHeight="1">
      <c r="A2585" s="7" t="n">
        <v>2028</v>
      </c>
      <c r="B2585" s="7" t="n">
        <v>8</v>
      </c>
      <c r="C2585" s="10" t="inlineStr">
        <is>
          <t>Ueb. bezog.Leis</t>
        </is>
      </c>
      <c r="D2585" s="10" t="inlineStr">
        <is>
          <t>Vorleistungen</t>
        </is>
      </c>
      <c r="E2585" s="7" t="n">
        <v>1342498.67</v>
      </c>
      <c r="F2585" s="7" t="n">
        <v>16109983.99</v>
      </c>
    </row>
    <row r="2586" ht="21" customHeight="1">
      <c r="A2586" s="7" t="n">
        <v>2028</v>
      </c>
      <c r="B2586" s="7" t="n">
        <v>8</v>
      </c>
      <c r="C2586" s="10" t="inlineStr">
        <is>
          <t>Ankauf Rohstoff</t>
        </is>
      </c>
      <c r="D2586" s="10" t="inlineStr">
        <is>
          <t>Vorleistungen</t>
        </is>
      </c>
      <c r="E2586" s="7" t="n">
        <v>1457.38</v>
      </c>
      <c r="F2586" s="7" t="n">
        <v>17488.61</v>
      </c>
    </row>
    <row r="2587" ht="21" customHeight="1">
      <c r="A2587" s="7" t="n">
        <v>2029</v>
      </c>
      <c r="B2587" s="7" t="n">
        <v>8</v>
      </c>
      <c r="C2587" s="10" t="inlineStr">
        <is>
          <t>Erloesschmaeler</t>
        </is>
      </c>
      <c r="D2587" s="10" t="inlineStr">
        <is>
          <t>Gesamtleistung</t>
        </is>
      </c>
      <c r="E2587" s="7" t="n">
        <v>-9048.01</v>
      </c>
      <c r="F2587" s="7" t="n">
        <v>-108576.08</v>
      </c>
    </row>
    <row r="2588" ht="21" customHeight="1">
      <c r="A2588" s="7" t="n">
        <v>2029</v>
      </c>
      <c r="B2588" s="7" t="n">
        <v>8</v>
      </c>
      <c r="C2588" s="10" t="inlineStr">
        <is>
          <t>Leasing PKW</t>
        </is>
      </c>
      <c r="D2588" s="10" t="inlineStr">
        <is>
          <t>Fuhrparkkosten</t>
        </is>
      </c>
      <c r="E2588" s="7" t="n">
        <v>24652.26</v>
      </c>
      <c r="F2588" s="7" t="n">
        <v>295827.14</v>
      </c>
    </row>
    <row r="2589" ht="21" customHeight="1">
      <c r="A2589" s="7" t="n">
        <v>2029</v>
      </c>
      <c r="B2589" s="7" t="n">
        <v>8</v>
      </c>
      <c r="C2589" s="10" t="inlineStr">
        <is>
          <t>Fremdl. Persona</t>
        </is>
      </c>
      <c r="D2589" s="10" t="inlineStr">
        <is>
          <t>Vorleistungen</t>
        </is>
      </c>
      <c r="E2589" s="7" t="n">
        <v>73.3</v>
      </c>
      <c r="F2589" s="7" t="n">
        <v>879.54</v>
      </c>
    </row>
    <row r="2590" ht="21" customHeight="1">
      <c r="A2590" s="7" t="n">
        <v>2028</v>
      </c>
      <c r="B2590" s="7" t="n">
        <v>8</v>
      </c>
      <c r="C2590" s="10" t="inlineStr">
        <is>
          <t>Aufwand Umlage</t>
        </is>
      </c>
      <c r="D2590" s="10" t="inlineStr">
        <is>
          <t>Verwaltungskosten</t>
        </is>
      </c>
      <c r="E2590" s="7" t="n">
        <v>3484.74</v>
      </c>
      <c r="F2590" s="7" t="n">
        <v>41816.88</v>
      </c>
    </row>
    <row r="2591" ht="21" customHeight="1">
      <c r="A2591" s="7" t="n">
        <v>2027</v>
      </c>
      <c r="B2591" s="7" t="n">
        <v>8</v>
      </c>
      <c r="C2591" s="10" t="inlineStr">
        <is>
          <t>Ankauf Rohstoff</t>
        </is>
      </c>
      <c r="D2591" s="10" t="inlineStr">
        <is>
          <t>Vorleistungen</t>
        </is>
      </c>
      <c r="E2591" s="7" t="n">
        <v>1408.24</v>
      </c>
      <c r="F2591" s="7" t="n">
        <v>16898.9</v>
      </c>
    </row>
    <row r="2592" ht="21" customHeight="1">
      <c r="A2592" s="7" t="n">
        <v>2030</v>
      </c>
      <c r="B2592" s="7" t="n">
        <v>8</v>
      </c>
      <c r="C2592" s="10" t="inlineStr">
        <is>
          <t>Erloesschmaeler</t>
        </is>
      </c>
      <c r="D2592" s="10" t="inlineStr">
        <is>
          <t>Gesamtleistung</t>
        </is>
      </c>
      <c r="E2592" s="7" t="n">
        <v>-9690.75</v>
      </c>
      <c r="F2592" s="7" t="n">
        <v>-116289.05</v>
      </c>
    </row>
    <row r="2593" ht="21" customHeight="1">
      <c r="A2593" s="7" t="n">
        <v>2029</v>
      </c>
      <c r="B2593" s="7" t="n">
        <v>8</v>
      </c>
      <c r="C2593" s="10" t="inlineStr">
        <is>
          <t>Sonst Fuhrparkkosten</t>
        </is>
      </c>
      <c r="D2593" s="10" t="inlineStr">
        <is>
          <t>Fuhrparkkosten</t>
        </is>
      </c>
      <c r="E2593" s="7" t="n">
        <v>5605.91</v>
      </c>
      <c r="F2593" s="7" t="n">
        <v>67270.89</v>
      </c>
    </row>
    <row r="2594" ht="21" customHeight="1">
      <c r="A2594" s="7" t="n">
        <v>2027</v>
      </c>
      <c r="B2594" s="7" t="n">
        <v>8</v>
      </c>
      <c r="C2594" s="10" t="inlineStr">
        <is>
          <t>Soziale Abgaben</t>
        </is>
      </c>
      <c r="D2594" s="10" t="inlineStr">
        <is>
          <t>Personalaufwand</t>
        </is>
      </c>
      <c r="E2594" s="7" t="n">
        <v>75903.69</v>
      </c>
      <c r="F2594" s="7" t="n">
        <v>910844.28</v>
      </c>
    </row>
    <row r="2595" ht="21" customHeight="1">
      <c r="A2595" s="7" t="n">
        <v>2031</v>
      </c>
      <c r="B2595" s="7" t="n">
        <v>8</v>
      </c>
      <c r="C2595" s="10" t="inlineStr">
        <is>
          <t>Erloesschmaeler</t>
        </is>
      </c>
      <c r="D2595" s="10" t="inlineStr">
        <is>
          <t>Gesamtleistung</t>
        </is>
      </c>
      <c r="E2595" s="7" t="n">
        <v>-10347.15</v>
      </c>
      <c r="F2595" s="7" t="n">
        <v>-124165.81</v>
      </c>
    </row>
    <row r="2596" ht="21" customHeight="1">
      <c r="A2596" s="7" t="n">
        <v>2029</v>
      </c>
      <c r="B2596" s="7" t="n">
        <v>8</v>
      </c>
      <c r="C2596" s="10" t="inlineStr">
        <is>
          <t>Ertr. weiterber</t>
        </is>
      </c>
      <c r="D2596" s="10" t="inlineStr">
        <is>
          <t>Gesamtleistung</t>
        </is>
      </c>
      <c r="E2596" s="7" t="n">
        <v>1036.39</v>
      </c>
      <c r="F2596" s="7" t="n">
        <v>12436.69</v>
      </c>
    </row>
    <row r="2597" ht="21" customHeight="1">
      <c r="A2597" s="7" t="n">
        <v>2027</v>
      </c>
      <c r="B2597" s="7" t="n">
        <v>8</v>
      </c>
      <c r="C2597" s="10" t="inlineStr">
        <is>
          <t>Sonderz. Prämie</t>
        </is>
      </c>
      <c r="D2597" s="10" t="inlineStr">
        <is>
          <t>Personalaufwand</t>
        </is>
      </c>
      <c r="E2597" s="7" t="n">
        <v>19636.08</v>
      </c>
      <c r="F2597" s="7" t="n">
        <v>235633</v>
      </c>
    </row>
    <row r="2598" ht="21" customHeight="1">
      <c r="A2598" s="7" t="n">
        <v>2027</v>
      </c>
      <c r="B2598" s="7" t="n">
        <v>8</v>
      </c>
      <c r="C2598" s="10" t="inlineStr">
        <is>
          <t>Miete Behälter</t>
        </is>
      </c>
      <c r="D2598" s="10" t="inlineStr">
        <is>
          <t>Instandh. Betriebsausstattung</t>
        </is>
      </c>
      <c r="E2598" s="7" t="n">
        <v>22.94</v>
      </c>
      <c r="F2598" s="7" t="n">
        <v>275.23</v>
      </c>
    </row>
    <row r="2599" ht="21" customHeight="1">
      <c r="A2599" s="7" t="n">
        <v>2031</v>
      </c>
      <c r="B2599" s="7" t="n">
        <v>8</v>
      </c>
      <c r="C2599" s="10" t="inlineStr">
        <is>
          <t>Versicherungskosten</t>
        </is>
      </c>
      <c r="D2599" s="10" t="inlineStr">
        <is>
          <t>Verwaltungskosten</t>
        </is>
      </c>
      <c r="E2599" s="7" t="n">
        <v>12143.81</v>
      </c>
      <c r="F2599" s="7" t="n">
        <v>145725.66</v>
      </c>
    </row>
    <row r="2600" ht="21" customHeight="1">
      <c r="A2600" s="7" t="n">
        <v>2029</v>
      </c>
      <c r="B2600" s="7" t="n">
        <v>8</v>
      </c>
      <c r="C2600" s="10" t="inlineStr">
        <is>
          <t>Rechts- u. Beratungs</t>
        </is>
      </c>
      <c r="D2600" s="10" t="inlineStr">
        <is>
          <t>Verwaltungskosten</t>
        </is>
      </c>
      <c r="E2600" s="7" t="n">
        <v>27197.22</v>
      </c>
      <c r="F2600" s="7" t="n">
        <v>326366.65</v>
      </c>
    </row>
    <row r="2601" ht="21" customHeight="1">
      <c r="A2601" s="7" t="n">
        <v>2028</v>
      </c>
      <c r="B2601" s="7" t="n">
        <v>8</v>
      </c>
      <c r="C2601" s="10" t="inlineStr">
        <is>
          <t>Instandh.Fuhrp</t>
        </is>
      </c>
      <c r="D2601" s="10" t="inlineStr">
        <is>
          <t>Fuhrparkkosten</t>
        </is>
      </c>
      <c r="E2601" s="7" t="n">
        <v>32180.39</v>
      </c>
      <c r="F2601" s="7" t="n">
        <v>386164.66</v>
      </c>
    </row>
    <row r="2602" ht="21" customHeight="1">
      <c r="A2602" s="7" t="n">
        <v>2030</v>
      </c>
      <c r="B2602" s="7" t="n">
        <v>8</v>
      </c>
      <c r="C2602" s="10" t="inlineStr">
        <is>
          <t>Miete Grdst/Gebäud</t>
        </is>
      </c>
      <c r="D2602" s="10" t="inlineStr">
        <is>
          <t>Raumkosten</t>
        </is>
      </c>
      <c r="E2602" s="7" t="n">
        <v>18603.32</v>
      </c>
      <c r="F2602" s="7" t="n">
        <v>223239.88</v>
      </c>
    </row>
    <row r="2603" ht="21" customHeight="1">
      <c r="A2603" s="7" t="n">
        <v>2027</v>
      </c>
      <c r="B2603" s="7" t="n">
        <v>8</v>
      </c>
      <c r="C2603" s="10" t="inlineStr">
        <is>
          <t>Ueb. bezog.Leis</t>
        </is>
      </c>
      <c r="D2603" s="10" t="inlineStr">
        <is>
          <t>Vorleistungen</t>
        </is>
      </c>
      <c r="E2603" s="7" t="n">
        <v>1319862.34</v>
      </c>
      <c r="F2603" s="7" t="n">
        <v>15838348.13</v>
      </c>
    </row>
    <row r="2604" ht="21" customHeight="1">
      <c r="A2604" s="7" t="n">
        <v>2029</v>
      </c>
      <c r="B2604" s="7" t="n">
        <v>8</v>
      </c>
      <c r="C2604" s="10" t="inlineStr">
        <is>
          <t>Erl. Waren Dt.</t>
        </is>
      </c>
      <c r="D2604" s="10" t="inlineStr">
        <is>
          <t>Gesamtleistung</t>
        </is>
      </c>
      <c r="E2604" s="7" t="n">
        <v>47334.08</v>
      </c>
      <c r="F2604" s="7" t="n">
        <v>568008.92</v>
      </c>
    </row>
    <row r="2605" ht="21" customHeight="1">
      <c r="A2605" s="7" t="n">
        <v>2031</v>
      </c>
      <c r="B2605" s="7" t="n">
        <v>8</v>
      </c>
      <c r="C2605" s="10" t="inlineStr">
        <is>
          <t>Treibstoffe, Oe</t>
        </is>
      </c>
      <c r="D2605" s="10" t="inlineStr">
        <is>
          <t>Fuhrparkkosten</t>
        </is>
      </c>
      <c r="E2605" s="7" t="n">
        <v>36227.88</v>
      </c>
      <c r="F2605" s="7" t="n">
        <v>434734.54</v>
      </c>
    </row>
    <row r="2606" ht="21" customHeight="1">
      <c r="A2606" s="7" t="n">
        <v>2029</v>
      </c>
      <c r="B2606" s="7" t="n">
        <v>8</v>
      </c>
      <c r="C2606" s="10" t="inlineStr">
        <is>
          <t>Miete Behälter</t>
        </is>
      </c>
      <c r="D2606" s="10" t="inlineStr">
        <is>
          <t>Instandh. Betriebsausstattung</t>
        </is>
      </c>
      <c r="E2606" s="7" t="n">
        <v>25.29</v>
      </c>
      <c r="F2606" s="7" t="n">
        <v>303.45</v>
      </c>
    </row>
    <row r="2607" ht="21" customHeight="1">
      <c r="A2607" s="7" t="n">
        <v>2030</v>
      </c>
      <c r="B2607" s="7" t="n">
        <v>8</v>
      </c>
      <c r="C2607" s="10" t="inlineStr">
        <is>
          <t>Instandh. BGA</t>
        </is>
      </c>
      <c r="D2607" s="10" t="inlineStr">
        <is>
          <t>Instandh. Betriebsausstattung</t>
        </is>
      </c>
      <c r="E2607" s="7" t="n">
        <v>4880.6</v>
      </c>
      <c r="F2607" s="7" t="n">
        <v>58567.23</v>
      </c>
    </row>
    <row r="2608" ht="21" customHeight="1">
      <c r="A2608" s="7" t="n">
        <v>2030</v>
      </c>
      <c r="B2608" s="7" t="n">
        <v>8</v>
      </c>
      <c r="C2608" s="10" t="inlineStr">
        <is>
          <t>Lohn + Gehalt</t>
        </is>
      </c>
      <c r="D2608" s="10" t="inlineStr">
        <is>
          <t>Personalaufwand</t>
        </is>
      </c>
      <c r="E2608" s="7" t="n">
        <v>392030.8</v>
      </c>
      <c r="F2608" s="7" t="n">
        <v>4704369.59</v>
      </c>
    </row>
    <row r="2609" ht="21" customHeight="1">
      <c r="A2609" s="7" t="n">
        <v>2027</v>
      </c>
      <c r="B2609" s="7" t="n">
        <v>8</v>
      </c>
      <c r="C2609" s="10" t="inlineStr">
        <is>
          <t>Bestandsveraend</t>
        </is>
      </c>
      <c r="D2609" s="10" t="inlineStr">
        <is>
          <t>Gesamtleistung</t>
        </is>
      </c>
      <c r="E2609" s="7" t="n">
        <v>0</v>
      </c>
      <c r="F2609" s="7" t="n">
        <v>0</v>
      </c>
    </row>
    <row r="2610" ht="21" customHeight="1">
      <c r="A2610" s="7" t="n">
        <v>2027</v>
      </c>
      <c r="B2610" s="7" t="n">
        <v>8</v>
      </c>
      <c r="C2610" s="10" t="inlineStr">
        <is>
          <t>Aufw. so. Hilfs</t>
        </is>
      </c>
      <c r="D2610" s="10" t="inlineStr">
        <is>
          <t>Vorleistungen</t>
        </is>
      </c>
      <c r="E2610" s="7" t="n">
        <v>-16362.04</v>
      </c>
      <c r="F2610" s="7" t="n">
        <v>-196344.47</v>
      </c>
    </row>
    <row r="2611" ht="21" customHeight="1">
      <c r="A2611" s="7" t="n">
        <v>2027</v>
      </c>
      <c r="B2611" s="7" t="n">
        <v>8</v>
      </c>
      <c r="C2611" s="10" t="inlineStr">
        <is>
          <t>Aufw. f. Alters</t>
        </is>
      </c>
      <c r="D2611" s="10" t="inlineStr">
        <is>
          <t>Personalaufwand</t>
        </is>
      </c>
      <c r="E2611" s="7" t="n">
        <v>1234.77</v>
      </c>
      <c r="F2611" s="7" t="n">
        <v>14817.29</v>
      </c>
    </row>
    <row r="2612" ht="21" customHeight="1">
      <c r="A2612" s="7" t="n">
        <v>2027</v>
      </c>
      <c r="B2612" s="7" t="n">
        <v>8</v>
      </c>
      <c r="C2612" s="10" t="inlineStr">
        <is>
          <t>Vertriebskosten</t>
        </is>
      </c>
      <c r="D2612" s="10" t="inlineStr">
        <is>
          <t>Vertriebskosten</t>
        </is>
      </c>
      <c r="E2612" s="7" t="n">
        <v>10833.33</v>
      </c>
      <c r="F2612" s="7" t="n">
        <v>130000</v>
      </c>
    </row>
    <row r="2613" ht="21" customHeight="1">
      <c r="A2613" s="7" t="n">
        <v>2027</v>
      </c>
      <c r="B2613" s="7" t="n">
        <v>8</v>
      </c>
      <c r="C2613" s="10" t="inlineStr">
        <is>
          <t>Ertrag KFZ-Nutz</t>
        </is>
      </c>
      <c r="D2613" s="10" t="inlineStr">
        <is>
          <t>Gesamtleistung</t>
        </is>
      </c>
      <c r="E2613" s="7" t="n">
        <v>8029.69</v>
      </c>
      <c r="F2613" s="7" t="n">
        <v>96356.3</v>
      </c>
    </row>
    <row r="2614" ht="21" customHeight="1">
      <c r="A2614" s="7" t="n">
        <v>2031</v>
      </c>
      <c r="B2614" s="7" t="n">
        <v>8</v>
      </c>
      <c r="C2614" s="10" t="inlineStr">
        <is>
          <t>Lohn + Gehalt</t>
        </is>
      </c>
      <c r="D2614" s="10" t="inlineStr">
        <is>
          <t>Personalaufwand</t>
        </is>
      </c>
      <c r="E2614" s="7" t="n">
        <v>428257.62</v>
      </c>
      <c r="F2614" s="7" t="n">
        <v>5139091.39</v>
      </c>
    </row>
    <row r="2615" ht="21" customHeight="1">
      <c r="A2615" s="7" t="n">
        <v>2031</v>
      </c>
      <c r="B2615" s="7" t="n">
        <v>8</v>
      </c>
      <c r="C2615" s="10" t="inlineStr">
        <is>
          <t>Soziale Abgaben</t>
        </is>
      </c>
      <c r="D2615" s="10" t="inlineStr">
        <is>
          <t>Personalaufwand</t>
        </is>
      </c>
      <c r="E2615" s="7" t="n">
        <v>113909.76</v>
      </c>
      <c r="F2615" s="7" t="n">
        <v>1366917.09</v>
      </c>
    </row>
    <row r="2616" ht="21" customHeight="1">
      <c r="A2616" s="7" t="n">
        <v>2031</v>
      </c>
      <c r="B2616" s="7" t="n">
        <v>8</v>
      </c>
      <c r="C2616" s="10" t="inlineStr">
        <is>
          <t>Sonst Fuhrparkkosten</t>
        </is>
      </c>
      <c r="D2616" s="10" t="inlineStr">
        <is>
          <t>Fuhrparkkosten</t>
        </is>
      </c>
      <c r="E2616" s="7" t="n">
        <v>6298.8</v>
      </c>
      <c r="F2616" s="7" t="n">
        <v>75585.56</v>
      </c>
    </row>
    <row r="2617" ht="21" customHeight="1">
      <c r="A2617" s="7" t="n">
        <v>2030</v>
      </c>
      <c r="B2617" s="7" t="n">
        <v>8</v>
      </c>
      <c r="C2617" s="10" t="inlineStr">
        <is>
          <t>Miete Behälter</t>
        </is>
      </c>
      <c r="D2617" s="10" t="inlineStr">
        <is>
          <t>Instandh. Betriebsausstattung</t>
        </is>
      </c>
      <c r="E2617" s="7" t="n">
        <v>26.55</v>
      </c>
      <c r="F2617" s="7" t="n">
        <v>318.62</v>
      </c>
    </row>
    <row r="2618" ht="21" customHeight="1">
      <c r="A2618" s="7" t="n">
        <v>2028</v>
      </c>
      <c r="B2618" s="7" t="n">
        <v>8</v>
      </c>
      <c r="C2618" s="10" t="inlineStr">
        <is>
          <t>Miete PKW</t>
        </is>
      </c>
      <c r="D2618" s="10" t="inlineStr">
        <is>
          <t>Fuhrparkkosten</t>
        </is>
      </c>
      <c r="E2618" s="7" t="n">
        <v>4890.62</v>
      </c>
      <c r="F2618" s="7" t="n">
        <v>58687.43</v>
      </c>
    </row>
    <row r="2619" ht="21" customHeight="1">
      <c r="A2619" s="7" t="n">
        <v>2030</v>
      </c>
      <c r="B2619" s="7" t="n">
        <v>8</v>
      </c>
      <c r="C2619" s="10" t="inlineStr">
        <is>
          <t>Aufwand Umlage</t>
        </is>
      </c>
      <c r="D2619" s="10" t="inlineStr">
        <is>
          <t>Verwaltungskosten</t>
        </is>
      </c>
      <c r="E2619" s="7" t="n">
        <v>3696.96</v>
      </c>
      <c r="F2619" s="7" t="n">
        <v>44363.53</v>
      </c>
    </row>
    <row r="2620" ht="21" customHeight="1">
      <c r="A2620" s="7" t="n">
        <v>2030</v>
      </c>
      <c r="B2620" s="7" t="n">
        <v>8</v>
      </c>
      <c r="C2620" s="10" t="inlineStr">
        <is>
          <t>So. betr. Aufwa</t>
        </is>
      </c>
      <c r="D2620" s="10" t="inlineStr">
        <is>
          <t>Verwaltungskosten</t>
        </is>
      </c>
      <c r="E2620" s="7" t="n">
        <v>714.05</v>
      </c>
      <c r="F2620" s="7" t="n">
        <v>8568.57</v>
      </c>
    </row>
    <row r="2621" ht="21" customHeight="1">
      <c r="A2621" s="7" t="n">
        <v>2029</v>
      </c>
      <c r="B2621" s="7" t="n">
        <v>8</v>
      </c>
      <c r="C2621" s="10" t="inlineStr">
        <is>
          <t>Versicherungskosten</t>
        </is>
      </c>
      <c r="D2621" s="10" t="inlineStr">
        <is>
          <t>Verwaltungskosten</t>
        </is>
      </c>
      <c r="E2621" s="7" t="n">
        <v>11446.7</v>
      </c>
      <c r="F2621" s="7" t="n">
        <v>137360.42</v>
      </c>
    </row>
    <row r="2622" ht="21" customHeight="1">
      <c r="A2622" s="7" t="n">
        <v>2027</v>
      </c>
      <c r="B2622" s="7" t="n">
        <v>8</v>
      </c>
      <c r="C2622" s="10" t="inlineStr">
        <is>
          <t>Sonstige Steuer</t>
        </is>
      </c>
      <c r="D2622" s="10" t="inlineStr">
        <is>
          <t>Fuhrparkkosten</t>
        </is>
      </c>
      <c r="E2622" s="7" t="n">
        <v>1497.31</v>
      </c>
      <c r="F2622" s="7" t="n">
        <v>17967.71</v>
      </c>
    </row>
    <row r="2623" ht="21" customHeight="1">
      <c r="A2623" s="7" t="n">
        <v>2031</v>
      </c>
      <c r="B2623" s="7" t="n">
        <v>8</v>
      </c>
      <c r="C2623" s="10" t="inlineStr">
        <is>
          <t>Leasing LKW</t>
        </is>
      </c>
      <c r="D2623" s="10" t="inlineStr">
        <is>
          <t>Fuhrparkkosten</t>
        </is>
      </c>
      <c r="E2623" s="7" t="n">
        <v>2910.36</v>
      </c>
      <c r="F2623" s="7" t="n">
        <v>34924.28</v>
      </c>
    </row>
    <row r="2624" ht="21" customHeight="1">
      <c r="A2624" s="7" t="n">
        <v>2029</v>
      </c>
      <c r="B2624" s="7" t="n">
        <v>8</v>
      </c>
      <c r="C2624" s="10" t="inlineStr">
        <is>
          <t>Leasing LKW</t>
        </is>
      </c>
      <c r="D2624" s="10" t="inlineStr">
        <is>
          <t>Fuhrparkkosten</t>
        </is>
      </c>
      <c r="E2624" s="7" t="n">
        <v>2590.21</v>
      </c>
      <c r="F2624" s="7" t="n">
        <v>31082.49</v>
      </c>
    </row>
    <row r="2625" ht="21" customHeight="1">
      <c r="A2625" s="7" t="n">
        <v>2027</v>
      </c>
      <c r="B2625" s="7" t="n">
        <v>8</v>
      </c>
      <c r="C2625" s="10" t="inlineStr">
        <is>
          <t>Instandh.Fuhrp</t>
        </is>
      </c>
      <c r="D2625" s="10" t="inlineStr">
        <is>
          <t>Fuhrparkkosten</t>
        </is>
      </c>
      <c r="E2625" s="7" t="n">
        <v>30358.86</v>
      </c>
      <c r="F2625" s="7" t="n">
        <v>364306.28</v>
      </c>
    </row>
    <row r="2626" ht="21" customHeight="1">
      <c r="A2626" s="7" t="n">
        <v>2029</v>
      </c>
      <c r="B2626" s="7" t="n">
        <v>8</v>
      </c>
      <c r="C2626" s="10" t="inlineStr">
        <is>
          <t>Vertriebskosten</t>
        </is>
      </c>
      <c r="D2626" s="10" t="inlineStr">
        <is>
          <t>Vertriebskosten</t>
        </is>
      </c>
      <c r="E2626" s="7" t="n">
        <v>11943.75</v>
      </c>
      <c r="F2626" s="7" t="n">
        <v>143325</v>
      </c>
    </row>
    <row r="2627" ht="21" customHeight="1">
      <c r="A2627" s="7" t="n">
        <v>2031</v>
      </c>
      <c r="B2627" s="7" t="n">
        <v>8</v>
      </c>
      <c r="C2627" s="10" t="inlineStr">
        <is>
          <t>Miete Grdst/Gebäud</t>
        </is>
      </c>
      <c r="D2627" s="10" t="inlineStr">
        <is>
          <t>Raumkosten</t>
        </is>
      </c>
      <c r="E2627" s="7" t="n">
        <v>18975.39</v>
      </c>
      <c r="F2627" s="7" t="n">
        <v>227704.65</v>
      </c>
    </row>
    <row r="2628" ht="21" customHeight="1">
      <c r="A2628" s="7" t="n">
        <v>2029</v>
      </c>
      <c r="B2628" s="7" t="n">
        <v>8</v>
      </c>
      <c r="C2628" s="10" t="inlineStr">
        <is>
          <t>Uebr.neutr. Ert</t>
        </is>
      </c>
      <c r="D2628" s="10" t="inlineStr">
        <is>
          <t>Gesamtleistung</t>
        </is>
      </c>
      <c r="E2628" s="7" t="n">
        <v>189.9</v>
      </c>
      <c r="F2628" s="7" t="n">
        <v>2278.85</v>
      </c>
    </row>
    <row r="2629" ht="21" customHeight="1">
      <c r="A2629" s="7" t="n">
        <v>2030</v>
      </c>
      <c r="B2629" s="7" t="n">
        <v>8</v>
      </c>
      <c r="C2629" s="10" t="inlineStr">
        <is>
          <t>Behaelterkosten</t>
        </is>
      </c>
      <c r="D2629" s="10" t="inlineStr">
        <is>
          <t>Instandh. Betriebsausstattung</t>
        </is>
      </c>
      <c r="E2629" s="7" t="n">
        <v>12.75</v>
      </c>
      <c r="F2629" s="7" t="n">
        <v>153.03</v>
      </c>
    </row>
    <row r="2630" ht="21" customHeight="1">
      <c r="A2630" s="7" t="n">
        <v>2029</v>
      </c>
      <c r="B2630" s="7" t="n">
        <v>8</v>
      </c>
      <c r="C2630" s="10" t="inlineStr">
        <is>
          <t>IT-Aufwendungen</t>
        </is>
      </c>
      <c r="D2630" s="10" t="inlineStr">
        <is>
          <t>Verwaltungskosten</t>
        </is>
      </c>
      <c r="E2630" s="7" t="n">
        <v>12302.44</v>
      </c>
      <c r="F2630" s="7" t="n">
        <v>147629.28</v>
      </c>
    </row>
    <row r="2631" ht="21" customHeight="1">
      <c r="A2631" s="7" t="n">
        <v>2028</v>
      </c>
      <c r="B2631" s="7" t="n">
        <v>8</v>
      </c>
      <c r="C2631" s="10" t="inlineStr">
        <is>
          <t>Instandh. BGA</t>
        </is>
      </c>
      <c r="D2631" s="10" t="inlineStr">
        <is>
          <t>Instandh. Betriebsausstattung</t>
        </is>
      </c>
      <c r="E2631" s="7" t="n">
        <v>4426.85</v>
      </c>
      <c r="F2631" s="7" t="n">
        <v>53122.2</v>
      </c>
    </row>
    <row r="2632" ht="21" customHeight="1">
      <c r="A2632" s="7" t="n">
        <v>2029</v>
      </c>
      <c r="B2632" s="7" t="n">
        <v>8</v>
      </c>
      <c r="C2632" s="10" t="inlineStr">
        <is>
          <t>Instandh.Fuhrp</t>
        </is>
      </c>
      <c r="D2632" s="10" t="inlineStr">
        <is>
          <t>Fuhrparkkosten</t>
        </is>
      </c>
      <c r="E2632" s="7" t="n">
        <v>34111.21</v>
      </c>
      <c r="F2632" s="7" t="n">
        <v>409334.56</v>
      </c>
    </row>
    <row r="2633" ht="21" customHeight="1">
      <c r="A2633" s="7" t="n">
        <v>2031</v>
      </c>
      <c r="B2633" s="7" t="n">
        <v>8</v>
      </c>
      <c r="C2633" s="10" t="inlineStr">
        <is>
          <t>Rechts- u. Beratungs</t>
        </is>
      </c>
      <c r="D2633" s="10" t="inlineStr">
        <is>
          <t>Verwaltungskosten</t>
        </is>
      </c>
      <c r="E2633" s="7" t="n">
        <v>28853.53</v>
      </c>
      <c r="F2633" s="7" t="n">
        <v>346242.38</v>
      </c>
    </row>
    <row r="2634" ht="21" customHeight="1">
      <c r="A2634" s="7" t="n">
        <v>2029</v>
      </c>
      <c r="B2634" s="7" t="n">
        <v>8</v>
      </c>
      <c r="C2634" s="10" t="inlineStr">
        <is>
          <t>Ertrag KFZ-Nutz</t>
        </is>
      </c>
      <c r="D2634" s="10" t="inlineStr">
        <is>
          <t>Gesamtleistung</t>
        </is>
      </c>
      <c r="E2634" s="7" t="n">
        <v>8815.82</v>
      </c>
      <c r="F2634" s="7" t="n">
        <v>105789.86</v>
      </c>
    </row>
    <row r="2635" ht="21" customHeight="1">
      <c r="A2635" s="7" t="n">
        <v>2030</v>
      </c>
      <c r="B2635" s="7" t="n">
        <v>8</v>
      </c>
      <c r="C2635" s="10" t="inlineStr">
        <is>
          <t>Ertr. weiterber</t>
        </is>
      </c>
      <c r="D2635" s="10" t="inlineStr">
        <is>
          <t>Gesamtleistung</t>
        </is>
      </c>
      <c r="E2635" s="7" t="n">
        <v>1104.47</v>
      </c>
      <c r="F2635" s="7" t="n">
        <v>13253.67</v>
      </c>
    </row>
    <row r="2636" ht="21" customHeight="1">
      <c r="A2636" s="7" t="n">
        <v>2028</v>
      </c>
      <c r="B2636" s="7" t="n">
        <v>8</v>
      </c>
      <c r="C2636" s="10" t="inlineStr">
        <is>
          <t>Leasing PKW</t>
        </is>
      </c>
      <c r="D2636" s="10" t="inlineStr">
        <is>
          <t>Fuhrparkkosten</t>
        </is>
      </c>
      <c r="E2636" s="7" t="n">
        <v>23256.85</v>
      </c>
      <c r="F2636" s="7" t="n">
        <v>279082.22</v>
      </c>
    </row>
    <row r="2637" ht="21" customHeight="1">
      <c r="A2637" s="7" t="n">
        <v>2028</v>
      </c>
      <c r="B2637" s="7" t="n">
        <v>8</v>
      </c>
      <c r="C2637" s="10" t="inlineStr">
        <is>
          <t>Treibstoffe, Oe</t>
        </is>
      </c>
      <c r="D2637" s="10" t="inlineStr">
        <is>
          <t>Fuhrparkkosten</t>
        </is>
      </c>
      <c r="E2637" s="7" t="n">
        <v>30417.62</v>
      </c>
      <c r="F2637" s="7" t="n">
        <v>365011.49</v>
      </c>
    </row>
    <row r="2638" ht="21" customHeight="1">
      <c r="A2638" s="7" t="n">
        <v>2029</v>
      </c>
      <c r="B2638" s="7" t="n">
        <v>8</v>
      </c>
      <c r="C2638" s="10" t="inlineStr">
        <is>
          <t>Miete PKW</t>
        </is>
      </c>
      <c r="D2638" s="10" t="inlineStr">
        <is>
          <t>Fuhrparkkosten</t>
        </is>
      </c>
      <c r="E2638" s="7" t="n">
        <v>5184.06</v>
      </c>
      <c r="F2638" s="7" t="n">
        <v>62208.67</v>
      </c>
    </row>
    <row r="2639" ht="21" customHeight="1">
      <c r="A2639" s="7" t="n">
        <v>2028</v>
      </c>
      <c r="B2639" s="7" t="n">
        <v>8</v>
      </c>
      <c r="C2639" s="10" t="inlineStr">
        <is>
          <t>Ertr. weiterber</t>
        </is>
      </c>
      <c r="D2639" s="10" t="inlineStr">
        <is>
          <t>Gesamtleistung</t>
        </is>
      </c>
      <c r="E2639" s="7" t="n">
        <v>980.91</v>
      </c>
      <c r="F2639" s="7" t="n">
        <v>11770.87</v>
      </c>
    </row>
    <row r="2640" ht="21" customHeight="1">
      <c r="A2640" s="7" t="n">
        <v>2029</v>
      </c>
      <c r="B2640" s="7" t="n">
        <v>8</v>
      </c>
      <c r="C2640" s="10" t="inlineStr">
        <is>
          <t>Instandh. BGA</t>
        </is>
      </c>
      <c r="D2640" s="10" t="inlineStr">
        <is>
          <t>Instandh. Betriebsausstattung</t>
        </is>
      </c>
      <c r="E2640" s="7" t="n">
        <v>4648.19</v>
      </c>
      <c r="F2640" s="7" t="n">
        <v>55778.31</v>
      </c>
    </row>
    <row r="2641" ht="21" customHeight="1">
      <c r="A2641" s="7" t="n">
        <v>2028</v>
      </c>
      <c r="B2641" s="7" t="n">
        <v>8</v>
      </c>
      <c r="C2641" s="10" t="inlineStr">
        <is>
          <t>Erl. so. DL Dt.</t>
        </is>
      </c>
      <c r="D2641" s="10" t="inlineStr">
        <is>
          <t>Gesamtleistung</t>
        </is>
      </c>
      <c r="E2641" s="7" t="n">
        <v>2095866.37</v>
      </c>
      <c r="F2641" s="7" t="n">
        <v>25150396.49</v>
      </c>
    </row>
    <row r="2642" ht="21" customHeight="1">
      <c r="A2642" s="7" t="n">
        <v>2028</v>
      </c>
      <c r="B2642" s="7" t="n">
        <v>8</v>
      </c>
      <c r="C2642" s="10" t="inlineStr">
        <is>
          <t>IT-Aufwendungen</t>
        </is>
      </c>
      <c r="D2642" s="10" t="inlineStr">
        <is>
          <t>Verwaltungskosten</t>
        </is>
      </c>
      <c r="E2642" s="7" t="n">
        <v>11944.12</v>
      </c>
      <c r="F2642" s="7" t="n">
        <v>143329.39</v>
      </c>
    </row>
    <row r="2643" ht="21" customHeight="1">
      <c r="A2643" s="7" t="n">
        <v>2029</v>
      </c>
      <c r="B2643" s="7" t="n">
        <v>8</v>
      </c>
      <c r="C2643" s="10" t="inlineStr">
        <is>
          <t>Ueb. bezog.Leis</t>
        </is>
      </c>
      <c r="D2643" s="10" t="inlineStr">
        <is>
          <t>Vorleistungen</t>
        </is>
      </c>
      <c r="E2643" s="7" t="n">
        <v>1364260.58</v>
      </c>
      <c r="F2643" s="7" t="n">
        <v>16371126.93</v>
      </c>
    </row>
    <row r="2644" ht="21" customHeight="1">
      <c r="A2644" s="7" t="n">
        <v>2031</v>
      </c>
      <c r="B2644" s="7" t="n">
        <v>8</v>
      </c>
      <c r="C2644" s="10" t="inlineStr">
        <is>
          <t>Sonderz. Prämie</t>
        </is>
      </c>
      <c r="D2644" s="10" t="inlineStr">
        <is>
          <t>Personalaufwand</t>
        </is>
      </c>
      <c r="E2644" s="7" t="n">
        <v>26838.18</v>
      </c>
      <c r="F2644" s="7" t="n">
        <v>322058.2</v>
      </c>
    </row>
    <row r="2645" ht="21" customHeight="1">
      <c r="A2645" s="7" t="n">
        <v>2029</v>
      </c>
      <c r="B2645" s="7" t="n">
        <v>8</v>
      </c>
      <c r="C2645" s="10" t="inlineStr">
        <is>
          <t>Verwaltungskost</t>
        </is>
      </c>
      <c r="D2645" s="10" t="inlineStr">
        <is>
          <t>Verwaltungskosten</t>
        </is>
      </c>
      <c r="E2645" s="7" t="n">
        <v>7098.98</v>
      </c>
      <c r="F2645" s="7" t="n">
        <v>85187.74000000001</v>
      </c>
    </row>
    <row r="2646" ht="21" customHeight="1">
      <c r="A2646" s="7" t="n">
        <v>2028</v>
      </c>
      <c r="B2646" s="7" t="n">
        <v>8</v>
      </c>
      <c r="C2646" s="10" t="inlineStr">
        <is>
          <t>Ertrag KFZ-Nutz</t>
        </is>
      </c>
      <c r="D2646" s="10" t="inlineStr">
        <is>
          <t>Gesamtleistung</t>
        </is>
      </c>
      <c r="E2646" s="7" t="n">
        <v>8405.780000000001</v>
      </c>
      <c r="F2646" s="7" t="n">
        <v>100869.3</v>
      </c>
    </row>
    <row r="2647" ht="21" customHeight="1">
      <c r="A2647" s="7" t="n">
        <v>2030</v>
      </c>
      <c r="B2647" s="7" t="n">
        <v>8</v>
      </c>
      <c r="C2647" s="10" t="inlineStr">
        <is>
          <t>Sonst Fuhrparkkosten</t>
        </is>
      </c>
      <c r="D2647" s="10" t="inlineStr">
        <is>
          <t>Fuhrparkkosten</t>
        </is>
      </c>
      <c r="E2647" s="7" t="n">
        <v>5942.26</v>
      </c>
      <c r="F2647" s="7" t="n">
        <v>71307.13</v>
      </c>
    </row>
    <row r="2648" ht="21" customHeight="1">
      <c r="A2648" s="7" t="n">
        <v>2028</v>
      </c>
      <c r="B2648" s="7" t="n">
        <v>8</v>
      </c>
      <c r="C2648" s="10" t="inlineStr">
        <is>
          <t>Rechts- u. Beratungs</t>
        </is>
      </c>
      <c r="D2648" s="10" t="inlineStr">
        <is>
          <t>Verwaltungskosten</t>
        </is>
      </c>
      <c r="E2648" s="7" t="n">
        <v>26405.07</v>
      </c>
      <c r="F2648" s="7" t="n">
        <v>316860.83</v>
      </c>
    </row>
    <row r="2649" ht="21" customHeight="1">
      <c r="A2649" s="7" t="n">
        <v>2027</v>
      </c>
      <c r="B2649" s="7" t="n">
        <v>8</v>
      </c>
      <c r="C2649" s="10" t="inlineStr">
        <is>
          <t>Leasing LKW</t>
        </is>
      </c>
      <c r="D2649" s="10" t="inlineStr">
        <is>
          <t>Fuhrparkkosten</t>
        </is>
      </c>
      <c r="E2649" s="7" t="n">
        <v>2305.28</v>
      </c>
      <c r="F2649" s="7" t="n">
        <v>27663.3</v>
      </c>
    </row>
    <row r="2650" ht="21" customHeight="1">
      <c r="A2650" s="7" t="n">
        <v>2031</v>
      </c>
      <c r="B2650" s="7" t="n">
        <v>8</v>
      </c>
      <c r="C2650" s="10" t="inlineStr">
        <is>
          <t>Fremdl. Fuhrlei</t>
        </is>
      </c>
      <c r="D2650" s="10" t="inlineStr">
        <is>
          <t>Vorleistungen</t>
        </is>
      </c>
      <c r="E2650" s="7" t="n">
        <v>374.24</v>
      </c>
      <c r="F2650" s="7" t="n">
        <v>4490.84</v>
      </c>
    </row>
    <row r="2651" ht="21" customHeight="1">
      <c r="A2651" s="7" t="n">
        <v>2029</v>
      </c>
      <c r="B2651" s="7" t="n">
        <v>8</v>
      </c>
      <c r="C2651" s="10" t="inlineStr">
        <is>
          <t>Fremdl. Fuhrlei</t>
        </is>
      </c>
      <c r="D2651" s="10" t="inlineStr">
        <is>
          <t>Vorleistungen</t>
        </is>
      </c>
      <c r="E2651" s="7" t="n">
        <v>362.07</v>
      </c>
      <c r="F2651" s="7" t="n">
        <v>4344.88</v>
      </c>
    </row>
    <row r="2652" ht="21" customHeight="1">
      <c r="A2652" s="7" t="n">
        <v>2028</v>
      </c>
      <c r="B2652" s="7" t="n">
        <v>8</v>
      </c>
      <c r="C2652" s="10" t="inlineStr">
        <is>
          <t>Vertriebskosten</t>
        </is>
      </c>
      <c r="D2652" s="10" t="inlineStr">
        <is>
          <t>Vertriebskosten</t>
        </is>
      </c>
      <c r="E2652" s="7" t="n">
        <v>11375</v>
      </c>
      <c r="F2652" s="7" t="n">
        <v>136500</v>
      </c>
    </row>
    <row r="2653" ht="21" customHeight="1">
      <c r="A2653" s="7" t="n">
        <v>2031</v>
      </c>
      <c r="B2653" s="7" t="n">
        <v>8</v>
      </c>
      <c r="C2653" s="10" t="inlineStr">
        <is>
          <t>Aufw. so. Hilfs</t>
        </is>
      </c>
      <c r="D2653" s="10" t="inlineStr">
        <is>
          <t>Vorleistungen</t>
        </is>
      </c>
      <c r="E2653" s="7" t="n">
        <v>-17544.22</v>
      </c>
      <c r="F2653" s="7" t="n">
        <v>-210530.6</v>
      </c>
    </row>
    <row r="2654" ht="21" customHeight="1">
      <c r="A2654" s="7" t="n">
        <v>2029</v>
      </c>
      <c r="B2654" s="7" t="n">
        <v>8</v>
      </c>
      <c r="C2654" s="10" t="inlineStr">
        <is>
          <t>Ankauf Rohstoff</t>
        </is>
      </c>
      <c r="D2654" s="10" t="inlineStr">
        <is>
          <t>Vorleistungen</t>
        </is>
      </c>
      <c r="E2654" s="7" t="n">
        <v>1473.64</v>
      </c>
      <c r="F2654" s="7" t="n">
        <v>17683.65</v>
      </c>
    </row>
    <row r="2655" ht="21" customHeight="1">
      <c r="A2655" s="7" t="n">
        <v>2028</v>
      </c>
      <c r="B2655" s="7" t="n">
        <v>8</v>
      </c>
      <c r="C2655" s="10" t="inlineStr">
        <is>
          <t>Sonstige Steuer</t>
        </is>
      </c>
      <c r="D2655" s="10" t="inlineStr">
        <is>
          <t>Fuhrparkkosten</t>
        </is>
      </c>
      <c r="E2655" s="7" t="n">
        <v>1587.15</v>
      </c>
      <c r="F2655" s="7" t="n">
        <v>19045.76</v>
      </c>
    </row>
    <row r="2656" ht="21" customHeight="1">
      <c r="A2656" s="7" t="n">
        <v>2030</v>
      </c>
      <c r="B2656" s="7" t="n">
        <v>8</v>
      </c>
      <c r="C2656" s="10" t="inlineStr">
        <is>
          <t>Weiterber. Frem</t>
        </is>
      </c>
      <c r="D2656" s="10" t="inlineStr">
        <is>
          <t>Vorleistungen</t>
        </is>
      </c>
      <c r="E2656" s="7" t="n">
        <v>0</v>
      </c>
      <c r="F2656" s="7" t="n">
        <v>0</v>
      </c>
    </row>
    <row r="2657" ht="21" customHeight="1">
      <c r="A2657" s="7" t="n">
        <v>2031</v>
      </c>
      <c r="B2657" s="7" t="n">
        <v>8</v>
      </c>
      <c r="C2657" s="10" t="inlineStr">
        <is>
          <t>Miete Behälter</t>
        </is>
      </c>
      <c r="D2657" s="10" t="inlineStr">
        <is>
          <t>Instandh. Betriebsausstattung</t>
        </is>
      </c>
      <c r="E2657" s="7" t="n">
        <v>27.88</v>
      </c>
      <c r="F2657" s="7" t="n">
        <v>334.55</v>
      </c>
    </row>
    <row r="2658" ht="21" customHeight="1">
      <c r="A2658" s="7" t="n">
        <v>2027</v>
      </c>
      <c r="B2658" s="7" t="n">
        <v>8</v>
      </c>
      <c r="C2658" s="10" t="inlineStr">
        <is>
          <t>Miete Grdst/Gebäud</t>
        </is>
      </c>
      <c r="D2658" s="10" t="inlineStr">
        <is>
          <t>Raumkosten</t>
        </is>
      </c>
      <c r="E2658" s="7" t="n">
        <v>15284.77</v>
      </c>
      <c r="F2658" s="7" t="n">
        <v>183417.26</v>
      </c>
    </row>
    <row r="2659" ht="21" customHeight="1">
      <c r="A2659" s="7" t="n">
        <v>2028</v>
      </c>
      <c r="B2659" s="7" t="n">
        <v>8</v>
      </c>
      <c r="C2659" s="10" t="inlineStr">
        <is>
          <t>Aufw. f. Alters</t>
        </is>
      </c>
      <c r="D2659" s="10" t="inlineStr">
        <is>
          <t>Personalaufwand</t>
        </is>
      </c>
      <c r="E2659" s="7" t="n">
        <v>1290.05</v>
      </c>
      <c r="F2659" s="7" t="n">
        <v>15480.56</v>
      </c>
    </row>
    <row r="2660" ht="21" customHeight="1">
      <c r="A2660" s="7" t="n">
        <v>2028</v>
      </c>
      <c r="B2660" s="7" t="n">
        <v>8</v>
      </c>
      <c r="C2660" s="10" t="inlineStr">
        <is>
          <t>Fremdl. Persona</t>
        </is>
      </c>
      <c r="D2660" s="10" t="inlineStr">
        <is>
          <t>Vorleistungen</t>
        </is>
      </c>
      <c r="E2660" s="7" t="n">
        <v>69.04000000000001</v>
      </c>
      <c r="F2660" s="7" t="n">
        <v>828.42</v>
      </c>
    </row>
    <row r="2661" ht="21" customHeight="1">
      <c r="A2661" s="7" t="n">
        <v>2030</v>
      </c>
      <c r="B2661" s="7" t="n">
        <v>8</v>
      </c>
      <c r="C2661" s="10" t="inlineStr">
        <is>
          <t>Vertriebskosten</t>
        </is>
      </c>
      <c r="D2661" s="10" t="inlineStr">
        <is>
          <t>Vertriebskosten</t>
        </is>
      </c>
      <c r="E2661" s="7" t="n">
        <v>12540.94</v>
      </c>
      <c r="F2661" s="7" t="n">
        <v>150491.26</v>
      </c>
    </row>
    <row r="2662" ht="21" customHeight="1">
      <c r="A2662" s="7" t="n">
        <v>2030</v>
      </c>
      <c r="B2662" s="7" t="n">
        <v>8</v>
      </c>
      <c r="C2662" s="10" t="inlineStr">
        <is>
          <t>Aufw. so. Hilfs</t>
        </is>
      </c>
      <c r="D2662" s="10" t="inlineStr">
        <is>
          <t>Vorleistungen</t>
        </is>
      </c>
      <c r="E2662" s="7" t="n">
        <v>-17197.35</v>
      </c>
      <c r="F2662" s="7" t="n">
        <v>-206368.2</v>
      </c>
    </row>
    <row r="2663" ht="21" customHeight="1">
      <c r="A2663" s="7" t="n">
        <v>2029</v>
      </c>
      <c r="B2663" s="7" t="n">
        <v>8</v>
      </c>
      <c r="C2663" s="10" t="inlineStr">
        <is>
          <t>Aufw. so. Hilfs</t>
        </is>
      </c>
      <c r="D2663" s="10" t="inlineStr">
        <is>
          <t>Vorleistungen</t>
        </is>
      </c>
      <c r="E2663" s="7" t="n">
        <v>-16834.66</v>
      </c>
      <c r="F2663" s="7" t="n">
        <v>-202015.88</v>
      </c>
    </row>
    <row r="2664" ht="21" customHeight="1">
      <c r="A2664" s="7" t="n">
        <v>2027</v>
      </c>
      <c r="B2664" s="7" t="n">
        <v>8</v>
      </c>
      <c r="C2664" s="10" t="inlineStr">
        <is>
          <t>Miete PKW</t>
        </is>
      </c>
      <c r="D2664" s="10" t="inlineStr">
        <is>
          <t>Fuhrparkkosten</t>
        </is>
      </c>
      <c r="E2664" s="7" t="n">
        <v>4613.79</v>
      </c>
      <c r="F2664" s="7" t="n">
        <v>55365.51</v>
      </c>
    </row>
    <row r="2665" ht="21" customHeight="1">
      <c r="A2665" s="7" t="n">
        <v>2030</v>
      </c>
      <c r="B2665" s="7" t="n">
        <v>8</v>
      </c>
      <c r="C2665" s="10" t="inlineStr">
        <is>
          <t>Fremdl. Fuhrlei</t>
        </is>
      </c>
      <c r="D2665" s="10" t="inlineStr">
        <is>
          <t>Vorleistungen</t>
        </is>
      </c>
      <c r="E2665" s="7" t="n">
        <v>368.3</v>
      </c>
      <c r="F2665" s="7" t="n">
        <v>4419.56</v>
      </c>
    </row>
    <row r="2666" ht="21" customHeight="1">
      <c r="A2666" s="7" t="n">
        <v>2030</v>
      </c>
      <c r="B2666" s="7" t="n">
        <v>8</v>
      </c>
      <c r="C2666" s="10" t="inlineStr">
        <is>
          <t>Miete PKW</t>
        </is>
      </c>
      <c r="D2666" s="10" t="inlineStr">
        <is>
          <t>Fuhrparkkosten</t>
        </is>
      </c>
      <c r="E2666" s="7" t="n">
        <v>5495.1</v>
      </c>
      <c r="F2666" s="7" t="n">
        <v>65941.19</v>
      </c>
    </row>
    <row r="2667" ht="21" customHeight="1">
      <c r="A2667" s="7" t="n">
        <v>2027</v>
      </c>
      <c r="B2667" s="7" t="n">
        <v>8</v>
      </c>
      <c r="C2667" s="10" t="inlineStr">
        <is>
          <t>Erl. Waren Dt.</t>
        </is>
      </c>
      <c r="D2667" s="10" t="inlineStr">
        <is>
          <t>Gesamtleistung</t>
        </is>
      </c>
      <c r="E2667" s="7" t="n">
        <v>42246.46</v>
      </c>
      <c r="F2667" s="7" t="n">
        <v>506957.51</v>
      </c>
    </row>
    <row r="2668" ht="21" customHeight="1">
      <c r="A2668" s="7" t="n">
        <v>2029</v>
      </c>
      <c r="B2668" s="7" t="n">
        <v>8</v>
      </c>
      <c r="C2668" s="10" t="inlineStr">
        <is>
          <t>Bestandsveraend</t>
        </is>
      </c>
      <c r="D2668" s="10" t="inlineStr">
        <is>
          <t>Gesamtleistung</t>
        </is>
      </c>
      <c r="E2668" s="7" t="n">
        <v>0</v>
      </c>
      <c r="F2668" s="7" t="n">
        <v>0</v>
      </c>
    </row>
    <row r="2669" ht="21" customHeight="1">
      <c r="A2669" s="7" t="n">
        <v>2031</v>
      </c>
      <c r="B2669" s="7" t="n">
        <v>8</v>
      </c>
      <c r="C2669" s="10" t="inlineStr">
        <is>
          <t>Leasing PKW</t>
        </is>
      </c>
      <c r="D2669" s="10" t="inlineStr">
        <is>
          <t>Fuhrparkkosten</t>
        </is>
      </c>
      <c r="E2669" s="7" t="n">
        <v>27699.28</v>
      </c>
      <c r="F2669" s="7" t="n">
        <v>332391.4</v>
      </c>
    </row>
    <row r="2670" ht="21" customHeight="1">
      <c r="A2670" s="7" t="n">
        <v>2029</v>
      </c>
      <c r="B2670" s="7" t="n">
        <v>8</v>
      </c>
      <c r="C2670" s="10" t="inlineStr">
        <is>
          <t>Behaelterkosten</t>
        </is>
      </c>
      <c r="D2670" s="10" t="inlineStr">
        <is>
          <t>Instandh. Betriebsausstattung</t>
        </is>
      </c>
      <c r="E2670" s="7" t="n">
        <v>12.15</v>
      </c>
      <c r="F2670" s="7" t="n">
        <v>145.74</v>
      </c>
    </row>
    <row r="2671" ht="21" customHeight="1">
      <c r="A2671" s="7" t="n">
        <v>2029</v>
      </c>
      <c r="B2671" s="7" t="n">
        <v>8</v>
      </c>
      <c r="C2671" s="10" t="inlineStr">
        <is>
          <t>Aufwand Umlage</t>
        </is>
      </c>
      <c r="D2671" s="10" t="inlineStr">
        <is>
          <t>Verwaltungskosten</t>
        </is>
      </c>
      <c r="E2671" s="7" t="n">
        <v>3589.28</v>
      </c>
      <c r="F2671" s="7" t="n">
        <v>43071.39</v>
      </c>
    </row>
    <row r="2672" ht="21" customHeight="1">
      <c r="A2672" s="7" t="n">
        <v>2030</v>
      </c>
      <c r="B2672" s="7" t="n">
        <v>8</v>
      </c>
      <c r="C2672" s="10" t="inlineStr">
        <is>
          <t>Instandh.Fuhrp</t>
        </is>
      </c>
      <c r="D2672" s="10" t="inlineStr">
        <is>
          <t>Fuhrparkkosten</t>
        </is>
      </c>
      <c r="E2672" s="7" t="n">
        <v>36157.89</v>
      </c>
      <c r="F2672" s="7" t="n">
        <v>433894.62</v>
      </c>
    </row>
    <row r="2673" ht="21" customHeight="1">
      <c r="A2673" s="7" t="n">
        <v>2028</v>
      </c>
      <c r="B2673" s="7" t="n">
        <v>8</v>
      </c>
      <c r="C2673" s="10" t="inlineStr">
        <is>
          <t>Sonderz. Prämie</t>
        </is>
      </c>
      <c r="D2673" s="10" t="inlineStr">
        <is>
          <t>Personalaufwand</t>
        </is>
      </c>
      <c r="E2673" s="7" t="n">
        <v>21386.26</v>
      </c>
      <c r="F2673" s="7" t="n">
        <v>256635.15</v>
      </c>
    </row>
    <row r="2674" ht="21" customHeight="1">
      <c r="A2674" s="7" t="n">
        <v>2029</v>
      </c>
      <c r="B2674" s="7" t="n">
        <v>8</v>
      </c>
      <c r="C2674" s="10" t="inlineStr">
        <is>
          <t>Aufw. f. Alters</t>
        </is>
      </c>
      <c r="D2674" s="10" t="inlineStr">
        <is>
          <t>Personalaufwand</t>
        </is>
      </c>
      <c r="E2674" s="7" t="n">
        <v>1366.43</v>
      </c>
      <c r="F2674" s="7" t="n">
        <v>16397.15</v>
      </c>
    </row>
    <row r="2675" ht="21" customHeight="1">
      <c r="A2675" s="7" t="n">
        <v>2027</v>
      </c>
      <c r="B2675" s="7" t="n">
        <v>8</v>
      </c>
      <c r="C2675" s="10" t="inlineStr">
        <is>
          <t>Ertr. weiterber</t>
        </is>
      </c>
      <c r="D2675" s="10" t="inlineStr">
        <is>
          <t>Gesamtleistung</t>
        </is>
      </c>
      <c r="E2675" s="7" t="n">
        <v>919.41</v>
      </c>
      <c r="F2675" s="7" t="n">
        <v>11032.96</v>
      </c>
    </row>
    <row r="2676" ht="21" customHeight="1">
      <c r="A2676" s="7" t="n">
        <v>2029</v>
      </c>
      <c r="B2676" s="7" t="n">
        <v>8</v>
      </c>
      <c r="C2676" s="10" t="inlineStr">
        <is>
          <t>So. betr. Aufwa</t>
        </is>
      </c>
      <c r="D2676" s="10" t="inlineStr">
        <is>
          <t>Verwaltungskosten</t>
        </is>
      </c>
      <c r="E2676" s="7" t="n">
        <v>693.25</v>
      </c>
      <c r="F2676" s="7" t="n">
        <v>8319.02</v>
      </c>
    </row>
    <row r="2677" ht="21" customHeight="1">
      <c r="A2677" s="7" t="n">
        <v>2031</v>
      </c>
      <c r="B2677" s="7" t="n">
        <v>8</v>
      </c>
      <c r="C2677" s="10" t="inlineStr">
        <is>
          <t>Ertr. weiterber</t>
        </is>
      </c>
      <c r="D2677" s="10" t="inlineStr">
        <is>
          <t>Gesamtleistung</t>
        </is>
      </c>
      <c r="E2677" s="7" t="n">
        <v>1173.93</v>
      </c>
      <c r="F2677" s="7" t="n">
        <v>14087.11</v>
      </c>
    </row>
    <row r="2678" ht="21" customHeight="1">
      <c r="A2678" s="7" t="n">
        <v>2031</v>
      </c>
      <c r="B2678" s="7" t="n">
        <v>8</v>
      </c>
      <c r="C2678" s="10" t="inlineStr">
        <is>
          <t>Ueb. bezog.Leis</t>
        </is>
      </c>
      <c r="D2678" s="10" t="inlineStr">
        <is>
          <t>Vorleistungen</t>
        </is>
      </c>
      <c r="E2678" s="7" t="n">
        <v>1404446.73</v>
      </c>
      <c r="F2678" s="7" t="n">
        <v>16853360.74</v>
      </c>
    </row>
    <row r="2679" ht="21" customHeight="1">
      <c r="A2679" s="7" t="n">
        <v>2027</v>
      </c>
      <c r="B2679" s="7" t="n">
        <v>8</v>
      </c>
      <c r="C2679" s="10" t="inlineStr">
        <is>
          <t>Fremdl. Fuhrlei</t>
        </is>
      </c>
      <c r="D2679" s="10" t="inlineStr">
        <is>
          <t>Vorleistungen</t>
        </is>
      </c>
      <c r="E2679" s="7" t="n">
        <v>371.09</v>
      </c>
      <c r="F2679" s="7" t="n">
        <v>4453.13</v>
      </c>
    </row>
    <row r="2680" ht="21" customHeight="1">
      <c r="A2680" s="7" t="n">
        <v>2027</v>
      </c>
      <c r="B2680" s="7" t="n">
        <v>8</v>
      </c>
      <c r="C2680" s="10" t="inlineStr">
        <is>
          <t>Behaelterkosten</t>
        </is>
      </c>
      <c r="D2680" s="10" t="inlineStr">
        <is>
          <t>Instandh. Betriebsausstattung</t>
        </is>
      </c>
      <c r="E2680" s="7" t="n">
        <v>11.02</v>
      </c>
      <c r="F2680" s="7" t="n">
        <v>132.19</v>
      </c>
    </row>
    <row r="2681" ht="21" customHeight="1">
      <c r="A2681" s="7" t="n">
        <v>2027</v>
      </c>
      <c r="B2681" s="7" t="n">
        <v>8</v>
      </c>
      <c r="C2681" s="10" t="inlineStr">
        <is>
          <t>Ueb Lohn-Gehalt</t>
        </is>
      </c>
      <c r="D2681" s="10" t="inlineStr">
        <is>
          <t>Personalaufwand</t>
        </is>
      </c>
      <c r="E2681" s="7" t="n">
        <v>30579.25</v>
      </c>
      <c r="F2681" s="7" t="n">
        <v>366951</v>
      </c>
    </row>
    <row r="2682" ht="21" customHeight="1">
      <c r="A2682" s="7" t="n">
        <v>2028</v>
      </c>
      <c r="B2682" s="7" t="n">
        <v>8</v>
      </c>
      <c r="C2682" s="10" t="inlineStr">
        <is>
          <t>Raumkosten</t>
        </is>
      </c>
      <c r="D2682" s="10" t="inlineStr">
        <is>
          <t>Raumkosten</t>
        </is>
      </c>
      <c r="E2682" s="7" t="n">
        <v>7023.98</v>
      </c>
      <c r="F2682" s="7" t="n">
        <v>84287.78</v>
      </c>
    </row>
    <row r="2683" ht="21" customHeight="1">
      <c r="A2683" s="7" t="n">
        <v>2031</v>
      </c>
      <c r="B2683" s="7" t="n">
        <v>8</v>
      </c>
      <c r="C2683" s="10" t="inlineStr">
        <is>
          <t>Bestandsveraend</t>
        </is>
      </c>
      <c r="D2683" s="10" t="inlineStr">
        <is>
          <t>Gesamtleistung</t>
        </is>
      </c>
      <c r="E2683" s="7" t="n">
        <v>0</v>
      </c>
      <c r="F2683" s="7" t="n">
        <v>0</v>
      </c>
    </row>
    <row r="2684" ht="21" customHeight="1">
      <c r="A2684" s="7" t="n">
        <v>2029</v>
      </c>
      <c r="B2684" s="7" t="n">
        <v>8</v>
      </c>
      <c r="C2684" s="10" t="inlineStr">
        <is>
          <t>Lohn + Gehalt</t>
        </is>
      </c>
      <c r="D2684" s="10" t="inlineStr">
        <is>
          <t>Personalaufwand</t>
        </is>
      </c>
      <c r="E2684" s="7" t="n">
        <v>356250.11</v>
      </c>
      <c r="F2684" s="7" t="n">
        <v>4275001.35</v>
      </c>
    </row>
    <row r="2685" ht="21" customHeight="1">
      <c r="A2685" s="7" t="n">
        <v>2029</v>
      </c>
      <c r="B2685" s="7" t="n">
        <v>8</v>
      </c>
      <c r="C2685" s="10" t="inlineStr">
        <is>
          <t>Aufw. Heizmat.</t>
        </is>
      </c>
      <c r="D2685" s="10" t="inlineStr">
        <is>
          <t>Vorleistungen</t>
        </is>
      </c>
      <c r="E2685" s="7" t="n">
        <v>245.07</v>
      </c>
      <c r="F2685" s="7" t="n">
        <v>2940.88</v>
      </c>
    </row>
    <row r="2686" ht="21" customHeight="1">
      <c r="A2686" s="7" t="n">
        <v>2031</v>
      </c>
      <c r="B2686" s="7" t="n">
        <v>8</v>
      </c>
      <c r="C2686" s="10" t="inlineStr">
        <is>
          <t>Verwaltungskost</t>
        </is>
      </c>
      <c r="D2686" s="10" t="inlineStr">
        <is>
          <t>Verwaltungskosten</t>
        </is>
      </c>
      <c r="E2686" s="7" t="n">
        <v>7531.31</v>
      </c>
      <c r="F2686" s="7" t="n">
        <v>90375.69</v>
      </c>
    </row>
    <row r="2687" ht="21" customHeight="1">
      <c r="A2687" s="7" t="n">
        <v>2028</v>
      </c>
      <c r="B2687" s="7" t="n">
        <v>8</v>
      </c>
      <c r="C2687" s="10" t="inlineStr">
        <is>
          <t>Erl. Waren Dt.</t>
        </is>
      </c>
      <c r="D2687" s="10" t="inlineStr">
        <is>
          <t>Gesamtleistung</t>
        </is>
      </c>
      <c r="E2687" s="7" t="n">
        <v>44950.49</v>
      </c>
      <c r="F2687" s="7" t="n">
        <v>539405.87</v>
      </c>
    </row>
    <row r="2688" ht="21" customHeight="1">
      <c r="A2688" s="7" t="n">
        <v>2030</v>
      </c>
      <c r="B2688" s="7" t="n">
        <v>8</v>
      </c>
      <c r="C2688" s="10" t="inlineStr">
        <is>
          <t>Uebr.neutr. Ert</t>
        </is>
      </c>
      <c r="D2688" s="10" t="inlineStr">
        <is>
          <t>Gesamtleistung</t>
        </is>
      </c>
      <c r="E2688" s="7" t="n">
        <v>207.38</v>
      </c>
      <c r="F2688" s="7" t="n">
        <v>2488.5</v>
      </c>
    </row>
    <row r="2689" ht="21" customHeight="1">
      <c r="A2689" s="7" t="n">
        <v>2030</v>
      </c>
      <c r="B2689" s="7" t="n">
        <v>8</v>
      </c>
      <c r="C2689" s="10" t="inlineStr">
        <is>
          <t>Raumkosten</t>
        </is>
      </c>
      <c r="D2689" s="10" t="inlineStr">
        <is>
          <t>Raumkosten</t>
        </is>
      </c>
      <c r="E2689" s="7" t="n">
        <v>7307.75</v>
      </c>
      <c r="F2689" s="7" t="n">
        <v>87693</v>
      </c>
    </row>
    <row r="2690" ht="21" customHeight="1">
      <c r="A2690" s="7" t="n">
        <v>2030</v>
      </c>
      <c r="B2690" s="7" t="n">
        <v>8</v>
      </c>
      <c r="C2690" s="10" t="inlineStr">
        <is>
          <t>Fremdl. Persona</t>
        </is>
      </c>
      <c r="D2690" s="10" t="inlineStr">
        <is>
          <t>Vorleistungen</t>
        </is>
      </c>
      <c r="E2690" s="7" t="n">
        <v>76.56999999999999</v>
      </c>
      <c r="F2690" s="7" t="n">
        <v>918.79</v>
      </c>
    </row>
    <row r="2691" ht="21" customHeight="1">
      <c r="A2691" s="7" t="n">
        <v>2027</v>
      </c>
      <c r="B2691" s="7" t="n">
        <v>8</v>
      </c>
      <c r="C2691" s="10" t="inlineStr">
        <is>
          <t>Leasing PKW</t>
        </is>
      </c>
      <c r="D2691" s="10" t="inlineStr">
        <is>
          <t>Fuhrparkkosten</t>
        </is>
      </c>
      <c r="E2691" s="7" t="n">
        <v>21940.43</v>
      </c>
      <c r="F2691" s="7" t="n">
        <v>263285.11</v>
      </c>
    </row>
    <row r="2692" ht="21" customHeight="1">
      <c r="A2692" s="7" t="n">
        <v>2030</v>
      </c>
      <c r="B2692" s="7" t="n">
        <v>8</v>
      </c>
      <c r="C2692" s="10" t="inlineStr">
        <is>
          <t>Ertrag KFZ-Nutz</t>
        </is>
      </c>
      <c r="D2692" s="10" t="inlineStr">
        <is>
          <t>Gesamtleistung</t>
        </is>
      </c>
      <c r="E2692" s="7" t="n">
        <v>9193.41</v>
      </c>
      <c r="F2692" s="7" t="n">
        <v>110320.94</v>
      </c>
    </row>
    <row r="2693" ht="21" customHeight="1">
      <c r="A2693" s="7" t="n">
        <v>2028</v>
      </c>
      <c r="B2693" s="7" t="n">
        <v>8</v>
      </c>
      <c r="C2693" s="10" t="inlineStr">
        <is>
          <t>Uebr.neutr. Ert</t>
        </is>
      </c>
      <c r="D2693" s="10" t="inlineStr">
        <is>
          <t>Gesamtleistung</t>
        </is>
      </c>
      <c r="E2693" s="7" t="n">
        <v>151.92</v>
      </c>
      <c r="F2693" s="7" t="n">
        <v>1823.08</v>
      </c>
    </row>
    <row r="2694" ht="21" customHeight="1">
      <c r="A2694" s="7" t="n">
        <v>2030</v>
      </c>
      <c r="B2694" s="7" t="n">
        <v>8</v>
      </c>
      <c r="C2694" s="10" t="inlineStr">
        <is>
          <t>Soziale Abgaben</t>
        </is>
      </c>
      <c r="D2694" s="10" t="inlineStr">
        <is>
          <t>Personalaufwand</t>
        </is>
      </c>
      <c r="E2694" s="7" t="n">
        <v>104141.87</v>
      </c>
      <c r="F2694" s="7" t="n">
        <v>1249702.47</v>
      </c>
    </row>
    <row r="2695" ht="21" customHeight="1">
      <c r="A2695" s="7" t="n">
        <v>2030</v>
      </c>
      <c r="B2695" s="7" t="n">
        <v>8</v>
      </c>
      <c r="C2695" s="10" t="inlineStr">
        <is>
          <t>Ankauf Rohstoff</t>
        </is>
      </c>
      <c r="D2695" s="10" t="inlineStr">
        <is>
          <t>Vorleistungen</t>
        </is>
      </c>
      <c r="E2695" s="7" t="n">
        <v>1483.55</v>
      </c>
      <c r="F2695" s="7" t="n">
        <v>17802.65</v>
      </c>
    </row>
    <row r="2696" ht="21" customHeight="1">
      <c r="A2696" s="7" t="n">
        <v>2031</v>
      </c>
      <c r="B2696" s="7" t="n">
        <v>8</v>
      </c>
      <c r="C2696" s="10" t="inlineStr">
        <is>
          <t>Aufw. Heizmat.</t>
        </is>
      </c>
      <c r="D2696" s="10" t="inlineStr">
        <is>
          <t>Vorleistungen</t>
        </is>
      </c>
      <c r="E2696" s="7" t="n">
        <v>216.16</v>
      </c>
      <c r="F2696" s="7" t="n">
        <v>2593.97</v>
      </c>
    </row>
    <row r="2697" ht="21" customHeight="1">
      <c r="A2697" s="7" t="n">
        <v>2030</v>
      </c>
      <c r="B2697" s="7" t="n">
        <v>8</v>
      </c>
      <c r="C2697" s="10" t="inlineStr">
        <is>
          <t>IT-Aufwendungen</t>
        </is>
      </c>
      <c r="D2697" s="10" t="inlineStr">
        <is>
          <t>Verwaltungskosten</t>
        </is>
      </c>
      <c r="E2697" s="7" t="n">
        <v>12671.51</v>
      </c>
      <c r="F2697" s="7" t="n">
        <v>152058.16</v>
      </c>
    </row>
    <row r="2698" ht="21" customHeight="1">
      <c r="A2698" s="7" t="n">
        <v>2027</v>
      </c>
      <c r="B2698" s="7" t="n">
        <v>8</v>
      </c>
      <c r="C2698" s="10" t="inlineStr">
        <is>
          <t>Treibstoffe, Oe</t>
        </is>
      </c>
      <c r="D2698" s="10" t="inlineStr">
        <is>
          <t>Fuhrparkkosten</t>
        </is>
      </c>
      <c r="E2698" s="7" t="n">
        <v>28695.87</v>
      </c>
      <c r="F2698" s="7" t="n">
        <v>344350.48</v>
      </c>
    </row>
    <row r="2699" ht="21" customHeight="1">
      <c r="A2699" s="7" t="n">
        <v>2028</v>
      </c>
      <c r="B2699" s="7" t="n">
        <v>8</v>
      </c>
      <c r="C2699" s="10" t="inlineStr">
        <is>
          <t>Aufw. Heizmat.</t>
        </is>
      </c>
      <c r="D2699" s="10" t="inlineStr">
        <is>
          <t>Vorleistungen</t>
        </is>
      </c>
      <c r="E2699" s="7" t="n">
        <v>260.43</v>
      </c>
      <c r="F2699" s="7" t="n">
        <v>3125.13</v>
      </c>
    </row>
    <row r="2700" ht="21" customHeight="1">
      <c r="A2700" s="7" t="n">
        <v>2031</v>
      </c>
      <c r="B2700" s="7" t="n">
        <v>8</v>
      </c>
      <c r="C2700" s="10" t="inlineStr">
        <is>
          <t>Ertrag KFZ-Nutz</t>
        </is>
      </c>
      <c r="D2700" s="10" t="inlineStr">
        <is>
          <t>Gesamtleistung</t>
        </is>
      </c>
      <c r="E2700" s="7" t="n">
        <v>9597.290000000001</v>
      </c>
      <c r="F2700" s="7" t="n">
        <v>115167.5</v>
      </c>
    </row>
    <row r="2701" ht="21" customHeight="1">
      <c r="A2701" s="7" t="n">
        <v>2027</v>
      </c>
      <c r="B2701" s="7" t="n">
        <v>8</v>
      </c>
      <c r="C2701" s="10" t="inlineStr">
        <is>
          <t>Raumkosten</t>
        </is>
      </c>
      <c r="D2701" s="10" t="inlineStr">
        <is>
          <t>Raumkosten</t>
        </is>
      </c>
      <c r="E2701" s="7" t="n">
        <v>5046.85</v>
      </c>
      <c r="F2701" s="7" t="n">
        <v>60562.14</v>
      </c>
    </row>
    <row r="2702" ht="21" customHeight="1">
      <c r="A2702" s="7" t="n">
        <v>2028</v>
      </c>
      <c r="B2702" s="7" t="n">
        <v>8</v>
      </c>
      <c r="C2702" s="10" t="inlineStr">
        <is>
          <t>Soziale Abgaben</t>
        </is>
      </c>
      <c r="D2702" s="10" t="inlineStr">
        <is>
          <t>Personalaufwand</t>
        </is>
      </c>
      <c r="E2702" s="7" t="n">
        <v>85007.57000000001</v>
      </c>
      <c r="F2702" s="7" t="n">
        <v>1020090.84</v>
      </c>
    </row>
    <row r="2703" ht="21" customHeight="1">
      <c r="A2703" s="7" t="n">
        <v>2029</v>
      </c>
      <c r="B2703" s="7" t="n">
        <v>8</v>
      </c>
      <c r="C2703" s="10" t="inlineStr">
        <is>
          <t>Miete Grdst/Gebäud</t>
        </is>
      </c>
      <c r="D2703" s="10" t="inlineStr">
        <is>
          <t>Raumkosten</t>
        </is>
      </c>
      <c r="E2703" s="7" t="n">
        <v>18238.55</v>
      </c>
      <c r="F2703" s="7" t="n">
        <v>218862.64</v>
      </c>
    </row>
    <row r="2704" ht="21" customHeight="1">
      <c r="A2704" s="7" t="n">
        <v>2031</v>
      </c>
      <c r="B2704" s="7" t="n">
        <v>8</v>
      </c>
      <c r="C2704" s="10" t="inlineStr">
        <is>
          <t>Raumkosten</t>
        </is>
      </c>
      <c r="D2704" s="10" t="inlineStr">
        <is>
          <t>Raumkosten</t>
        </is>
      </c>
      <c r="E2704" s="7" t="n">
        <v>7453.91</v>
      </c>
      <c r="F2704" s="7" t="n">
        <v>89446.89</v>
      </c>
    </row>
    <row r="2705" ht="21" customHeight="1">
      <c r="A2705" s="7" t="n">
        <v>2031</v>
      </c>
      <c r="B2705" s="7" t="n">
        <v>8</v>
      </c>
      <c r="C2705" s="10" t="inlineStr">
        <is>
          <t>Behaelterkosten</t>
        </is>
      </c>
      <c r="D2705" s="10" t="inlineStr">
        <is>
          <t>Instandh. Betriebsausstattung</t>
        </is>
      </c>
      <c r="E2705" s="7" t="n">
        <v>13.39</v>
      </c>
      <c r="F2705" s="7" t="n">
        <v>160.68</v>
      </c>
    </row>
    <row r="2706" ht="21" customHeight="1">
      <c r="A2706" s="7" t="n">
        <v>2031</v>
      </c>
      <c r="B2706" s="7" t="n">
        <v>8</v>
      </c>
      <c r="C2706" s="10" t="inlineStr">
        <is>
          <t>Instandh.Fuhrp</t>
        </is>
      </c>
      <c r="D2706" s="10" t="inlineStr">
        <is>
          <t>Fuhrparkkosten</t>
        </is>
      </c>
      <c r="E2706" s="7" t="n">
        <v>38327.36</v>
      </c>
      <c r="F2706" s="7" t="n">
        <v>459928.28</v>
      </c>
    </row>
    <row r="2707" ht="21" customHeight="1">
      <c r="A2707" s="7" t="n">
        <v>2030</v>
      </c>
      <c r="B2707" s="7" t="n">
        <v>8</v>
      </c>
      <c r="C2707" s="10" t="inlineStr">
        <is>
          <t>Ueb. bezog.Leis</t>
        </is>
      </c>
      <c r="D2707" s="10" t="inlineStr">
        <is>
          <t>Vorleistungen</t>
        </is>
      </c>
      <c r="E2707" s="7" t="n">
        <v>1385029.28</v>
      </c>
      <c r="F2707" s="7" t="n">
        <v>16620351.38</v>
      </c>
    </row>
    <row r="2708" ht="21" customHeight="1">
      <c r="A2708" s="7" t="n">
        <v>2027</v>
      </c>
      <c r="B2708" s="7" t="n">
        <v>8</v>
      </c>
      <c r="C2708" s="10" t="inlineStr">
        <is>
          <t>Miete LKW,Schiffe</t>
        </is>
      </c>
      <c r="D2708" s="10" t="inlineStr">
        <is>
          <t>Fuhrparkkosten</t>
        </is>
      </c>
      <c r="E2708" s="7" t="n">
        <v>36751.61</v>
      </c>
      <c r="F2708" s="7" t="n">
        <v>441019.28</v>
      </c>
    </row>
    <row r="2709" ht="21" customHeight="1">
      <c r="A2709" s="7" t="n">
        <v>2030</v>
      </c>
      <c r="B2709" s="7" t="n">
        <v>8</v>
      </c>
      <c r="C2709" s="10" t="inlineStr">
        <is>
          <t>Leasing LKW</t>
        </is>
      </c>
      <c r="D2709" s="10" t="inlineStr">
        <is>
          <t>Fuhrparkkosten</t>
        </is>
      </c>
      <c r="E2709" s="7" t="n">
        <v>2745.62</v>
      </c>
      <c r="F2709" s="7" t="n">
        <v>32947.44</v>
      </c>
    </row>
    <row r="2710" ht="21" customHeight="1">
      <c r="A2710" s="7" t="n">
        <v>2031</v>
      </c>
      <c r="B2710" s="7" t="n">
        <v>8</v>
      </c>
      <c r="C2710" s="10" t="inlineStr">
        <is>
          <t>Vertriebskosten</t>
        </is>
      </c>
      <c r="D2710" s="10" t="inlineStr">
        <is>
          <t>Vertriebskosten</t>
        </is>
      </c>
      <c r="E2710" s="7" t="n">
        <v>13167.99</v>
      </c>
      <c r="F2710" s="7" t="n">
        <v>158015.82</v>
      </c>
    </row>
    <row r="2711" ht="21" customHeight="1">
      <c r="A2711" s="7" t="n">
        <v>2028</v>
      </c>
      <c r="B2711" s="7" t="n">
        <v>8</v>
      </c>
      <c r="C2711" s="10" t="inlineStr">
        <is>
          <t>Behaelterkosten</t>
        </is>
      </c>
      <c r="D2711" s="10" t="inlineStr">
        <is>
          <t>Instandh. Betriebsausstattung</t>
        </is>
      </c>
      <c r="E2711" s="7" t="n">
        <v>11.57</v>
      </c>
      <c r="F2711" s="7" t="n">
        <v>138.8</v>
      </c>
    </row>
    <row r="2712" ht="21" customHeight="1">
      <c r="A2712" s="7" t="n">
        <v>2030</v>
      </c>
      <c r="B2712" s="7" t="n">
        <v>8</v>
      </c>
      <c r="C2712" s="10" t="inlineStr">
        <is>
          <t>Verwaltungskost</t>
        </is>
      </c>
      <c r="D2712" s="10" t="inlineStr">
        <is>
          <t>Verwaltungskosten</t>
        </is>
      </c>
      <c r="E2712" s="7" t="n">
        <v>7311.95</v>
      </c>
      <c r="F2712" s="7" t="n">
        <v>87743.38</v>
      </c>
    </row>
    <row r="2713" ht="21" customHeight="1">
      <c r="A2713" s="7" t="n">
        <v>2030</v>
      </c>
      <c r="B2713" s="7" t="n">
        <v>8</v>
      </c>
      <c r="C2713" s="10" t="inlineStr">
        <is>
          <t>Rechts- u. Beratungs</t>
        </is>
      </c>
      <c r="D2713" s="10" t="inlineStr">
        <is>
          <t>Verwaltungskosten</t>
        </is>
      </c>
      <c r="E2713" s="7" t="n">
        <v>28013.14</v>
      </c>
      <c r="F2713" s="7" t="n">
        <v>336157.66</v>
      </c>
    </row>
    <row r="2714" ht="21" customHeight="1">
      <c r="A2714" s="7" t="n">
        <v>2028</v>
      </c>
      <c r="B2714" s="7" t="n">
        <v>8</v>
      </c>
      <c r="C2714" s="10" t="inlineStr">
        <is>
          <t>Sonst Fuhrparkkosten</t>
        </is>
      </c>
      <c r="D2714" s="10" t="inlineStr">
        <is>
          <t>Fuhrparkkosten</t>
        </is>
      </c>
      <c r="E2714" s="7" t="n">
        <v>5288.59</v>
      </c>
      <c r="F2714" s="7" t="n">
        <v>63463.1</v>
      </c>
    </row>
    <row r="2715" ht="21" customHeight="1">
      <c r="A2715" s="7" t="n">
        <v>2029</v>
      </c>
      <c r="B2715" s="7" t="n">
        <v>8</v>
      </c>
      <c r="C2715" s="10" t="inlineStr">
        <is>
          <t>Erl. so. DL Dt.</t>
        </is>
      </c>
      <c r="D2715" s="10" t="inlineStr">
        <is>
          <t>Gesamtleistung</t>
        </is>
      </c>
      <c r="E2715" s="7" t="n">
        <v>2200755.15</v>
      </c>
      <c r="F2715" s="7" t="n">
        <v>26409061.76</v>
      </c>
    </row>
    <row r="2716" ht="21" customHeight="1">
      <c r="A2716" s="7" t="n">
        <v>2031</v>
      </c>
      <c r="B2716" s="7" t="n">
        <v>8</v>
      </c>
      <c r="C2716" s="10" t="inlineStr">
        <is>
          <t>Uebr.neutr. Ert</t>
        </is>
      </c>
      <c r="D2716" s="10" t="inlineStr">
        <is>
          <t>Gesamtleistung</t>
        </is>
      </c>
      <c r="E2716" s="7" t="n">
        <v>227.28</v>
      </c>
      <c r="F2716" s="7" t="n">
        <v>2727.33</v>
      </c>
    </row>
    <row r="2717" ht="21" customHeight="1">
      <c r="A2717" s="7" t="n">
        <v>2030</v>
      </c>
      <c r="B2717" s="7" t="n">
        <v>8</v>
      </c>
      <c r="C2717" s="10" t="inlineStr">
        <is>
          <t>Erl. Waren Dt.</t>
        </is>
      </c>
      <c r="D2717" s="10" t="inlineStr">
        <is>
          <t>Gesamtleistung</t>
        </is>
      </c>
      <c r="E2717" s="7" t="n">
        <v>49038.99</v>
      </c>
      <c r="F2717" s="7" t="n">
        <v>588467.85</v>
      </c>
    </row>
    <row r="2718" ht="21" customHeight="1">
      <c r="A2718" s="7" t="n">
        <v>2028</v>
      </c>
      <c r="B2718" s="7" t="n">
        <v>8</v>
      </c>
      <c r="C2718" s="10" t="inlineStr">
        <is>
          <t>Weiterber. Frem</t>
        </is>
      </c>
      <c r="D2718" s="10" t="inlineStr">
        <is>
          <t>Vorleistungen</t>
        </is>
      </c>
      <c r="E2718" s="7" t="n">
        <v>0</v>
      </c>
      <c r="F2718" s="7" t="n">
        <v>0</v>
      </c>
    </row>
    <row r="2719" ht="21" customHeight="1">
      <c r="A2719" s="7" t="n">
        <v>2027</v>
      </c>
      <c r="B2719" s="7" t="n">
        <v>8</v>
      </c>
      <c r="C2719" s="10" t="inlineStr">
        <is>
          <t>IT-Aufwendungen</t>
        </is>
      </c>
      <c r="D2719" s="10" t="inlineStr">
        <is>
          <t>Verwaltungskosten</t>
        </is>
      </c>
      <c r="E2719" s="7" t="n">
        <v>11596.23</v>
      </c>
      <c r="F2719" s="7" t="n">
        <v>139154.76</v>
      </c>
    </row>
    <row r="2720" ht="21" customHeight="1">
      <c r="A2720" s="7" t="n">
        <v>2028</v>
      </c>
      <c r="B2720" s="7" t="n">
        <v>8</v>
      </c>
      <c r="C2720" s="10" t="inlineStr">
        <is>
          <t>Leasing LKW</t>
        </is>
      </c>
      <c r="D2720" s="10" t="inlineStr">
        <is>
          <t>Fuhrparkkosten</t>
        </is>
      </c>
      <c r="E2720" s="7" t="n">
        <v>2443.59</v>
      </c>
      <c r="F2720" s="7" t="n">
        <v>29323.11</v>
      </c>
    </row>
    <row r="2721" ht="21" customHeight="1">
      <c r="A2721" s="7" t="n">
        <v>2031</v>
      </c>
      <c r="B2721" s="7" t="n">
        <v>8</v>
      </c>
      <c r="C2721" s="10" t="inlineStr">
        <is>
          <t>Weiterber. Frem</t>
        </is>
      </c>
      <c r="D2721" s="10" t="inlineStr">
        <is>
          <t>Vorleistungen</t>
        </is>
      </c>
      <c r="E2721" s="7" t="n">
        <v>0</v>
      </c>
      <c r="F2721" s="7" t="n">
        <v>0</v>
      </c>
    </row>
    <row r="2722" ht="21" customHeight="1">
      <c r="A2722" s="7" t="n">
        <v>2028</v>
      </c>
      <c r="B2722" s="7" t="n">
        <v>8</v>
      </c>
      <c r="C2722" s="10" t="inlineStr">
        <is>
          <t>Lohn + Gehalt</t>
        </is>
      </c>
      <c r="D2722" s="10" t="inlineStr">
        <is>
          <t>Personalaufwand</t>
        </is>
      </c>
      <c r="E2722" s="7" t="n">
        <v>321097.26</v>
      </c>
      <c r="F2722" s="7" t="n">
        <v>3853167.13</v>
      </c>
    </row>
    <row r="2723" ht="21" customHeight="1">
      <c r="A2723" s="7" t="n">
        <v>2029</v>
      </c>
      <c r="B2723" s="7" t="n">
        <v>8</v>
      </c>
      <c r="C2723" s="10" t="inlineStr">
        <is>
          <t>Miete LKW,Schiffe</t>
        </is>
      </c>
      <c r="D2723" s="10" t="inlineStr">
        <is>
          <t>Fuhrparkkosten</t>
        </is>
      </c>
      <c r="E2723" s="7" t="n">
        <v>41294.11</v>
      </c>
      <c r="F2723" s="7" t="n">
        <v>495529.28</v>
      </c>
    </row>
    <row r="2724" ht="21" customHeight="1">
      <c r="A2724" s="7" t="n">
        <v>2030</v>
      </c>
      <c r="B2724" s="7" t="n">
        <v>8</v>
      </c>
      <c r="C2724" s="10" t="inlineStr">
        <is>
          <t>Erl. so. DL Dt.</t>
        </is>
      </c>
      <c r="D2724" s="10" t="inlineStr">
        <is>
          <t>Gesamtleistung</t>
        </is>
      </c>
      <c r="E2724" s="7" t="n">
        <v>2311684.01</v>
      </c>
      <c r="F2724" s="7" t="n">
        <v>27740208.09</v>
      </c>
    </row>
    <row r="2725" ht="21" customHeight="1">
      <c r="A2725" s="7" t="n">
        <v>2030</v>
      </c>
      <c r="B2725" s="7" t="n">
        <v>8</v>
      </c>
      <c r="C2725" s="10" t="inlineStr">
        <is>
          <t>Versicherungskosten</t>
        </is>
      </c>
      <c r="D2725" s="10" t="inlineStr">
        <is>
          <t>Verwaltungskosten</t>
        </is>
      </c>
      <c r="E2725" s="7" t="n">
        <v>11790.1</v>
      </c>
      <c r="F2725" s="7" t="n">
        <v>141481.23</v>
      </c>
    </row>
    <row r="2726" ht="21" customHeight="1">
      <c r="A2726" s="7" t="n">
        <v>2029</v>
      </c>
      <c r="B2726" s="7" t="n">
        <v>8</v>
      </c>
      <c r="C2726" s="10" t="inlineStr">
        <is>
          <t>Sonstige Steuer</t>
        </is>
      </c>
      <c r="D2726" s="10" t="inlineStr">
        <is>
          <t>Fuhrparkkosten</t>
        </is>
      </c>
      <c r="E2726" s="7" t="n">
        <v>1682.38</v>
      </c>
      <c r="F2726" s="7" t="n">
        <v>20188.51</v>
      </c>
    </row>
    <row r="2727" ht="21" customHeight="1">
      <c r="A2727" s="7" t="n">
        <v>2027</v>
      </c>
      <c r="B2727" s="7" t="n">
        <v>8</v>
      </c>
      <c r="C2727" s="10" t="inlineStr">
        <is>
          <t>Sonst Fuhrparkkosten</t>
        </is>
      </c>
      <c r="D2727" s="10" t="inlineStr">
        <is>
          <t>Fuhrparkkosten</t>
        </is>
      </c>
      <c r="E2727" s="7" t="n">
        <v>4989.24</v>
      </c>
      <c r="F2727" s="7" t="n">
        <v>59870.86</v>
      </c>
    </row>
    <row r="2728" ht="21" customHeight="1">
      <c r="A2728" s="7" t="n">
        <v>2028</v>
      </c>
      <c r="B2728" s="7" t="n">
        <v>8</v>
      </c>
      <c r="C2728" s="10" t="inlineStr">
        <is>
          <t>Bestandsveraend</t>
        </is>
      </c>
      <c r="D2728" s="10" t="inlineStr">
        <is>
          <t>Gesamtleistung</t>
        </is>
      </c>
      <c r="E2728" s="7" t="n">
        <v>0</v>
      </c>
      <c r="F2728" s="7" t="n">
        <v>0</v>
      </c>
    </row>
    <row r="2729" ht="21" customHeight="1">
      <c r="A2729" s="7" t="n">
        <v>2028</v>
      </c>
      <c r="B2729" s="7" t="n">
        <v>8</v>
      </c>
      <c r="C2729" s="10" t="inlineStr">
        <is>
          <t>So. betr. Aufwa</t>
        </is>
      </c>
      <c r="D2729" s="10" t="inlineStr">
        <is>
          <t>Verwaltungskosten</t>
        </is>
      </c>
      <c r="E2729" s="7" t="n">
        <v>673.0599999999999</v>
      </c>
      <c r="F2729" s="7" t="n">
        <v>8076.71</v>
      </c>
    </row>
    <row r="2730" ht="21" customHeight="1">
      <c r="A2730" s="7" t="n">
        <v>2030</v>
      </c>
      <c r="B2730" s="7" t="n">
        <v>8</v>
      </c>
      <c r="C2730" s="10" t="inlineStr">
        <is>
          <t>Miete LKW,Schiffe</t>
        </is>
      </c>
      <c r="D2730" s="10" t="inlineStr">
        <is>
          <t>Fuhrparkkosten</t>
        </is>
      </c>
      <c r="E2730" s="7" t="n">
        <v>43771.75</v>
      </c>
      <c r="F2730" s="7" t="n">
        <v>525261.04</v>
      </c>
    </row>
    <row r="2731" ht="21" customHeight="1">
      <c r="A2731" s="7" t="n">
        <v>2028</v>
      </c>
      <c r="B2731" s="7" t="n">
        <v>8</v>
      </c>
      <c r="C2731" s="10" t="inlineStr">
        <is>
          <t>Miete LKW,Schiffe</t>
        </is>
      </c>
      <c r="D2731" s="10" t="inlineStr">
        <is>
          <t>Fuhrparkkosten</t>
        </is>
      </c>
      <c r="E2731" s="7" t="n">
        <v>38956.71</v>
      </c>
      <c r="F2731" s="7" t="n">
        <v>467480.47</v>
      </c>
    </row>
    <row r="2732" ht="21" customHeight="1">
      <c r="A2732" s="7" t="n">
        <v>2028</v>
      </c>
      <c r="B2732" s="7" t="n">
        <v>8</v>
      </c>
      <c r="C2732" s="10" t="inlineStr">
        <is>
          <t>sonst Personalk</t>
        </is>
      </c>
      <c r="D2732" s="10" t="inlineStr">
        <is>
          <t>Personalaufwand</t>
        </is>
      </c>
      <c r="E2732" s="7" t="n">
        <v>12597.51</v>
      </c>
      <c r="F2732" s="7" t="n">
        <v>151170.09</v>
      </c>
    </row>
    <row r="2733" ht="21" customHeight="1">
      <c r="A2733" s="7" t="n">
        <v>2030</v>
      </c>
      <c r="B2733" s="7" t="n">
        <v>8</v>
      </c>
      <c r="C2733" s="10" t="inlineStr">
        <is>
          <t>Leasing PKW</t>
        </is>
      </c>
      <c r="D2733" s="10" t="inlineStr">
        <is>
          <t>Fuhrparkkosten</t>
        </is>
      </c>
      <c r="E2733" s="7" t="n">
        <v>26131.4</v>
      </c>
      <c r="F2733" s="7" t="n">
        <v>313576.76</v>
      </c>
    </row>
    <row r="2734" ht="21" customHeight="1">
      <c r="A2734" s="7" t="n">
        <v>2031</v>
      </c>
      <c r="B2734" s="7" t="n">
        <v>8</v>
      </c>
      <c r="C2734" s="10" t="inlineStr">
        <is>
          <t>Aufwand Umlage</t>
        </is>
      </c>
      <c r="D2734" s="10" t="inlineStr">
        <is>
          <t>Verwaltungskosten</t>
        </is>
      </c>
      <c r="E2734" s="7" t="n">
        <v>3807.87</v>
      </c>
      <c r="F2734" s="7" t="n">
        <v>45694.43</v>
      </c>
    </row>
    <row r="2735" ht="21" customHeight="1">
      <c r="A2735" s="7" t="n">
        <v>2031</v>
      </c>
      <c r="B2735" s="7" t="n">
        <v>8</v>
      </c>
      <c r="C2735" s="10" t="inlineStr">
        <is>
          <t>sonst Personalk</t>
        </is>
      </c>
      <c r="D2735" s="10" t="inlineStr">
        <is>
          <t>Personalaufwand</t>
        </is>
      </c>
      <c r="E2735" s="7" t="n">
        <v>17070.54</v>
      </c>
      <c r="F2735" s="7" t="n">
        <v>204846.51</v>
      </c>
    </row>
    <row r="2736" ht="21" customHeight="1">
      <c r="A2736" s="7" t="n">
        <v>2027</v>
      </c>
      <c r="B2736" s="7" t="n">
        <v>8</v>
      </c>
      <c r="C2736" s="10" t="inlineStr">
        <is>
          <t>sonst Personalk</t>
        </is>
      </c>
      <c r="D2736" s="10" t="inlineStr">
        <is>
          <t>Personalaufwand</t>
        </is>
      </c>
      <c r="E2736" s="7" t="n">
        <v>10949.84</v>
      </c>
      <c r="F2736" s="7" t="n">
        <v>131398.1</v>
      </c>
    </row>
    <row r="2737" ht="21" customHeight="1">
      <c r="A2737" s="7" t="n">
        <v>2031</v>
      </c>
      <c r="B2737" s="7" t="n">
        <v>8</v>
      </c>
      <c r="C2737" s="10" t="inlineStr">
        <is>
          <t>Miete PKW</t>
        </is>
      </c>
      <c r="D2737" s="10" t="inlineStr">
        <is>
          <t>Fuhrparkkosten</t>
        </is>
      </c>
      <c r="E2737" s="7" t="n">
        <v>5824.81</v>
      </c>
      <c r="F2737" s="7" t="n">
        <v>69897.67</v>
      </c>
    </row>
    <row r="2738" ht="21" customHeight="1">
      <c r="A2738" s="7" t="n">
        <v>2029</v>
      </c>
      <c r="B2738" s="7" t="n">
        <v>8</v>
      </c>
      <c r="C2738" s="10" t="inlineStr">
        <is>
          <t>Raumkosten</t>
        </is>
      </c>
      <c r="D2738" s="10" t="inlineStr">
        <is>
          <t>Raumkosten</t>
        </is>
      </c>
      <c r="E2738" s="7" t="n">
        <v>7164.46</v>
      </c>
      <c r="F2738" s="7" t="n">
        <v>85973.53</v>
      </c>
    </row>
    <row r="2739" ht="21" customHeight="1">
      <c r="A2739" s="7" t="n">
        <v>2031</v>
      </c>
      <c r="B2739" s="7" t="n">
        <v>8</v>
      </c>
      <c r="C2739" s="10" t="inlineStr">
        <is>
          <t>Aufw. f. Alters</t>
        </is>
      </c>
      <c r="D2739" s="10" t="inlineStr">
        <is>
          <t>Personalaufwand</t>
        </is>
      </c>
      <c r="E2739" s="7" t="n">
        <v>1434.03</v>
      </c>
      <c r="F2739" s="7" t="n">
        <v>17208.41</v>
      </c>
    </row>
    <row r="2740" ht="21" customHeight="1">
      <c r="A2740" s="7" t="n">
        <v>2031</v>
      </c>
      <c r="B2740" s="7" t="n">
        <v>8</v>
      </c>
      <c r="C2740" s="10" t="inlineStr">
        <is>
          <t>IT-Aufwendungen</t>
        </is>
      </c>
      <c r="D2740" s="10" t="inlineStr">
        <is>
          <t>Verwaltungskosten</t>
        </is>
      </c>
      <c r="E2740" s="7" t="n">
        <v>13051.66</v>
      </c>
      <c r="F2740" s="7" t="n">
        <v>156619.9</v>
      </c>
    </row>
    <row r="2741" ht="21" customHeight="1">
      <c r="A2741" s="7" t="n">
        <v>2028</v>
      </c>
      <c r="B2741" s="7" t="n">
        <v>8</v>
      </c>
      <c r="C2741" s="10" t="inlineStr">
        <is>
          <t>Miete Grdst/Gebäud</t>
        </is>
      </c>
      <c r="D2741" s="10" t="inlineStr">
        <is>
          <t>Raumkosten</t>
        </is>
      </c>
      <c r="E2741" s="7" t="n">
        <v>17880.93</v>
      </c>
      <c r="F2741" s="7" t="n">
        <v>214571.21</v>
      </c>
    </row>
    <row r="2742" ht="21" customHeight="1">
      <c r="A2742" s="7" t="n">
        <v>2027</v>
      </c>
      <c r="B2742" s="7" t="n">
        <v>8</v>
      </c>
      <c r="C2742" s="10" t="inlineStr">
        <is>
          <t>Erloesschmaeler</t>
        </is>
      </c>
      <c r="D2742" s="10" t="inlineStr">
        <is>
          <t>Gesamtleistung</t>
        </is>
      </c>
      <c r="E2742" s="7" t="n">
        <v>-7483.88</v>
      </c>
      <c r="F2742" s="7" t="n">
        <v>-89806.53</v>
      </c>
    </row>
    <row r="2743" ht="21" customHeight="1">
      <c r="A2743" s="7" t="n">
        <v>2029</v>
      </c>
      <c r="B2743" s="7" t="n">
        <v>8</v>
      </c>
      <c r="C2743" s="10" t="inlineStr">
        <is>
          <t>sonst Personalk</t>
        </is>
      </c>
      <c r="D2743" s="10" t="inlineStr">
        <is>
          <t>Personalaufwand</t>
        </is>
      </c>
      <c r="E2743" s="7" t="n">
        <v>13957.15</v>
      </c>
      <c r="F2743" s="7" t="n">
        <v>167485.78</v>
      </c>
    </row>
    <row r="2744" ht="21" customHeight="1">
      <c r="A2744" s="7" t="n">
        <v>2028</v>
      </c>
      <c r="B2744" s="7" t="n">
        <v>8</v>
      </c>
      <c r="C2744" s="10" t="inlineStr">
        <is>
          <t>Fremdl. Fuhrlei</t>
        </is>
      </c>
      <c r="D2744" s="10" t="inlineStr">
        <is>
          <t>Vorleistungen</t>
        </is>
      </c>
      <c r="E2744" s="7" t="n">
        <v>363.29</v>
      </c>
      <c r="F2744" s="7" t="n">
        <v>4359.52</v>
      </c>
    </row>
    <row r="2745" ht="21" customHeight="1">
      <c r="A2745" s="7" t="n">
        <v>2027</v>
      </c>
      <c r="B2745" s="7" t="n">
        <v>8</v>
      </c>
      <c r="C2745" s="10" t="inlineStr">
        <is>
          <t>Erl. so. DL Dt.</t>
        </is>
      </c>
      <c r="D2745" s="10" t="inlineStr">
        <is>
          <t>Gesamtleistung</t>
        </is>
      </c>
      <c r="E2745" s="7" t="n">
        <v>1996174.37</v>
      </c>
      <c r="F2745" s="7" t="n">
        <v>23954092.45</v>
      </c>
    </row>
    <row r="2746" ht="21" customHeight="1">
      <c r="A2746" s="7" t="n">
        <v>2027</v>
      </c>
      <c r="B2746" s="7" t="n">
        <v>8</v>
      </c>
      <c r="C2746" s="10" t="inlineStr">
        <is>
          <t>Aufw. Heizmat.</t>
        </is>
      </c>
      <c r="D2746" s="10" t="inlineStr">
        <is>
          <t>Vorleistungen</t>
        </is>
      </c>
      <c r="E2746" s="7" t="n">
        <v>275.72</v>
      </c>
      <c r="F2746" s="7" t="n">
        <v>3308.65</v>
      </c>
    </row>
    <row r="2747" ht="21" customHeight="1">
      <c r="A2747" s="7" t="n">
        <v>2028</v>
      </c>
      <c r="B2747" s="7" t="n">
        <v>8</v>
      </c>
      <c r="C2747" s="10" t="inlineStr">
        <is>
          <t>Versicherungskosten</t>
        </is>
      </c>
      <c r="D2747" s="10" t="inlineStr">
        <is>
          <t>Verwaltungskosten</t>
        </is>
      </c>
      <c r="E2747" s="7" t="n">
        <v>11113.3</v>
      </c>
      <c r="F2747" s="7" t="n">
        <v>133359.63</v>
      </c>
    </row>
    <row r="2748" ht="21" customHeight="1">
      <c r="A2748" s="7" t="n">
        <v>2031</v>
      </c>
      <c r="B2748" s="7" t="n">
        <v>8</v>
      </c>
      <c r="C2748" s="10" t="inlineStr">
        <is>
          <t>Miete LKW,Schiffe</t>
        </is>
      </c>
      <c r="D2748" s="10" t="inlineStr">
        <is>
          <t>Fuhrparkkosten</t>
        </is>
      </c>
      <c r="E2748" s="7" t="n">
        <v>46398.06</v>
      </c>
      <c r="F2748" s="7" t="n">
        <v>556776.71</v>
      </c>
    </row>
    <row r="2749" ht="21" customHeight="1">
      <c r="A2749" s="7" t="n">
        <v>2027</v>
      </c>
      <c r="B2749" s="7" t="n">
        <v>8</v>
      </c>
      <c r="C2749" s="10" t="inlineStr">
        <is>
          <t>Weiterber. Frem</t>
        </is>
      </c>
      <c r="D2749" s="10" t="inlineStr">
        <is>
          <t>Vorleistungen</t>
        </is>
      </c>
      <c r="E2749" s="7" t="n">
        <v>0</v>
      </c>
      <c r="F2749" s="7" t="n">
        <v>0</v>
      </c>
    </row>
    <row r="2750" ht="21" customHeight="1">
      <c r="A2750" s="7" t="n">
        <v>2028</v>
      </c>
      <c r="B2750" s="7" t="n">
        <v>8</v>
      </c>
      <c r="C2750" s="10" t="inlineStr">
        <is>
          <t>Erloesschmaeler</t>
        </is>
      </c>
      <c r="D2750" s="10" t="inlineStr">
        <is>
          <t>Gesamtleistung</t>
        </is>
      </c>
      <c r="E2750" s="7" t="n">
        <v>-8355.469999999999</v>
      </c>
      <c r="F2750" s="7" t="n">
        <v>-100265.61</v>
      </c>
    </row>
    <row r="2751" ht="21" customHeight="1">
      <c r="A2751" s="7" t="n">
        <v>2027</v>
      </c>
      <c r="B2751" s="7" t="n">
        <v>8</v>
      </c>
      <c r="C2751" s="10" t="inlineStr">
        <is>
          <t>Uebr.neutr. Ert</t>
        </is>
      </c>
      <c r="D2751" s="10" t="inlineStr">
        <is>
          <t>Gesamtleistung</t>
        </is>
      </c>
      <c r="E2751" s="7" t="n">
        <v>113.94</v>
      </c>
      <c r="F2751" s="7" t="n">
        <v>1367.31</v>
      </c>
    </row>
    <row r="2752" ht="21" customHeight="1">
      <c r="A2752" s="7" t="n">
        <v>2028</v>
      </c>
      <c r="B2752" s="7" t="n">
        <v>8</v>
      </c>
      <c r="C2752" s="10" t="inlineStr">
        <is>
          <t>Miete Behälter</t>
        </is>
      </c>
      <c r="D2752" s="10" t="inlineStr">
        <is>
          <t>Instandh. Betriebsausstattung</t>
        </is>
      </c>
      <c r="E2752" s="7" t="n">
        <v>24.08</v>
      </c>
      <c r="F2752" s="7" t="n">
        <v>289</v>
      </c>
    </row>
    <row r="2753" ht="21" customHeight="1">
      <c r="A2753" s="7" t="n">
        <v>2028</v>
      </c>
      <c r="B2753" s="7" t="n">
        <v>8</v>
      </c>
      <c r="C2753" s="10" t="inlineStr">
        <is>
          <t>Aufw. so. Hilfs</t>
        </is>
      </c>
      <c r="D2753" s="10" t="inlineStr">
        <is>
          <t>Vorleistungen</t>
        </is>
      </c>
      <c r="E2753" s="7" t="n">
        <v>-16546.31</v>
      </c>
      <c r="F2753" s="7" t="n">
        <v>-198555.67</v>
      </c>
    </row>
    <row r="2754" ht="21" customHeight="1">
      <c r="A2754" s="7" t="n">
        <v>2030</v>
      </c>
      <c r="B2754" s="7" t="n">
        <v>8</v>
      </c>
      <c r="C2754" s="10" t="inlineStr">
        <is>
          <t>Treibstoffe, Oe</t>
        </is>
      </c>
      <c r="D2754" s="10" t="inlineStr">
        <is>
          <t>Fuhrparkkosten</t>
        </is>
      </c>
      <c r="E2754" s="7" t="n">
        <v>34177.25</v>
      </c>
      <c r="F2754" s="7" t="n">
        <v>410126.96</v>
      </c>
    </row>
    <row r="2755" ht="21" customHeight="1">
      <c r="A2755" s="7" t="n">
        <v>2030</v>
      </c>
      <c r="B2755" s="7" t="n">
        <v>8</v>
      </c>
      <c r="C2755" s="10" t="inlineStr">
        <is>
          <t>Ueb Lohn-Gehalt</t>
        </is>
      </c>
      <c r="D2755" s="10" t="inlineStr">
        <is>
          <t>Personalaufwand</t>
        </is>
      </c>
      <c r="E2755" s="7" t="n">
        <v>41842.02</v>
      </c>
      <c r="F2755" s="7" t="n">
        <v>502104.18</v>
      </c>
    </row>
    <row r="2756" ht="21" customHeight="1">
      <c r="A2756" s="7" t="n">
        <v>2030</v>
      </c>
      <c r="B2756" s="7" t="n">
        <v>8</v>
      </c>
      <c r="C2756" s="10" t="inlineStr">
        <is>
          <t>Aufw. f. Alters</t>
        </is>
      </c>
      <c r="D2756" s="10" t="inlineStr">
        <is>
          <t>Personalaufwand</t>
        </is>
      </c>
      <c r="E2756" s="7" t="n">
        <v>1387.56</v>
      </c>
      <c r="F2756" s="7" t="n">
        <v>16650.69</v>
      </c>
    </row>
    <row r="2757" ht="21" customHeight="1">
      <c r="A2757" s="7" t="n">
        <v>2031</v>
      </c>
      <c r="B2757" s="7" t="n">
        <v>8</v>
      </c>
      <c r="C2757" s="10" t="inlineStr">
        <is>
          <t>Fremdl. Persona</t>
        </is>
      </c>
      <c r="D2757" s="10" t="inlineStr">
        <is>
          <t>Vorleistungen</t>
        </is>
      </c>
      <c r="E2757" s="7" t="n">
        <v>79.40000000000001</v>
      </c>
      <c r="F2757" s="7" t="n">
        <v>952.79</v>
      </c>
    </row>
    <row r="2758" ht="21" customHeight="1">
      <c r="A2758" s="7" t="n">
        <v>2029</v>
      </c>
      <c r="B2758" s="7" t="n">
        <v>9</v>
      </c>
      <c r="C2758" s="10" t="inlineStr">
        <is>
          <t>Sonderz. Prämie</t>
        </is>
      </c>
      <c r="D2758" s="10" t="inlineStr">
        <is>
          <t>Personalaufwand</t>
        </is>
      </c>
      <c r="E2758" s="7" t="n">
        <v>23292.21</v>
      </c>
      <c r="F2758" s="7" t="n">
        <v>279506.56</v>
      </c>
    </row>
    <row r="2759" ht="21" customHeight="1">
      <c r="A2759" s="7" t="n">
        <v>2030</v>
      </c>
      <c r="B2759" s="7" t="n">
        <v>9</v>
      </c>
      <c r="C2759" s="10" t="inlineStr">
        <is>
          <t>sonst Personalk</t>
        </is>
      </c>
      <c r="D2759" s="10" t="inlineStr">
        <is>
          <t>Personalaufwand</t>
        </is>
      </c>
      <c r="E2759" s="7" t="n">
        <v>15558.93</v>
      </c>
      <c r="F2759" s="7" t="n">
        <v>186707.19</v>
      </c>
    </row>
    <row r="2760" ht="21" customHeight="1">
      <c r="A2760" s="7" t="n">
        <v>2031</v>
      </c>
      <c r="B2760" s="7" t="n">
        <v>9</v>
      </c>
      <c r="C2760" s="10" t="inlineStr">
        <is>
          <t>Ankauf Rohstoff</t>
        </is>
      </c>
      <c r="D2760" s="10" t="inlineStr">
        <is>
          <t>Vorleistungen</t>
        </is>
      </c>
      <c r="E2760" s="7" t="n">
        <v>1489.65</v>
      </c>
      <c r="F2760" s="7" t="n">
        <v>17875.76</v>
      </c>
    </row>
    <row r="2761" ht="21" customHeight="1">
      <c r="A2761" s="7" t="n">
        <v>2029</v>
      </c>
      <c r="B2761" s="7" t="n">
        <v>9</v>
      </c>
      <c r="C2761" s="10" t="inlineStr">
        <is>
          <t>Weiterber. Frem</t>
        </is>
      </c>
      <c r="D2761" s="10" t="inlineStr">
        <is>
          <t>Vorleistungen</t>
        </is>
      </c>
      <c r="E2761" s="7" t="n">
        <v>0</v>
      </c>
      <c r="F2761" s="7" t="n">
        <v>0</v>
      </c>
    </row>
    <row r="2762" ht="21" customHeight="1">
      <c r="A2762" s="7" t="n">
        <v>2031</v>
      </c>
      <c r="B2762" s="7" t="n">
        <v>9</v>
      </c>
      <c r="C2762" s="10" t="inlineStr">
        <is>
          <t>Sonstige Steuer</t>
        </is>
      </c>
      <c r="D2762" s="10" t="inlineStr">
        <is>
          <t>Fuhrparkkosten</t>
        </is>
      </c>
      <c r="E2762" s="7" t="n">
        <v>1890.32</v>
      </c>
      <c r="F2762" s="7" t="n">
        <v>22683.81</v>
      </c>
    </row>
    <row r="2763" ht="21" customHeight="1">
      <c r="A2763" s="7" t="n">
        <v>2030</v>
      </c>
      <c r="B2763" s="7" t="n">
        <v>9</v>
      </c>
      <c r="C2763" s="10" t="inlineStr">
        <is>
          <t>Bestandsveraend</t>
        </is>
      </c>
      <c r="D2763" s="10" t="inlineStr">
        <is>
          <t>Gesamtleistung</t>
        </is>
      </c>
      <c r="E2763" s="7" t="n">
        <v>0</v>
      </c>
      <c r="F2763" s="7" t="n">
        <v>0</v>
      </c>
    </row>
    <row r="2764" ht="21" customHeight="1">
      <c r="A2764" s="7" t="n">
        <v>2031</v>
      </c>
      <c r="B2764" s="7" t="n">
        <v>9</v>
      </c>
      <c r="C2764" s="10" t="inlineStr">
        <is>
          <t>Erl. so. DL Dt.</t>
        </is>
      </c>
      <c r="D2764" s="10" t="inlineStr">
        <is>
          <t>Gesamtleistung</t>
        </is>
      </c>
      <c r="E2764" s="7" t="n">
        <v>2428139.11</v>
      </c>
      <c r="F2764" s="7" t="n">
        <v>29137669.32</v>
      </c>
    </row>
    <row r="2765" ht="21" customHeight="1">
      <c r="A2765" s="7" t="n">
        <v>2030</v>
      </c>
      <c r="B2765" s="7" t="n">
        <v>9</v>
      </c>
      <c r="C2765" s="10" t="inlineStr">
        <is>
          <t>Sonstige Steuer</t>
        </is>
      </c>
      <c r="D2765" s="10" t="inlineStr">
        <is>
          <t>Fuhrparkkosten</t>
        </is>
      </c>
      <c r="E2765" s="7" t="n">
        <v>1783.32</v>
      </c>
      <c r="F2765" s="7" t="n">
        <v>21399.82</v>
      </c>
    </row>
    <row r="2766" ht="21" customHeight="1">
      <c r="A2766" s="7" t="n">
        <v>2030</v>
      </c>
      <c r="B2766" s="7" t="n">
        <v>9</v>
      </c>
      <c r="C2766" s="10" t="inlineStr">
        <is>
          <t>Sonderz. Prämie</t>
        </is>
      </c>
      <c r="D2766" s="10" t="inlineStr">
        <is>
          <t>Personalaufwand</t>
        </is>
      </c>
      <c r="E2766" s="7" t="n">
        <v>25004.1</v>
      </c>
      <c r="F2766" s="7" t="n">
        <v>300049.14</v>
      </c>
    </row>
    <row r="2767" ht="21" customHeight="1">
      <c r="A2767" s="7" t="n">
        <v>2029</v>
      </c>
      <c r="B2767" s="7" t="n">
        <v>9</v>
      </c>
      <c r="C2767" s="10" t="inlineStr">
        <is>
          <t>Soziale Abgaben</t>
        </is>
      </c>
      <c r="D2767" s="10" t="inlineStr">
        <is>
          <t>Personalaufwand</t>
        </is>
      </c>
      <c r="E2767" s="7" t="n">
        <v>94488.11</v>
      </c>
      <c r="F2767" s="7" t="n">
        <v>1133857.35</v>
      </c>
    </row>
    <row r="2768" ht="21" customHeight="1">
      <c r="A2768" s="7" t="n">
        <v>2031</v>
      </c>
      <c r="B2768" s="7" t="n">
        <v>9</v>
      </c>
      <c r="C2768" s="10" t="inlineStr">
        <is>
          <t>So. betr. Aufwa</t>
        </is>
      </c>
      <c r="D2768" s="10" t="inlineStr">
        <is>
          <t>Verwaltungskosten</t>
        </is>
      </c>
      <c r="E2768" s="7" t="n">
        <v>735.47</v>
      </c>
      <c r="F2768" s="7" t="n">
        <v>8825.639999999999</v>
      </c>
    </row>
    <row r="2769" ht="21" customHeight="1">
      <c r="A2769" s="7" t="n">
        <v>2027</v>
      </c>
      <c r="B2769" s="7" t="n">
        <v>9</v>
      </c>
      <c r="C2769" s="10" t="inlineStr">
        <is>
          <t>Lohn + Gehalt</t>
        </is>
      </c>
      <c r="D2769" s="10" t="inlineStr">
        <is>
          <t>Personalaufwand</t>
        </is>
      </c>
      <c r="E2769" s="7" t="n">
        <v>287946.36</v>
      </c>
      <c r="F2769" s="7" t="n">
        <v>3455356.33</v>
      </c>
    </row>
    <row r="2770" ht="21" customHeight="1">
      <c r="A2770" s="7" t="n">
        <v>2027</v>
      </c>
      <c r="B2770" s="7" t="n">
        <v>9</v>
      </c>
      <c r="C2770" s="10" t="inlineStr">
        <is>
          <t>So. betr. Aufwa</t>
        </is>
      </c>
      <c r="D2770" s="10" t="inlineStr">
        <is>
          <t>Verwaltungskosten</t>
        </is>
      </c>
      <c r="E2770" s="7" t="n">
        <v>653.45</v>
      </c>
      <c r="F2770" s="7" t="n">
        <v>7841.45</v>
      </c>
    </row>
    <row r="2771" ht="21" customHeight="1">
      <c r="A2771" s="7" t="n">
        <v>2028</v>
      </c>
      <c r="B2771" s="7" t="n">
        <v>9</v>
      </c>
      <c r="C2771" s="10" t="inlineStr">
        <is>
          <t>Ueb Lohn-Gehalt</t>
        </is>
      </c>
      <c r="D2771" s="10" t="inlineStr">
        <is>
          <t>Personalaufwand</t>
        </is>
      </c>
      <c r="E2771" s="7" t="n">
        <v>34332.83</v>
      </c>
      <c r="F2771" s="7" t="n">
        <v>411993.96</v>
      </c>
    </row>
    <row r="2772" ht="21" customHeight="1">
      <c r="A2772" s="7" t="n">
        <v>2027</v>
      </c>
      <c r="B2772" s="7" t="n">
        <v>9</v>
      </c>
      <c r="C2772" s="10" t="inlineStr">
        <is>
          <t>Verwaltungskost</t>
        </is>
      </c>
      <c r="D2772" s="10" t="inlineStr">
        <is>
          <t>Verwaltungskosten</t>
        </is>
      </c>
      <c r="E2772" s="7" t="n">
        <v>6691.47</v>
      </c>
      <c r="F2772" s="7" t="n">
        <v>80297.62</v>
      </c>
    </row>
    <row r="2773" ht="21" customHeight="1">
      <c r="A2773" s="7" t="n">
        <v>2030</v>
      </c>
      <c r="B2773" s="7" t="n">
        <v>9</v>
      </c>
      <c r="C2773" s="10" t="inlineStr">
        <is>
          <t>Aufw. Heizmat.</t>
        </is>
      </c>
      <c r="D2773" s="10" t="inlineStr">
        <is>
          <t>Vorleistungen</t>
        </is>
      </c>
      <c r="E2773" s="7" t="n">
        <v>230.4</v>
      </c>
      <c r="F2773" s="7" t="n">
        <v>2764.82</v>
      </c>
    </row>
    <row r="2774" ht="21" customHeight="1">
      <c r="A2774" s="7" t="n">
        <v>2027</v>
      </c>
      <c r="B2774" s="7" t="n">
        <v>9</v>
      </c>
      <c r="C2774" s="10" t="inlineStr">
        <is>
          <t>Versicherungskosten</t>
        </is>
      </c>
      <c r="D2774" s="10" t="inlineStr">
        <is>
          <t>Verwaltungskosten</t>
        </is>
      </c>
      <c r="E2774" s="7" t="n">
        <v>10789.61</v>
      </c>
      <c r="F2774" s="7" t="n">
        <v>129475.37</v>
      </c>
    </row>
    <row r="2775" ht="21" customHeight="1">
      <c r="A2775" s="7" t="n">
        <v>2031</v>
      </c>
      <c r="B2775" s="7" t="n">
        <v>9</v>
      </c>
      <c r="C2775" s="10" t="inlineStr">
        <is>
          <t>Instandh. BGA</t>
        </is>
      </c>
      <c r="D2775" s="10" t="inlineStr">
        <is>
          <t>Instandh. Betriebsausstattung</t>
        </is>
      </c>
      <c r="E2775" s="7" t="n">
        <v>5124.63</v>
      </c>
      <c r="F2775" s="7" t="n">
        <v>61495.58</v>
      </c>
    </row>
    <row r="2776" ht="21" customHeight="1">
      <c r="A2776" s="7" t="n">
        <v>2029</v>
      </c>
      <c r="B2776" s="7" t="n">
        <v>9</v>
      </c>
      <c r="C2776" s="10" t="inlineStr">
        <is>
          <t>Treibstoffe, Oe</t>
        </is>
      </c>
      <c r="D2776" s="10" t="inlineStr">
        <is>
          <t>Fuhrparkkosten</t>
        </is>
      </c>
      <c r="E2776" s="7" t="n">
        <v>32242.68</v>
      </c>
      <c r="F2776" s="7" t="n">
        <v>386912.19</v>
      </c>
    </row>
    <row r="2777" ht="21" customHeight="1">
      <c r="A2777" s="7" t="n">
        <v>2027</v>
      </c>
      <c r="B2777" s="7" t="n">
        <v>9</v>
      </c>
      <c r="C2777" s="10" t="inlineStr">
        <is>
          <t>Instandh. BGA</t>
        </is>
      </c>
      <c r="D2777" s="10" t="inlineStr">
        <is>
          <t>Instandh. Betriebsausstattung</t>
        </is>
      </c>
      <c r="E2777" s="7" t="n">
        <v>4216.05</v>
      </c>
      <c r="F2777" s="7" t="n">
        <v>50592.58</v>
      </c>
    </row>
    <row r="2778" ht="21" customHeight="1">
      <c r="A2778" s="7" t="n">
        <v>2029</v>
      </c>
      <c r="B2778" s="7" t="n">
        <v>9</v>
      </c>
      <c r="C2778" s="10" t="inlineStr">
        <is>
          <t>Ueb Lohn-Gehalt</t>
        </is>
      </c>
      <c r="D2778" s="10" t="inlineStr">
        <is>
          <t>Personalaufwand</t>
        </is>
      </c>
      <c r="E2778" s="7" t="n">
        <v>37989.9</v>
      </c>
      <c r="F2778" s="7" t="n">
        <v>455878.84</v>
      </c>
    </row>
    <row r="2779" ht="21" customHeight="1">
      <c r="A2779" s="7" t="n">
        <v>2031</v>
      </c>
      <c r="B2779" s="7" t="n">
        <v>9</v>
      </c>
      <c r="C2779" s="10" t="inlineStr">
        <is>
          <t>Erl. Waren Dt.</t>
        </is>
      </c>
      <c r="D2779" s="10" t="inlineStr">
        <is>
          <t>Gesamtleistung</t>
        </is>
      </c>
      <c r="E2779" s="7" t="n">
        <v>50865.59</v>
      </c>
      <c r="F2779" s="7" t="n">
        <v>610387.05</v>
      </c>
    </row>
    <row r="2780" ht="21" customHeight="1">
      <c r="A2780" s="7" t="n">
        <v>2027</v>
      </c>
      <c r="B2780" s="7" t="n">
        <v>9</v>
      </c>
      <c r="C2780" s="10" t="inlineStr">
        <is>
          <t>Fremdl. Persona</t>
        </is>
      </c>
      <c r="D2780" s="10" t="inlineStr">
        <is>
          <t>Vorleistungen</t>
        </is>
      </c>
      <c r="E2780" s="7" t="n">
        <v>61.31</v>
      </c>
      <c r="F2780" s="7" t="n">
        <v>735.66</v>
      </c>
    </row>
    <row r="2781" ht="21" customHeight="1">
      <c r="A2781" s="7" t="n">
        <v>2027</v>
      </c>
      <c r="B2781" s="7" t="n">
        <v>9</v>
      </c>
      <c r="C2781" s="10" t="inlineStr">
        <is>
          <t>Aufwand Umlage</t>
        </is>
      </c>
      <c r="D2781" s="10" t="inlineStr">
        <is>
          <t>Verwaltungskosten</t>
        </is>
      </c>
      <c r="E2781" s="7" t="n">
        <v>3383.24</v>
      </c>
      <c r="F2781" s="7" t="n">
        <v>40598.91</v>
      </c>
    </row>
    <row r="2782" ht="21" customHeight="1">
      <c r="A2782" s="7" t="n">
        <v>2031</v>
      </c>
      <c r="B2782" s="7" t="n">
        <v>9</v>
      </c>
      <c r="C2782" s="10" t="inlineStr">
        <is>
          <t>Ueb Lohn-Gehalt</t>
        </is>
      </c>
      <c r="D2782" s="10" t="inlineStr">
        <is>
          <t>Personalaufwand</t>
        </is>
      </c>
      <c r="E2782" s="7" t="n">
        <v>45675.82</v>
      </c>
      <c r="F2782" s="7" t="n">
        <v>548109.79</v>
      </c>
    </row>
    <row r="2783" ht="21" customHeight="1">
      <c r="A2783" s="7" t="n">
        <v>2027</v>
      </c>
      <c r="B2783" s="7" t="n">
        <v>9</v>
      </c>
      <c r="C2783" s="10" t="inlineStr">
        <is>
          <t>Rechts- u. Beratungs</t>
        </is>
      </c>
      <c r="D2783" s="10" t="inlineStr">
        <is>
          <t>Verwaltungskosten</t>
        </is>
      </c>
      <c r="E2783" s="7" t="n">
        <v>25635.99</v>
      </c>
      <c r="F2783" s="7" t="n">
        <v>307631.89</v>
      </c>
    </row>
    <row r="2784" ht="21" customHeight="1">
      <c r="A2784" s="7" t="n">
        <v>2028</v>
      </c>
      <c r="B2784" s="7" t="n">
        <v>9</v>
      </c>
      <c r="C2784" s="10" t="inlineStr">
        <is>
          <t>Verwaltungskost</t>
        </is>
      </c>
      <c r="D2784" s="10" t="inlineStr">
        <is>
          <t>Verwaltungskosten</t>
        </is>
      </c>
      <c r="E2784" s="7" t="n">
        <v>6892.21</v>
      </c>
      <c r="F2784" s="7" t="n">
        <v>82706.56</v>
      </c>
    </row>
    <row r="2785" ht="21" customHeight="1">
      <c r="A2785" s="7" t="n">
        <v>2028</v>
      </c>
      <c r="B2785" s="7" t="n">
        <v>9</v>
      </c>
      <c r="C2785" s="10" t="inlineStr">
        <is>
          <t>Ueb. bezog.Leis</t>
        </is>
      </c>
      <c r="D2785" s="10" t="inlineStr">
        <is>
          <t>Vorleistungen</t>
        </is>
      </c>
      <c r="E2785" s="7" t="n">
        <v>1342498.67</v>
      </c>
      <c r="F2785" s="7" t="n">
        <v>16109983.99</v>
      </c>
    </row>
    <row r="2786" ht="21" customHeight="1">
      <c r="A2786" s="7" t="n">
        <v>2028</v>
      </c>
      <c r="B2786" s="7" t="n">
        <v>9</v>
      </c>
      <c r="C2786" s="10" t="inlineStr">
        <is>
          <t>Ankauf Rohstoff</t>
        </is>
      </c>
      <c r="D2786" s="10" t="inlineStr">
        <is>
          <t>Vorleistungen</t>
        </is>
      </c>
      <c r="E2786" s="7" t="n">
        <v>1457.38</v>
      </c>
      <c r="F2786" s="7" t="n">
        <v>17488.61</v>
      </c>
    </row>
    <row r="2787" ht="21" customHeight="1">
      <c r="A2787" s="7" t="n">
        <v>2029</v>
      </c>
      <c r="B2787" s="7" t="n">
        <v>9</v>
      </c>
      <c r="C2787" s="10" t="inlineStr">
        <is>
          <t>Erloesschmaeler</t>
        </is>
      </c>
      <c r="D2787" s="10" t="inlineStr">
        <is>
          <t>Gesamtleistung</t>
        </is>
      </c>
      <c r="E2787" s="7" t="n">
        <v>-9048.01</v>
      </c>
      <c r="F2787" s="7" t="n">
        <v>-108576.08</v>
      </c>
    </row>
    <row r="2788" ht="21" customHeight="1">
      <c r="A2788" s="7" t="n">
        <v>2029</v>
      </c>
      <c r="B2788" s="7" t="n">
        <v>9</v>
      </c>
      <c r="C2788" s="10" t="inlineStr">
        <is>
          <t>Leasing PKW</t>
        </is>
      </c>
      <c r="D2788" s="10" t="inlineStr">
        <is>
          <t>Fuhrparkkosten</t>
        </is>
      </c>
      <c r="E2788" s="7" t="n">
        <v>24652.26</v>
      </c>
      <c r="F2788" s="7" t="n">
        <v>295827.14</v>
      </c>
    </row>
    <row r="2789" ht="21" customHeight="1">
      <c r="A2789" s="7" t="n">
        <v>2029</v>
      </c>
      <c r="B2789" s="7" t="n">
        <v>9</v>
      </c>
      <c r="C2789" s="10" t="inlineStr">
        <is>
          <t>Fremdl. Persona</t>
        </is>
      </c>
      <c r="D2789" s="10" t="inlineStr">
        <is>
          <t>Vorleistungen</t>
        </is>
      </c>
      <c r="E2789" s="7" t="n">
        <v>73.3</v>
      </c>
      <c r="F2789" s="7" t="n">
        <v>879.54</v>
      </c>
    </row>
    <row r="2790" ht="21" customHeight="1">
      <c r="A2790" s="7" t="n">
        <v>2028</v>
      </c>
      <c r="B2790" s="7" t="n">
        <v>9</v>
      </c>
      <c r="C2790" s="10" t="inlineStr">
        <is>
          <t>Aufwand Umlage</t>
        </is>
      </c>
      <c r="D2790" s="10" t="inlineStr">
        <is>
          <t>Verwaltungskosten</t>
        </is>
      </c>
      <c r="E2790" s="7" t="n">
        <v>3484.74</v>
      </c>
      <c r="F2790" s="7" t="n">
        <v>41816.88</v>
      </c>
    </row>
    <row r="2791" ht="21" customHeight="1">
      <c r="A2791" s="7" t="n">
        <v>2027</v>
      </c>
      <c r="B2791" s="7" t="n">
        <v>9</v>
      </c>
      <c r="C2791" s="10" t="inlineStr">
        <is>
          <t>Ankauf Rohstoff</t>
        </is>
      </c>
      <c r="D2791" s="10" t="inlineStr">
        <is>
          <t>Vorleistungen</t>
        </is>
      </c>
      <c r="E2791" s="7" t="n">
        <v>1408.24</v>
      </c>
      <c r="F2791" s="7" t="n">
        <v>16898.9</v>
      </c>
    </row>
    <row r="2792" ht="21" customHeight="1">
      <c r="A2792" s="7" t="n">
        <v>2030</v>
      </c>
      <c r="B2792" s="7" t="n">
        <v>9</v>
      </c>
      <c r="C2792" s="10" t="inlineStr">
        <is>
          <t>Erloesschmaeler</t>
        </is>
      </c>
      <c r="D2792" s="10" t="inlineStr">
        <is>
          <t>Gesamtleistung</t>
        </is>
      </c>
      <c r="E2792" s="7" t="n">
        <v>-9690.75</v>
      </c>
      <c r="F2792" s="7" t="n">
        <v>-116289.05</v>
      </c>
    </row>
    <row r="2793" ht="21" customHeight="1">
      <c r="A2793" s="7" t="n">
        <v>2029</v>
      </c>
      <c r="B2793" s="7" t="n">
        <v>9</v>
      </c>
      <c r="C2793" s="10" t="inlineStr">
        <is>
          <t>Sonst Fuhrparkkosten</t>
        </is>
      </c>
      <c r="D2793" s="10" t="inlineStr">
        <is>
          <t>Fuhrparkkosten</t>
        </is>
      </c>
      <c r="E2793" s="7" t="n">
        <v>5605.91</v>
      </c>
      <c r="F2793" s="7" t="n">
        <v>67270.89</v>
      </c>
    </row>
    <row r="2794" ht="21" customHeight="1">
      <c r="A2794" s="7" t="n">
        <v>2027</v>
      </c>
      <c r="B2794" s="7" t="n">
        <v>9</v>
      </c>
      <c r="C2794" s="10" t="inlineStr">
        <is>
          <t>Soziale Abgaben</t>
        </is>
      </c>
      <c r="D2794" s="10" t="inlineStr">
        <is>
          <t>Personalaufwand</t>
        </is>
      </c>
      <c r="E2794" s="7" t="n">
        <v>75903.69</v>
      </c>
      <c r="F2794" s="7" t="n">
        <v>910844.28</v>
      </c>
    </row>
    <row r="2795" ht="21" customHeight="1">
      <c r="A2795" s="7" t="n">
        <v>2031</v>
      </c>
      <c r="B2795" s="7" t="n">
        <v>9</v>
      </c>
      <c r="C2795" s="10" t="inlineStr">
        <is>
          <t>Erloesschmaeler</t>
        </is>
      </c>
      <c r="D2795" s="10" t="inlineStr">
        <is>
          <t>Gesamtleistung</t>
        </is>
      </c>
      <c r="E2795" s="7" t="n">
        <v>-10347.15</v>
      </c>
      <c r="F2795" s="7" t="n">
        <v>-124165.81</v>
      </c>
    </row>
    <row r="2796" ht="21" customHeight="1">
      <c r="A2796" s="7" t="n">
        <v>2029</v>
      </c>
      <c r="B2796" s="7" t="n">
        <v>9</v>
      </c>
      <c r="C2796" s="10" t="inlineStr">
        <is>
          <t>Ertr. weiterber</t>
        </is>
      </c>
      <c r="D2796" s="10" t="inlineStr">
        <is>
          <t>Gesamtleistung</t>
        </is>
      </c>
      <c r="E2796" s="7" t="n">
        <v>1036.39</v>
      </c>
      <c r="F2796" s="7" t="n">
        <v>12436.69</v>
      </c>
    </row>
    <row r="2797" ht="21" customHeight="1">
      <c r="A2797" s="7" t="n">
        <v>2027</v>
      </c>
      <c r="B2797" s="7" t="n">
        <v>9</v>
      </c>
      <c r="C2797" s="10" t="inlineStr">
        <is>
          <t>Sonderz. Prämie</t>
        </is>
      </c>
      <c r="D2797" s="10" t="inlineStr">
        <is>
          <t>Personalaufwand</t>
        </is>
      </c>
      <c r="E2797" s="7" t="n">
        <v>19636.08</v>
      </c>
      <c r="F2797" s="7" t="n">
        <v>235633</v>
      </c>
    </row>
    <row r="2798" ht="21" customHeight="1">
      <c r="A2798" s="7" t="n">
        <v>2027</v>
      </c>
      <c r="B2798" s="7" t="n">
        <v>9</v>
      </c>
      <c r="C2798" s="10" t="inlineStr">
        <is>
          <t>Miete Behälter</t>
        </is>
      </c>
      <c r="D2798" s="10" t="inlineStr">
        <is>
          <t>Instandh. Betriebsausstattung</t>
        </is>
      </c>
      <c r="E2798" s="7" t="n">
        <v>22.94</v>
      </c>
      <c r="F2798" s="7" t="n">
        <v>275.23</v>
      </c>
    </row>
    <row r="2799" ht="21" customHeight="1">
      <c r="A2799" s="7" t="n">
        <v>2031</v>
      </c>
      <c r="B2799" s="7" t="n">
        <v>9</v>
      </c>
      <c r="C2799" s="10" t="inlineStr">
        <is>
          <t>Versicherungskosten</t>
        </is>
      </c>
      <c r="D2799" s="10" t="inlineStr">
        <is>
          <t>Verwaltungskosten</t>
        </is>
      </c>
      <c r="E2799" s="7" t="n">
        <v>12143.81</v>
      </c>
      <c r="F2799" s="7" t="n">
        <v>145725.66</v>
      </c>
    </row>
    <row r="2800" ht="21" customHeight="1">
      <c r="A2800" s="7" t="n">
        <v>2029</v>
      </c>
      <c r="B2800" s="7" t="n">
        <v>9</v>
      </c>
      <c r="C2800" s="10" t="inlineStr">
        <is>
          <t>Rechts- u. Beratungs</t>
        </is>
      </c>
      <c r="D2800" s="10" t="inlineStr">
        <is>
          <t>Verwaltungskosten</t>
        </is>
      </c>
      <c r="E2800" s="7" t="n">
        <v>27197.22</v>
      </c>
      <c r="F2800" s="7" t="n">
        <v>326366.65</v>
      </c>
    </row>
    <row r="2801" ht="21" customHeight="1">
      <c r="A2801" s="7" t="n">
        <v>2028</v>
      </c>
      <c r="B2801" s="7" t="n">
        <v>9</v>
      </c>
      <c r="C2801" s="10" t="inlineStr">
        <is>
          <t>Instandh.Fuhrp</t>
        </is>
      </c>
      <c r="D2801" s="10" t="inlineStr">
        <is>
          <t>Fuhrparkkosten</t>
        </is>
      </c>
      <c r="E2801" s="7" t="n">
        <v>32180.39</v>
      </c>
      <c r="F2801" s="7" t="n">
        <v>386164.66</v>
      </c>
    </row>
    <row r="2802" ht="21" customHeight="1">
      <c r="A2802" s="7" t="n">
        <v>2030</v>
      </c>
      <c r="B2802" s="7" t="n">
        <v>9</v>
      </c>
      <c r="C2802" s="10" t="inlineStr">
        <is>
          <t>Miete Grdst/Gebäud</t>
        </is>
      </c>
      <c r="D2802" s="10" t="inlineStr">
        <is>
          <t>Raumkosten</t>
        </is>
      </c>
      <c r="E2802" s="7" t="n">
        <v>18603.32</v>
      </c>
      <c r="F2802" s="7" t="n">
        <v>223239.88</v>
      </c>
    </row>
    <row r="2803" ht="21" customHeight="1">
      <c r="A2803" s="7" t="n">
        <v>2027</v>
      </c>
      <c r="B2803" s="7" t="n">
        <v>9</v>
      </c>
      <c r="C2803" s="10" t="inlineStr">
        <is>
          <t>Ueb. bezog.Leis</t>
        </is>
      </c>
      <c r="D2803" s="10" t="inlineStr">
        <is>
          <t>Vorleistungen</t>
        </is>
      </c>
      <c r="E2803" s="7" t="n">
        <v>1319862.34</v>
      </c>
      <c r="F2803" s="7" t="n">
        <v>15838348.13</v>
      </c>
    </row>
    <row r="2804" ht="21" customHeight="1">
      <c r="A2804" s="7" t="n">
        <v>2029</v>
      </c>
      <c r="B2804" s="7" t="n">
        <v>9</v>
      </c>
      <c r="C2804" s="10" t="inlineStr">
        <is>
          <t>Erl. Waren Dt.</t>
        </is>
      </c>
      <c r="D2804" s="10" t="inlineStr">
        <is>
          <t>Gesamtleistung</t>
        </is>
      </c>
      <c r="E2804" s="7" t="n">
        <v>47334.08</v>
      </c>
      <c r="F2804" s="7" t="n">
        <v>568008.92</v>
      </c>
    </row>
    <row r="2805" ht="21" customHeight="1">
      <c r="A2805" s="7" t="n">
        <v>2031</v>
      </c>
      <c r="B2805" s="7" t="n">
        <v>9</v>
      </c>
      <c r="C2805" s="10" t="inlineStr">
        <is>
          <t>Treibstoffe, Oe</t>
        </is>
      </c>
      <c r="D2805" s="10" t="inlineStr">
        <is>
          <t>Fuhrparkkosten</t>
        </is>
      </c>
      <c r="E2805" s="7" t="n">
        <v>36227.88</v>
      </c>
      <c r="F2805" s="7" t="n">
        <v>434734.54</v>
      </c>
    </row>
    <row r="2806" ht="21" customHeight="1">
      <c r="A2806" s="7" t="n">
        <v>2029</v>
      </c>
      <c r="B2806" s="7" t="n">
        <v>9</v>
      </c>
      <c r="C2806" s="10" t="inlineStr">
        <is>
          <t>Miete Behälter</t>
        </is>
      </c>
      <c r="D2806" s="10" t="inlineStr">
        <is>
          <t>Instandh. Betriebsausstattung</t>
        </is>
      </c>
      <c r="E2806" s="7" t="n">
        <v>25.29</v>
      </c>
      <c r="F2806" s="7" t="n">
        <v>303.45</v>
      </c>
    </row>
    <row r="2807" ht="21" customHeight="1">
      <c r="A2807" s="7" t="n">
        <v>2030</v>
      </c>
      <c r="B2807" s="7" t="n">
        <v>9</v>
      </c>
      <c r="C2807" s="10" t="inlineStr">
        <is>
          <t>Instandh. BGA</t>
        </is>
      </c>
      <c r="D2807" s="10" t="inlineStr">
        <is>
          <t>Instandh. Betriebsausstattung</t>
        </is>
      </c>
      <c r="E2807" s="7" t="n">
        <v>4880.6</v>
      </c>
      <c r="F2807" s="7" t="n">
        <v>58567.23</v>
      </c>
    </row>
    <row r="2808" ht="21" customHeight="1">
      <c r="A2808" s="7" t="n">
        <v>2030</v>
      </c>
      <c r="B2808" s="7" t="n">
        <v>9</v>
      </c>
      <c r="C2808" s="10" t="inlineStr">
        <is>
          <t>Lohn + Gehalt</t>
        </is>
      </c>
      <c r="D2808" s="10" t="inlineStr">
        <is>
          <t>Personalaufwand</t>
        </is>
      </c>
      <c r="E2808" s="7" t="n">
        <v>392030.8</v>
      </c>
      <c r="F2808" s="7" t="n">
        <v>4704369.59</v>
      </c>
    </row>
    <row r="2809" ht="21" customHeight="1">
      <c r="A2809" s="7" t="n">
        <v>2027</v>
      </c>
      <c r="B2809" s="7" t="n">
        <v>9</v>
      </c>
      <c r="C2809" s="10" t="inlineStr">
        <is>
          <t>Bestandsveraend</t>
        </is>
      </c>
      <c r="D2809" s="10" t="inlineStr">
        <is>
          <t>Gesamtleistung</t>
        </is>
      </c>
      <c r="E2809" s="7" t="n">
        <v>0</v>
      </c>
      <c r="F2809" s="7" t="n">
        <v>0</v>
      </c>
    </row>
    <row r="2810" ht="21" customHeight="1">
      <c r="A2810" s="7" t="n">
        <v>2027</v>
      </c>
      <c r="B2810" s="7" t="n">
        <v>9</v>
      </c>
      <c r="C2810" s="10" t="inlineStr">
        <is>
          <t>Aufw. so. Hilfs</t>
        </is>
      </c>
      <c r="D2810" s="10" t="inlineStr">
        <is>
          <t>Vorleistungen</t>
        </is>
      </c>
      <c r="E2810" s="7" t="n">
        <v>-16362.04</v>
      </c>
      <c r="F2810" s="7" t="n">
        <v>-196344.47</v>
      </c>
    </row>
    <row r="2811" ht="21" customHeight="1">
      <c r="A2811" s="7" t="n">
        <v>2027</v>
      </c>
      <c r="B2811" s="7" t="n">
        <v>9</v>
      </c>
      <c r="C2811" s="10" t="inlineStr">
        <is>
          <t>Aufw. f. Alters</t>
        </is>
      </c>
      <c r="D2811" s="10" t="inlineStr">
        <is>
          <t>Personalaufwand</t>
        </is>
      </c>
      <c r="E2811" s="7" t="n">
        <v>1234.77</v>
      </c>
      <c r="F2811" s="7" t="n">
        <v>14817.29</v>
      </c>
    </row>
    <row r="2812" ht="21" customHeight="1">
      <c r="A2812" s="7" t="n">
        <v>2027</v>
      </c>
      <c r="B2812" s="7" t="n">
        <v>9</v>
      </c>
      <c r="C2812" s="10" t="inlineStr">
        <is>
          <t>Vertriebskosten</t>
        </is>
      </c>
      <c r="D2812" s="10" t="inlineStr">
        <is>
          <t>Vertriebskosten</t>
        </is>
      </c>
      <c r="E2812" s="7" t="n">
        <v>10833.33</v>
      </c>
      <c r="F2812" s="7" t="n">
        <v>130000</v>
      </c>
    </row>
    <row r="2813" ht="21" customHeight="1">
      <c r="A2813" s="7" t="n">
        <v>2027</v>
      </c>
      <c r="B2813" s="7" t="n">
        <v>9</v>
      </c>
      <c r="C2813" s="10" t="inlineStr">
        <is>
          <t>Ertrag KFZ-Nutz</t>
        </is>
      </c>
      <c r="D2813" s="10" t="inlineStr">
        <is>
          <t>Gesamtleistung</t>
        </is>
      </c>
      <c r="E2813" s="7" t="n">
        <v>8029.69</v>
      </c>
      <c r="F2813" s="7" t="n">
        <v>96356.3</v>
      </c>
    </row>
    <row r="2814" ht="21" customHeight="1">
      <c r="A2814" s="7" t="n">
        <v>2031</v>
      </c>
      <c r="B2814" s="7" t="n">
        <v>9</v>
      </c>
      <c r="C2814" s="10" t="inlineStr">
        <is>
          <t>Lohn + Gehalt</t>
        </is>
      </c>
      <c r="D2814" s="10" t="inlineStr">
        <is>
          <t>Personalaufwand</t>
        </is>
      </c>
      <c r="E2814" s="7" t="n">
        <v>428257.62</v>
      </c>
      <c r="F2814" s="7" t="n">
        <v>5139091.39</v>
      </c>
    </row>
    <row r="2815" ht="21" customHeight="1">
      <c r="A2815" s="7" t="n">
        <v>2031</v>
      </c>
      <c r="B2815" s="7" t="n">
        <v>9</v>
      </c>
      <c r="C2815" s="10" t="inlineStr">
        <is>
          <t>Soziale Abgaben</t>
        </is>
      </c>
      <c r="D2815" s="10" t="inlineStr">
        <is>
          <t>Personalaufwand</t>
        </is>
      </c>
      <c r="E2815" s="7" t="n">
        <v>113909.76</v>
      </c>
      <c r="F2815" s="7" t="n">
        <v>1366917.09</v>
      </c>
    </row>
    <row r="2816" ht="21" customHeight="1">
      <c r="A2816" s="7" t="n">
        <v>2031</v>
      </c>
      <c r="B2816" s="7" t="n">
        <v>9</v>
      </c>
      <c r="C2816" s="10" t="inlineStr">
        <is>
          <t>Sonst Fuhrparkkosten</t>
        </is>
      </c>
      <c r="D2816" s="10" t="inlineStr">
        <is>
          <t>Fuhrparkkosten</t>
        </is>
      </c>
      <c r="E2816" s="7" t="n">
        <v>6298.8</v>
      </c>
      <c r="F2816" s="7" t="n">
        <v>75585.56</v>
      </c>
    </row>
    <row r="2817" ht="21" customHeight="1">
      <c r="A2817" s="7" t="n">
        <v>2030</v>
      </c>
      <c r="B2817" s="7" t="n">
        <v>9</v>
      </c>
      <c r="C2817" s="10" t="inlineStr">
        <is>
          <t>Miete Behälter</t>
        </is>
      </c>
      <c r="D2817" s="10" t="inlineStr">
        <is>
          <t>Instandh. Betriebsausstattung</t>
        </is>
      </c>
      <c r="E2817" s="7" t="n">
        <v>26.55</v>
      </c>
      <c r="F2817" s="7" t="n">
        <v>318.62</v>
      </c>
    </row>
    <row r="2818" ht="21" customHeight="1">
      <c r="A2818" s="7" t="n">
        <v>2028</v>
      </c>
      <c r="B2818" s="7" t="n">
        <v>9</v>
      </c>
      <c r="C2818" s="10" t="inlineStr">
        <is>
          <t>Miete PKW</t>
        </is>
      </c>
      <c r="D2818" s="10" t="inlineStr">
        <is>
          <t>Fuhrparkkosten</t>
        </is>
      </c>
      <c r="E2818" s="7" t="n">
        <v>4890.62</v>
      </c>
      <c r="F2818" s="7" t="n">
        <v>58687.43</v>
      </c>
    </row>
    <row r="2819" ht="21" customHeight="1">
      <c r="A2819" s="7" t="n">
        <v>2030</v>
      </c>
      <c r="B2819" s="7" t="n">
        <v>9</v>
      </c>
      <c r="C2819" s="10" t="inlineStr">
        <is>
          <t>Aufwand Umlage</t>
        </is>
      </c>
      <c r="D2819" s="10" t="inlineStr">
        <is>
          <t>Verwaltungskosten</t>
        </is>
      </c>
      <c r="E2819" s="7" t="n">
        <v>3696.96</v>
      </c>
      <c r="F2819" s="7" t="n">
        <v>44363.53</v>
      </c>
    </row>
    <row r="2820" ht="21" customHeight="1">
      <c r="A2820" s="7" t="n">
        <v>2030</v>
      </c>
      <c r="B2820" s="7" t="n">
        <v>9</v>
      </c>
      <c r="C2820" s="10" t="inlineStr">
        <is>
          <t>So. betr. Aufwa</t>
        </is>
      </c>
      <c r="D2820" s="10" t="inlineStr">
        <is>
          <t>Verwaltungskosten</t>
        </is>
      </c>
      <c r="E2820" s="7" t="n">
        <v>714.05</v>
      </c>
      <c r="F2820" s="7" t="n">
        <v>8568.57</v>
      </c>
    </row>
    <row r="2821" ht="21" customHeight="1">
      <c r="A2821" s="7" t="n">
        <v>2029</v>
      </c>
      <c r="B2821" s="7" t="n">
        <v>9</v>
      </c>
      <c r="C2821" s="10" t="inlineStr">
        <is>
          <t>Versicherungskosten</t>
        </is>
      </c>
      <c r="D2821" s="10" t="inlineStr">
        <is>
          <t>Verwaltungskosten</t>
        </is>
      </c>
      <c r="E2821" s="7" t="n">
        <v>11446.7</v>
      </c>
      <c r="F2821" s="7" t="n">
        <v>137360.42</v>
      </c>
    </row>
    <row r="2822" ht="21" customHeight="1">
      <c r="A2822" s="7" t="n">
        <v>2027</v>
      </c>
      <c r="B2822" s="7" t="n">
        <v>9</v>
      </c>
      <c r="C2822" s="10" t="inlineStr">
        <is>
          <t>Sonstige Steuer</t>
        </is>
      </c>
      <c r="D2822" s="10" t="inlineStr">
        <is>
          <t>Fuhrparkkosten</t>
        </is>
      </c>
      <c r="E2822" s="7" t="n">
        <v>1497.31</v>
      </c>
      <c r="F2822" s="7" t="n">
        <v>17967.71</v>
      </c>
    </row>
    <row r="2823" ht="21" customHeight="1">
      <c r="A2823" s="7" t="n">
        <v>2031</v>
      </c>
      <c r="B2823" s="7" t="n">
        <v>9</v>
      </c>
      <c r="C2823" s="10" t="inlineStr">
        <is>
          <t>Leasing LKW</t>
        </is>
      </c>
      <c r="D2823" s="10" t="inlineStr">
        <is>
          <t>Fuhrparkkosten</t>
        </is>
      </c>
      <c r="E2823" s="7" t="n">
        <v>2910.36</v>
      </c>
      <c r="F2823" s="7" t="n">
        <v>34924.28</v>
      </c>
    </row>
    <row r="2824" ht="21" customHeight="1">
      <c r="A2824" s="7" t="n">
        <v>2029</v>
      </c>
      <c r="B2824" s="7" t="n">
        <v>9</v>
      </c>
      <c r="C2824" s="10" t="inlineStr">
        <is>
          <t>Leasing LKW</t>
        </is>
      </c>
      <c r="D2824" s="10" t="inlineStr">
        <is>
          <t>Fuhrparkkosten</t>
        </is>
      </c>
      <c r="E2824" s="7" t="n">
        <v>2590.21</v>
      </c>
      <c r="F2824" s="7" t="n">
        <v>31082.49</v>
      </c>
    </row>
    <row r="2825" ht="21" customHeight="1">
      <c r="A2825" s="7" t="n">
        <v>2027</v>
      </c>
      <c r="B2825" s="7" t="n">
        <v>9</v>
      </c>
      <c r="C2825" s="10" t="inlineStr">
        <is>
          <t>Instandh.Fuhrp</t>
        </is>
      </c>
      <c r="D2825" s="10" t="inlineStr">
        <is>
          <t>Fuhrparkkosten</t>
        </is>
      </c>
      <c r="E2825" s="7" t="n">
        <v>30358.86</v>
      </c>
      <c r="F2825" s="7" t="n">
        <v>364306.28</v>
      </c>
    </row>
    <row r="2826" ht="21" customHeight="1">
      <c r="A2826" s="7" t="n">
        <v>2029</v>
      </c>
      <c r="B2826" s="7" t="n">
        <v>9</v>
      </c>
      <c r="C2826" s="10" t="inlineStr">
        <is>
          <t>Vertriebskosten</t>
        </is>
      </c>
      <c r="D2826" s="10" t="inlineStr">
        <is>
          <t>Vertriebskosten</t>
        </is>
      </c>
      <c r="E2826" s="7" t="n">
        <v>11943.75</v>
      </c>
      <c r="F2826" s="7" t="n">
        <v>143325</v>
      </c>
    </row>
    <row r="2827" ht="21" customHeight="1">
      <c r="A2827" s="7" t="n">
        <v>2031</v>
      </c>
      <c r="B2827" s="7" t="n">
        <v>9</v>
      </c>
      <c r="C2827" s="10" t="inlineStr">
        <is>
          <t>Miete Grdst/Gebäud</t>
        </is>
      </c>
      <c r="D2827" s="10" t="inlineStr">
        <is>
          <t>Raumkosten</t>
        </is>
      </c>
      <c r="E2827" s="7" t="n">
        <v>18975.39</v>
      </c>
      <c r="F2827" s="7" t="n">
        <v>227704.65</v>
      </c>
    </row>
    <row r="2828" ht="21" customHeight="1">
      <c r="A2828" s="7" t="n">
        <v>2029</v>
      </c>
      <c r="B2828" s="7" t="n">
        <v>9</v>
      </c>
      <c r="C2828" s="10" t="inlineStr">
        <is>
          <t>Uebr.neutr. Ert</t>
        </is>
      </c>
      <c r="D2828" s="10" t="inlineStr">
        <is>
          <t>Gesamtleistung</t>
        </is>
      </c>
      <c r="E2828" s="7" t="n">
        <v>189.9</v>
      </c>
      <c r="F2828" s="7" t="n">
        <v>2278.85</v>
      </c>
    </row>
    <row r="2829" ht="21" customHeight="1">
      <c r="A2829" s="7" t="n">
        <v>2030</v>
      </c>
      <c r="B2829" s="7" t="n">
        <v>9</v>
      </c>
      <c r="C2829" s="10" t="inlineStr">
        <is>
          <t>Behaelterkosten</t>
        </is>
      </c>
      <c r="D2829" s="10" t="inlineStr">
        <is>
          <t>Instandh. Betriebsausstattung</t>
        </is>
      </c>
      <c r="E2829" s="7" t="n">
        <v>12.75</v>
      </c>
      <c r="F2829" s="7" t="n">
        <v>153.03</v>
      </c>
    </row>
    <row r="2830" ht="21" customHeight="1">
      <c r="A2830" s="7" t="n">
        <v>2029</v>
      </c>
      <c r="B2830" s="7" t="n">
        <v>9</v>
      </c>
      <c r="C2830" s="10" t="inlineStr">
        <is>
          <t>IT-Aufwendungen</t>
        </is>
      </c>
      <c r="D2830" s="10" t="inlineStr">
        <is>
          <t>Verwaltungskosten</t>
        </is>
      </c>
      <c r="E2830" s="7" t="n">
        <v>12302.44</v>
      </c>
      <c r="F2830" s="7" t="n">
        <v>147629.28</v>
      </c>
    </row>
    <row r="2831" ht="21" customHeight="1">
      <c r="A2831" s="7" t="n">
        <v>2028</v>
      </c>
      <c r="B2831" s="7" t="n">
        <v>9</v>
      </c>
      <c r="C2831" s="10" t="inlineStr">
        <is>
          <t>Instandh. BGA</t>
        </is>
      </c>
      <c r="D2831" s="10" t="inlineStr">
        <is>
          <t>Instandh. Betriebsausstattung</t>
        </is>
      </c>
      <c r="E2831" s="7" t="n">
        <v>4426.85</v>
      </c>
      <c r="F2831" s="7" t="n">
        <v>53122.2</v>
      </c>
    </row>
    <row r="2832" ht="21" customHeight="1">
      <c r="A2832" s="7" t="n">
        <v>2029</v>
      </c>
      <c r="B2832" s="7" t="n">
        <v>9</v>
      </c>
      <c r="C2832" s="10" t="inlineStr">
        <is>
          <t>Instandh.Fuhrp</t>
        </is>
      </c>
      <c r="D2832" s="10" t="inlineStr">
        <is>
          <t>Fuhrparkkosten</t>
        </is>
      </c>
      <c r="E2832" s="7" t="n">
        <v>34111.21</v>
      </c>
      <c r="F2832" s="7" t="n">
        <v>409334.56</v>
      </c>
    </row>
    <row r="2833" ht="21" customHeight="1">
      <c r="A2833" s="7" t="n">
        <v>2031</v>
      </c>
      <c r="B2833" s="7" t="n">
        <v>9</v>
      </c>
      <c r="C2833" s="10" t="inlineStr">
        <is>
          <t>Rechts- u. Beratungs</t>
        </is>
      </c>
      <c r="D2833" s="10" t="inlineStr">
        <is>
          <t>Verwaltungskosten</t>
        </is>
      </c>
      <c r="E2833" s="7" t="n">
        <v>28853.53</v>
      </c>
      <c r="F2833" s="7" t="n">
        <v>346242.38</v>
      </c>
    </row>
    <row r="2834" ht="21" customHeight="1">
      <c r="A2834" s="7" t="n">
        <v>2029</v>
      </c>
      <c r="B2834" s="7" t="n">
        <v>9</v>
      </c>
      <c r="C2834" s="10" t="inlineStr">
        <is>
          <t>Ertrag KFZ-Nutz</t>
        </is>
      </c>
      <c r="D2834" s="10" t="inlineStr">
        <is>
          <t>Gesamtleistung</t>
        </is>
      </c>
      <c r="E2834" s="7" t="n">
        <v>8815.82</v>
      </c>
      <c r="F2834" s="7" t="n">
        <v>105789.86</v>
      </c>
    </row>
    <row r="2835" ht="21" customHeight="1">
      <c r="A2835" s="7" t="n">
        <v>2030</v>
      </c>
      <c r="B2835" s="7" t="n">
        <v>9</v>
      </c>
      <c r="C2835" s="10" t="inlineStr">
        <is>
          <t>Ertr. weiterber</t>
        </is>
      </c>
      <c r="D2835" s="10" t="inlineStr">
        <is>
          <t>Gesamtleistung</t>
        </is>
      </c>
      <c r="E2835" s="7" t="n">
        <v>1104.47</v>
      </c>
      <c r="F2835" s="7" t="n">
        <v>13253.67</v>
      </c>
    </row>
    <row r="2836" ht="21" customHeight="1">
      <c r="A2836" s="7" t="n">
        <v>2028</v>
      </c>
      <c r="B2836" s="7" t="n">
        <v>9</v>
      </c>
      <c r="C2836" s="10" t="inlineStr">
        <is>
          <t>Leasing PKW</t>
        </is>
      </c>
      <c r="D2836" s="10" t="inlineStr">
        <is>
          <t>Fuhrparkkosten</t>
        </is>
      </c>
      <c r="E2836" s="7" t="n">
        <v>23256.85</v>
      </c>
      <c r="F2836" s="7" t="n">
        <v>279082.22</v>
      </c>
    </row>
    <row r="2837" ht="21" customHeight="1">
      <c r="A2837" s="7" t="n">
        <v>2028</v>
      </c>
      <c r="B2837" s="7" t="n">
        <v>9</v>
      </c>
      <c r="C2837" s="10" t="inlineStr">
        <is>
          <t>Treibstoffe, Oe</t>
        </is>
      </c>
      <c r="D2837" s="10" t="inlineStr">
        <is>
          <t>Fuhrparkkosten</t>
        </is>
      </c>
      <c r="E2837" s="7" t="n">
        <v>30417.62</v>
      </c>
      <c r="F2837" s="7" t="n">
        <v>365011.49</v>
      </c>
    </row>
    <row r="2838" ht="21" customHeight="1">
      <c r="A2838" s="7" t="n">
        <v>2029</v>
      </c>
      <c r="B2838" s="7" t="n">
        <v>9</v>
      </c>
      <c r="C2838" s="10" t="inlineStr">
        <is>
          <t>Miete PKW</t>
        </is>
      </c>
      <c r="D2838" s="10" t="inlineStr">
        <is>
          <t>Fuhrparkkosten</t>
        </is>
      </c>
      <c r="E2838" s="7" t="n">
        <v>5184.06</v>
      </c>
      <c r="F2838" s="7" t="n">
        <v>62208.67</v>
      </c>
    </row>
    <row r="2839" ht="21" customHeight="1">
      <c r="A2839" s="7" t="n">
        <v>2028</v>
      </c>
      <c r="B2839" s="7" t="n">
        <v>9</v>
      </c>
      <c r="C2839" s="10" t="inlineStr">
        <is>
          <t>Ertr. weiterber</t>
        </is>
      </c>
      <c r="D2839" s="10" t="inlineStr">
        <is>
          <t>Gesamtleistung</t>
        </is>
      </c>
      <c r="E2839" s="7" t="n">
        <v>980.91</v>
      </c>
      <c r="F2839" s="7" t="n">
        <v>11770.87</v>
      </c>
    </row>
    <row r="2840" ht="21" customHeight="1">
      <c r="A2840" s="7" t="n">
        <v>2029</v>
      </c>
      <c r="B2840" s="7" t="n">
        <v>9</v>
      </c>
      <c r="C2840" s="10" t="inlineStr">
        <is>
          <t>Instandh. BGA</t>
        </is>
      </c>
      <c r="D2840" s="10" t="inlineStr">
        <is>
          <t>Instandh. Betriebsausstattung</t>
        </is>
      </c>
      <c r="E2840" s="7" t="n">
        <v>4648.19</v>
      </c>
      <c r="F2840" s="7" t="n">
        <v>55778.31</v>
      </c>
    </row>
    <row r="2841" ht="21" customHeight="1">
      <c r="A2841" s="7" t="n">
        <v>2028</v>
      </c>
      <c r="B2841" s="7" t="n">
        <v>9</v>
      </c>
      <c r="C2841" s="10" t="inlineStr">
        <is>
          <t>Erl. so. DL Dt.</t>
        </is>
      </c>
      <c r="D2841" s="10" t="inlineStr">
        <is>
          <t>Gesamtleistung</t>
        </is>
      </c>
      <c r="E2841" s="7" t="n">
        <v>2095866.37</v>
      </c>
      <c r="F2841" s="7" t="n">
        <v>25150396.49</v>
      </c>
    </row>
    <row r="2842" ht="21" customHeight="1">
      <c r="A2842" s="7" t="n">
        <v>2028</v>
      </c>
      <c r="B2842" s="7" t="n">
        <v>9</v>
      </c>
      <c r="C2842" s="10" t="inlineStr">
        <is>
          <t>IT-Aufwendungen</t>
        </is>
      </c>
      <c r="D2842" s="10" t="inlineStr">
        <is>
          <t>Verwaltungskosten</t>
        </is>
      </c>
      <c r="E2842" s="7" t="n">
        <v>11944.12</v>
      </c>
      <c r="F2842" s="7" t="n">
        <v>143329.39</v>
      </c>
    </row>
    <row r="2843" ht="21" customHeight="1">
      <c r="A2843" s="7" t="n">
        <v>2029</v>
      </c>
      <c r="B2843" s="7" t="n">
        <v>9</v>
      </c>
      <c r="C2843" s="10" t="inlineStr">
        <is>
          <t>Ueb. bezog.Leis</t>
        </is>
      </c>
      <c r="D2843" s="10" t="inlineStr">
        <is>
          <t>Vorleistungen</t>
        </is>
      </c>
      <c r="E2843" s="7" t="n">
        <v>1364260.58</v>
      </c>
      <c r="F2843" s="7" t="n">
        <v>16371126.93</v>
      </c>
    </row>
    <row r="2844" ht="21" customHeight="1">
      <c r="A2844" s="7" t="n">
        <v>2031</v>
      </c>
      <c r="B2844" s="7" t="n">
        <v>9</v>
      </c>
      <c r="C2844" s="10" t="inlineStr">
        <is>
          <t>Sonderz. Prämie</t>
        </is>
      </c>
      <c r="D2844" s="10" t="inlineStr">
        <is>
          <t>Personalaufwand</t>
        </is>
      </c>
      <c r="E2844" s="7" t="n">
        <v>26838.18</v>
      </c>
      <c r="F2844" s="7" t="n">
        <v>322058.2</v>
      </c>
    </row>
    <row r="2845" ht="21" customHeight="1">
      <c r="A2845" s="7" t="n">
        <v>2029</v>
      </c>
      <c r="B2845" s="7" t="n">
        <v>9</v>
      </c>
      <c r="C2845" s="10" t="inlineStr">
        <is>
          <t>Verwaltungskost</t>
        </is>
      </c>
      <c r="D2845" s="10" t="inlineStr">
        <is>
          <t>Verwaltungskosten</t>
        </is>
      </c>
      <c r="E2845" s="7" t="n">
        <v>7098.98</v>
      </c>
      <c r="F2845" s="7" t="n">
        <v>85187.74000000001</v>
      </c>
    </row>
    <row r="2846" ht="21" customHeight="1">
      <c r="A2846" s="7" t="n">
        <v>2028</v>
      </c>
      <c r="B2846" s="7" t="n">
        <v>9</v>
      </c>
      <c r="C2846" s="10" t="inlineStr">
        <is>
          <t>Ertrag KFZ-Nutz</t>
        </is>
      </c>
      <c r="D2846" s="10" t="inlineStr">
        <is>
          <t>Gesamtleistung</t>
        </is>
      </c>
      <c r="E2846" s="7" t="n">
        <v>8405.780000000001</v>
      </c>
      <c r="F2846" s="7" t="n">
        <v>100869.3</v>
      </c>
    </row>
    <row r="2847" ht="21" customHeight="1">
      <c r="A2847" s="7" t="n">
        <v>2030</v>
      </c>
      <c r="B2847" s="7" t="n">
        <v>9</v>
      </c>
      <c r="C2847" s="10" t="inlineStr">
        <is>
          <t>Sonst Fuhrparkkosten</t>
        </is>
      </c>
      <c r="D2847" s="10" t="inlineStr">
        <is>
          <t>Fuhrparkkosten</t>
        </is>
      </c>
      <c r="E2847" s="7" t="n">
        <v>5942.26</v>
      </c>
      <c r="F2847" s="7" t="n">
        <v>71307.13</v>
      </c>
    </row>
    <row r="2848" ht="21" customHeight="1">
      <c r="A2848" s="7" t="n">
        <v>2028</v>
      </c>
      <c r="B2848" s="7" t="n">
        <v>9</v>
      </c>
      <c r="C2848" s="10" t="inlineStr">
        <is>
          <t>Rechts- u. Beratungs</t>
        </is>
      </c>
      <c r="D2848" s="10" t="inlineStr">
        <is>
          <t>Verwaltungskosten</t>
        </is>
      </c>
      <c r="E2848" s="7" t="n">
        <v>26405.07</v>
      </c>
      <c r="F2848" s="7" t="n">
        <v>316860.83</v>
      </c>
    </row>
    <row r="2849" ht="21" customHeight="1">
      <c r="A2849" s="7" t="n">
        <v>2027</v>
      </c>
      <c r="B2849" s="7" t="n">
        <v>9</v>
      </c>
      <c r="C2849" s="10" t="inlineStr">
        <is>
          <t>Leasing LKW</t>
        </is>
      </c>
      <c r="D2849" s="10" t="inlineStr">
        <is>
          <t>Fuhrparkkosten</t>
        </is>
      </c>
      <c r="E2849" s="7" t="n">
        <v>2305.28</v>
      </c>
      <c r="F2849" s="7" t="n">
        <v>27663.3</v>
      </c>
    </row>
    <row r="2850" ht="21" customHeight="1">
      <c r="A2850" s="7" t="n">
        <v>2031</v>
      </c>
      <c r="B2850" s="7" t="n">
        <v>9</v>
      </c>
      <c r="C2850" s="10" t="inlineStr">
        <is>
          <t>Fremdl. Fuhrlei</t>
        </is>
      </c>
      <c r="D2850" s="10" t="inlineStr">
        <is>
          <t>Vorleistungen</t>
        </is>
      </c>
      <c r="E2850" s="7" t="n">
        <v>374.24</v>
      </c>
      <c r="F2850" s="7" t="n">
        <v>4490.84</v>
      </c>
    </row>
    <row r="2851" ht="21" customHeight="1">
      <c r="A2851" s="7" t="n">
        <v>2029</v>
      </c>
      <c r="B2851" s="7" t="n">
        <v>9</v>
      </c>
      <c r="C2851" s="10" t="inlineStr">
        <is>
          <t>Fremdl. Fuhrlei</t>
        </is>
      </c>
      <c r="D2851" s="10" t="inlineStr">
        <is>
          <t>Vorleistungen</t>
        </is>
      </c>
      <c r="E2851" s="7" t="n">
        <v>362.07</v>
      </c>
      <c r="F2851" s="7" t="n">
        <v>4344.88</v>
      </c>
    </row>
    <row r="2852" ht="21" customHeight="1">
      <c r="A2852" s="7" t="n">
        <v>2028</v>
      </c>
      <c r="B2852" s="7" t="n">
        <v>9</v>
      </c>
      <c r="C2852" s="10" t="inlineStr">
        <is>
          <t>Vertriebskosten</t>
        </is>
      </c>
      <c r="D2852" s="10" t="inlineStr">
        <is>
          <t>Vertriebskosten</t>
        </is>
      </c>
      <c r="E2852" s="7" t="n">
        <v>11375</v>
      </c>
      <c r="F2852" s="7" t="n">
        <v>136500</v>
      </c>
    </row>
    <row r="2853" ht="21" customHeight="1">
      <c r="A2853" s="7" t="n">
        <v>2031</v>
      </c>
      <c r="B2853" s="7" t="n">
        <v>9</v>
      </c>
      <c r="C2853" s="10" t="inlineStr">
        <is>
          <t>Aufw. so. Hilfs</t>
        </is>
      </c>
      <c r="D2853" s="10" t="inlineStr">
        <is>
          <t>Vorleistungen</t>
        </is>
      </c>
      <c r="E2853" s="7" t="n">
        <v>-17544.22</v>
      </c>
      <c r="F2853" s="7" t="n">
        <v>-210530.6</v>
      </c>
    </row>
    <row r="2854" ht="21" customHeight="1">
      <c r="A2854" s="7" t="n">
        <v>2029</v>
      </c>
      <c r="B2854" s="7" t="n">
        <v>9</v>
      </c>
      <c r="C2854" s="10" t="inlineStr">
        <is>
          <t>Ankauf Rohstoff</t>
        </is>
      </c>
      <c r="D2854" s="10" t="inlineStr">
        <is>
          <t>Vorleistungen</t>
        </is>
      </c>
      <c r="E2854" s="7" t="n">
        <v>1473.64</v>
      </c>
      <c r="F2854" s="7" t="n">
        <v>17683.65</v>
      </c>
    </row>
    <row r="2855" ht="21" customHeight="1">
      <c r="A2855" s="7" t="n">
        <v>2028</v>
      </c>
      <c r="B2855" s="7" t="n">
        <v>9</v>
      </c>
      <c r="C2855" s="10" t="inlineStr">
        <is>
          <t>Sonstige Steuer</t>
        </is>
      </c>
      <c r="D2855" s="10" t="inlineStr">
        <is>
          <t>Fuhrparkkosten</t>
        </is>
      </c>
      <c r="E2855" s="7" t="n">
        <v>1587.15</v>
      </c>
      <c r="F2855" s="7" t="n">
        <v>19045.76</v>
      </c>
    </row>
    <row r="2856" ht="21" customHeight="1">
      <c r="A2856" s="7" t="n">
        <v>2030</v>
      </c>
      <c r="B2856" s="7" t="n">
        <v>9</v>
      </c>
      <c r="C2856" s="10" t="inlineStr">
        <is>
          <t>Weiterber. Frem</t>
        </is>
      </c>
      <c r="D2856" s="10" t="inlineStr">
        <is>
          <t>Vorleistungen</t>
        </is>
      </c>
      <c r="E2856" s="7" t="n">
        <v>0</v>
      </c>
      <c r="F2856" s="7" t="n">
        <v>0</v>
      </c>
    </row>
    <row r="2857" ht="21" customHeight="1">
      <c r="A2857" s="7" t="n">
        <v>2031</v>
      </c>
      <c r="B2857" s="7" t="n">
        <v>9</v>
      </c>
      <c r="C2857" s="10" t="inlineStr">
        <is>
          <t>Miete Behälter</t>
        </is>
      </c>
      <c r="D2857" s="10" t="inlineStr">
        <is>
          <t>Instandh. Betriebsausstattung</t>
        </is>
      </c>
      <c r="E2857" s="7" t="n">
        <v>27.88</v>
      </c>
      <c r="F2857" s="7" t="n">
        <v>334.55</v>
      </c>
    </row>
    <row r="2858" ht="21" customHeight="1">
      <c r="A2858" s="7" t="n">
        <v>2027</v>
      </c>
      <c r="B2858" s="7" t="n">
        <v>9</v>
      </c>
      <c r="C2858" s="10" t="inlineStr">
        <is>
          <t>Miete Grdst/Gebäud</t>
        </is>
      </c>
      <c r="D2858" s="10" t="inlineStr">
        <is>
          <t>Raumkosten</t>
        </is>
      </c>
      <c r="E2858" s="7" t="n">
        <v>15284.77</v>
      </c>
      <c r="F2858" s="7" t="n">
        <v>183417.26</v>
      </c>
    </row>
    <row r="2859" ht="21" customHeight="1">
      <c r="A2859" s="7" t="n">
        <v>2028</v>
      </c>
      <c r="B2859" s="7" t="n">
        <v>9</v>
      </c>
      <c r="C2859" s="10" t="inlineStr">
        <is>
          <t>Aufw. f. Alters</t>
        </is>
      </c>
      <c r="D2859" s="10" t="inlineStr">
        <is>
          <t>Personalaufwand</t>
        </is>
      </c>
      <c r="E2859" s="7" t="n">
        <v>1290.05</v>
      </c>
      <c r="F2859" s="7" t="n">
        <v>15480.56</v>
      </c>
    </row>
    <row r="2860" ht="21" customHeight="1">
      <c r="A2860" s="7" t="n">
        <v>2028</v>
      </c>
      <c r="B2860" s="7" t="n">
        <v>9</v>
      </c>
      <c r="C2860" s="10" t="inlineStr">
        <is>
          <t>Fremdl. Persona</t>
        </is>
      </c>
      <c r="D2860" s="10" t="inlineStr">
        <is>
          <t>Vorleistungen</t>
        </is>
      </c>
      <c r="E2860" s="7" t="n">
        <v>69.04000000000001</v>
      </c>
      <c r="F2860" s="7" t="n">
        <v>828.42</v>
      </c>
    </row>
    <row r="2861" ht="21" customHeight="1">
      <c r="A2861" s="7" t="n">
        <v>2030</v>
      </c>
      <c r="B2861" s="7" t="n">
        <v>9</v>
      </c>
      <c r="C2861" s="10" t="inlineStr">
        <is>
          <t>Vertriebskosten</t>
        </is>
      </c>
      <c r="D2861" s="10" t="inlineStr">
        <is>
          <t>Vertriebskosten</t>
        </is>
      </c>
      <c r="E2861" s="7" t="n">
        <v>12540.94</v>
      </c>
      <c r="F2861" s="7" t="n">
        <v>150491.26</v>
      </c>
    </row>
    <row r="2862" ht="21" customHeight="1">
      <c r="A2862" s="7" t="n">
        <v>2030</v>
      </c>
      <c r="B2862" s="7" t="n">
        <v>9</v>
      </c>
      <c r="C2862" s="10" t="inlineStr">
        <is>
          <t>Aufw. so. Hilfs</t>
        </is>
      </c>
      <c r="D2862" s="10" t="inlineStr">
        <is>
          <t>Vorleistungen</t>
        </is>
      </c>
      <c r="E2862" s="7" t="n">
        <v>-17197.35</v>
      </c>
      <c r="F2862" s="7" t="n">
        <v>-206368.2</v>
      </c>
    </row>
    <row r="2863" ht="21" customHeight="1">
      <c r="A2863" s="7" t="n">
        <v>2029</v>
      </c>
      <c r="B2863" s="7" t="n">
        <v>9</v>
      </c>
      <c r="C2863" s="10" t="inlineStr">
        <is>
          <t>Aufw. so. Hilfs</t>
        </is>
      </c>
      <c r="D2863" s="10" t="inlineStr">
        <is>
          <t>Vorleistungen</t>
        </is>
      </c>
      <c r="E2863" s="7" t="n">
        <v>-16834.66</v>
      </c>
      <c r="F2863" s="7" t="n">
        <v>-202015.88</v>
      </c>
    </row>
    <row r="2864" ht="21" customHeight="1">
      <c r="A2864" s="7" t="n">
        <v>2027</v>
      </c>
      <c r="B2864" s="7" t="n">
        <v>9</v>
      </c>
      <c r="C2864" s="10" t="inlineStr">
        <is>
          <t>Miete PKW</t>
        </is>
      </c>
      <c r="D2864" s="10" t="inlineStr">
        <is>
          <t>Fuhrparkkosten</t>
        </is>
      </c>
      <c r="E2864" s="7" t="n">
        <v>4613.79</v>
      </c>
      <c r="F2864" s="7" t="n">
        <v>55365.51</v>
      </c>
    </row>
    <row r="2865" ht="21" customHeight="1">
      <c r="A2865" s="7" t="n">
        <v>2030</v>
      </c>
      <c r="B2865" s="7" t="n">
        <v>9</v>
      </c>
      <c r="C2865" s="10" t="inlineStr">
        <is>
          <t>Fremdl. Fuhrlei</t>
        </is>
      </c>
      <c r="D2865" s="10" t="inlineStr">
        <is>
          <t>Vorleistungen</t>
        </is>
      </c>
      <c r="E2865" s="7" t="n">
        <v>368.3</v>
      </c>
      <c r="F2865" s="7" t="n">
        <v>4419.56</v>
      </c>
    </row>
    <row r="2866" ht="21" customHeight="1">
      <c r="A2866" s="7" t="n">
        <v>2030</v>
      </c>
      <c r="B2866" s="7" t="n">
        <v>9</v>
      </c>
      <c r="C2866" s="10" t="inlineStr">
        <is>
          <t>Miete PKW</t>
        </is>
      </c>
      <c r="D2866" s="10" t="inlineStr">
        <is>
          <t>Fuhrparkkosten</t>
        </is>
      </c>
      <c r="E2866" s="7" t="n">
        <v>5495.1</v>
      </c>
      <c r="F2866" s="7" t="n">
        <v>65941.19</v>
      </c>
    </row>
    <row r="2867" ht="21" customHeight="1">
      <c r="A2867" s="7" t="n">
        <v>2027</v>
      </c>
      <c r="B2867" s="7" t="n">
        <v>9</v>
      </c>
      <c r="C2867" s="10" t="inlineStr">
        <is>
          <t>Erl. Waren Dt.</t>
        </is>
      </c>
      <c r="D2867" s="10" t="inlineStr">
        <is>
          <t>Gesamtleistung</t>
        </is>
      </c>
      <c r="E2867" s="7" t="n">
        <v>42246.46</v>
      </c>
      <c r="F2867" s="7" t="n">
        <v>506957.51</v>
      </c>
    </row>
    <row r="2868" ht="21" customHeight="1">
      <c r="A2868" s="7" t="n">
        <v>2029</v>
      </c>
      <c r="B2868" s="7" t="n">
        <v>9</v>
      </c>
      <c r="C2868" s="10" t="inlineStr">
        <is>
          <t>Bestandsveraend</t>
        </is>
      </c>
      <c r="D2868" s="10" t="inlineStr">
        <is>
          <t>Gesamtleistung</t>
        </is>
      </c>
      <c r="E2868" s="7" t="n">
        <v>0</v>
      </c>
      <c r="F2868" s="7" t="n">
        <v>0</v>
      </c>
    </row>
    <row r="2869" ht="21" customHeight="1">
      <c r="A2869" s="7" t="n">
        <v>2031</v>
      </c>
      <c r="B2869" s="7" t="n">
        <v>9</v>
      </c>
      <c r="C2869" s="10" t="inlineStr">
        <is>
          <t>Leasing PKW</t>
        </is>
      </c>
      <c r="D2869" s="10" t="inlineStr">
        <is>
          <t>Fuhrparkkosten</t>
        </is>
      </c>
      <c r="E2869" s="7" t="n">
        <v>27699.28</v>
      </c>
      <c r="F2869" s="7" t="n">
        <v>332391.4</v>
      </c>
    </row>
    <row r="2870" ht="21" customHeight="1">
      <c r="A2870" s="7" t="n">
        <v>2029</v>
      </c>
      <c r="B2870" s="7" t="n">
        <v>9</v>
      </c>
      <c r="C2870" s="10" t="inlineStr">
        <is>
          <t>Behaelterkosten</t>
        </is>
      </c>
      <c r="D2870" s="10" t="inlineStr">
        <is>
          <t>Instandh. Betriebsausstattung</t>
        </is>
      </c>
      <c r="E2870" s="7" t="n">
        <v>12.15</v>
      </c>
      <c r="F2870" s="7" t="n">
        <v>145.74</v>
      </c>
    </row>
    <row r="2871" ht="21" customHeight="1">
      <c r="A2871" s="7" t="n">
        <v>2029</v>
      </c>
      <c r="B2871" s="7" t="n">
        <v>9</v>
      </c>
      <c r="C2871" s="10" t="inlineStr">
        <is>
          <t>Aufwand Umlage</t>
        </is>
      </c>
      <c r="D2871" s="10" t="inlineStr">
        <is>
          <t>Verwaltungskosten</t>
        </is>
      </c>
      <c r="E2871" s="7" t="n">
        <v>3589.28</v>
      </c>
      <c r="F2871" s="7" t="n">
        <v>43071.39</v>
      </c>
    </row>
    <row r="2872" ht="21" customHeight="1">
      <c r="A2872" s="7" t="n">
        <v>2030</v>
      </c>
      <c r="B2872" s="7" t="n">
        <v>9</v>
      </c>
      <c r="C2872" s="10" t="inlineStr">
        <is>
          <t>Instandh.Fuhrp</t>
        </is>
      </c>
      <c r="D2872" s="10" t="inlineStr">
        <is>
          <t>Fuhrparkkosten</t>
        </is>
      </c>
      <c r="E2872" s="7" t="n">
        <v>36157.89</v>
      </c>
      <c r="F2872" s="7" t="n">
        <v>433894.62</v>
      </c>
    </row>
    <row r="2873" ht="21" customHeight="1">
      <c r="A2873" s="7" t="n">
        <v>2028</v>
      </c>
      <c r="B2873" s="7" t="n">
        <v>9</v>
      </c>
      <c r="C2873" s="10" t="inlineStr">
        <is>
          <t>Sonderz. Prämie</t>
        </is>
      </c>
      <c r="D2873" s="10" t="inlineStr">
        <is>
          <t>Personalaufwand</t>
        </is>
      </c>
      <c r="E2873" s="7" t="n">
        <v>21386.26</v>
      </c>
      <c r="F2873" s="7" t="n">
        <v>256635.15</v>
      </c>
    </row>
    <row r="2874" ht="21" customHeight="1">
      <c r="A2874" s="7" t="n">
        <v>2029</v>
      </c>
      <c r="B2874" s="7" t="n">
        <v>9</v>
      </c>
      <c r="C2874" s="10" t="inlineStr">
        <is>
          <t>Aufw. f. Alters</t>
        </is>
      </c>
      <c r="D2874" s="10" t="inlineStr">
        <is>
          <t>Personalaufwand</t>
        </is>
      </c>
      <c r="E2874" s="7" t="n">
        <v>1366.43</v>
      </c>
      <c r="F2874" s="7" t="n">
        <v>16397.15</v>
      </c>
    </row>
    <row r="2875" ht="21" customHeight="1">
      <c r="A2875" s="7" t="n">
        <v>2027</v>
      </c>
      <c r="B2875" s="7" t="n">
        <v>9</v>
      </c>
      <c r="C2875" s="10" t="inlineStr">
        <is>
          <t>Ertr. weiterber</t>
        </is>
      </c>
      <c r="D2875" s="10" t="inlineStr">
        <is>
          <t>Gesamtleistung</t>
        </is>
      </c>
      <c r="E2875" s="7" t="n">
        <v>919.41</v>
      </c>
      <c r="F2875" s="7" t="n">
        <v>11032.96</v>
      </c>
    </row>
    <row r="2876" ht="21" customHeight="1">
      <c r="A2876" s="7" t="n">
        <v>2029</v>
      </c>
      <c r="B2876" s="7" t="n">
        <v>9</v>
      </c>
      <c r="C2876" s="10" t="inlineStr">
        <is>
          <t>So. betr. Aufwa</t>
        </is>
      </c>
      <c r="D2876" s="10" t="inlineStr">
        <is>
          <t>Verwaltungskosten</t>
        </is>
      </c>
      <c r="E2876" s="7" t="n">
        <v>693.25</v>
      </c>
      <c r="F2876" s="7" t="n">
        <v>8319.02</v>
      </c>
    </row>
    <row r="2877" ht="21" customHeight="1">
      <c r="A2877" s="7" t="n">
        <v>2031</v>
      </c>
      <c r="B2877" s="7" t="n">
        <v>9</v>
      </c>
      <c r="C2877" s="10" t="inlineStr">
        <is>
          <t>Ertr. weiterber</t>
        </is>
      </c>
      <c r="D2877" s="10" t="inlineStr">
        <is>
          <t>Gesamtleistung</t>
        </is>
      </c>
      <c r="E2877" s="7" t="n">
        <v>1173.93</v>
      </c>
      <c r="F2877" s="7" t="n">
        <v>14087.11</v>
      </c>
    </row>
    <row r="2878" ht="21" customHeight="1">
      <c r="A2878" s="7" t="n">
        <v>2031</v>
      </c>
      <c r="B2878" s="7" t="n">
        <v>9</v>
      </c>
      <c r="C2878" s="10" t="inlineStr">
        <is>
          <t>Ueb. bezog.Leis</t>
        </is>
      </c>
      <c r="D2878" s="10" t="inlineStr">
        <is>
          <t>Vorleistungen</t>
        </is>
      </c>
      <c r="E2878" s="7" t="n">
        <v>1404446.73</v>
      </c>
      <c r="F2878" s="7" t="n">
        <v>16853360.74</v>
      </c>
    </row>
    <row r="2879" ht="21" customHeight="1">
      <c r="A2879" s="7" t="n">
        <v>2027</v>
      </c>
      <c r="B2879" s="7" t="n">
        <v>9</v>
      </c>
      <c r="C2879" s="10" t="inlineStr">
        <is>
          <t>Fremdl. Fuhrlei</t>
        </is>
      </c>
      <c r="D2879" s="10" t="inlineStr">
        <is>
          <t>Vorleistungen</t>
        </is>
      </c>
      <c r="E2879" s="7" t="n">
        <v>371.09</v>
      </c>
      <c r="F2879" s="7" t="n">
        <v>4453.13</v>
      </c>
    </row>
    <row r="2880" ht="21" customHeight="1">
      <c r="A2880" s="7" t="n">
        <v>2027</v>
      </c>
      <c r="B2880" s="7" t="n">
        <v>9</v>
      </c>
      <c r="C2880" s="10" t="inlineStr">
        <is>
          <t>Behaelterkosten</t>
        </is>
      </c>
      <c r="D2880" s="10" t="inlineStr">
        <is>
          <t>Instandh. Betriebsausstattung</t>
        </is>
      </c>
      <c r="E2880" s="7" t="n">
        <v>11.02</v>
      </c>
      <c r="F2880" s="7" t="n">
        <v>132.19</v>
      </c>
    </row>
    <row r="2881" ht="21" customHeight="1">
      <c r="A2881" s="7" t="n">
        <v>2027</v>
      </c>
      <c r="B2881" s="7" t="n">
        <v>9</v>
      </c>
      <c r="C2881" s="10" t="inlineStr">
        <is>
          <t>Ueb Lohn-Gehalt</t>
        </is>
      </c>
      <c r="D2881" s="10" t="inlineStr">
        <is>
          <t>Personalaufwand</t>
        </is>
      </c>
      <c r="E2881" s="7" t="n">
        <v>30579.25</v>
      </c>
      <c r="F2881" s="7" t="n">
        <v>366951</v>
      </c>
    </row>
    <row r="2882" ht="21" customHeight="1">
      <c r="A2882" s="7" t="n">
        <v>2028</v>
      </c>
      <c r="B2882" s="7" t="n">
        <v>9</v>
      </c>
      <c r="C2882" s="10" t="inlineStr">
        <is>
          <t>Raumkosten</t>
        </is>
      </c>
      <c r="D2882" s="10" t="inlineStr">
        <is>
          <t>Raumkosten</t>
        </is>
      </c>
      <c r="E2882" s="7" t="n">
        <v>7023.98</v>
      </c>
      <c r="F2882" s="7" t="n">
        <v>84287.78</v>
      </c>
    </row>
    <row r="2883" ht="21" customHeight="1">
      <c r="A2883" s="7" t="n">
        <v>2031</v>
      </c>
      <c r="B2883" s="7" t="n">
        <v>9</v>
      </c>
      <c r="C2883" s="10" t="inlineStr">
        <is>
          <t>Bestandsveraend</t>
        </is>
      </c>
      <c r="D2883" s="10" t="inlineStr">
        <is>
          <t>Gesamtleistung</t>
        </is>
      </c>
      <c r="E2883" s="7" t="n">
        <v>0</v>
      </c>
      <c r="F2883" s="7" t="n">
        <v>0</v>
      </c>
    </row>
    <row r="2884" ht="21" customHeight="1">
      <c r="A2884" s="7" t="n">
        <v>2029</v>
      </c>
      <c r="B2884" s="7" t="n">
        <v>9</v>
      </c>
      <c r="C2884" s="10" t="inlineStr">
        <is>
          <t>Lohn + Gehalt</t>
        </is>
      </c>
      <c r="D2884" s="10" t="inlineStr">
        <is>
          <t>Personalaufwand</t>
        </is>
      </c>
      <c r="E2884" s="7" t="n">
        <v>356250.11</v>
      </c>
      <c r="F2884" s="7" t="n">
        <v>4275001.35</v>
      </c>
    </row>
    <row r="2885" ht="21" customHeight="1">
      <c r="A2885" s="7" t="n">
        <v>2029</v>
      </c>
      <c r="B2885" s="7" t="n">
        <v>9</v>
      </c>
      <c r="C2885" s="10" t="inlineStr">
        <is>
          <t>Aufw. Heizmat.</t>
        </is>
      </c>
      <c r="D2885" s="10" t="inlineStr">
        <is>
          <t>Vorleistungen</t>
        </is>
      </c>
      <c r="E2885" s="7" t="n">
        <v>245.07</v>
      </c>
      <c r="F2885" s="7" t="n">
        <v>2940.88</v>
      </c>
    </row>
    <row r="2886" ht="21" customHeight="1">
      <c r="A2886" s="7" t="n">
        <v>2031</v>
      </c>
      <c r="B2886" s="7" t="n">
        <v>9</v>
      </c>
      <c r="C2886" s="10" t="inlineStr">
        <is>
          <t>Verwaltungskost</t>
        </is>
      </c>
      <c r="D2886" s="10" t="inlineStr">
        <is>
          <t>Verwaltungskosten</t>
        </is>
      </c>
      <c r="E2886" s="7" t="n">
        <v>7531.31</v>
      </c>
      <c r="F2886" s="7" t="n">
        <v>90375.69</v>
      </c>
    </row>
    <row r="2887" ht="21" customHeight="1">
      <c r="A2887" s="7" t="n">
        <v>2028</v>
      </c>
      <c r="B2887" s="7" t="n">
        <v>9</v>
      </c>
      <c r="C2887" s="10" t="inlineStr">
        <is>
          <t>Erl. Waren Dt.</t>
        </is>
      </c>
      <c r="D2887" s="10" t="inlineStr">
        <is>
          <t>Gesamtleistung</t>
        </is>
      </c>
      <c r="E2887" s="7" t="n">
        <v>44950.49</v>
      </c>
      <c r="F2887" s="7" t="n">
        <v>539405.87</v>
      </c>
    </row>
    <row r="2888" ht="21" customHeight="1">
      <c r="A2888" s="7" t="n">
        <v>2030</v>
      </c>
      <c r="B2888" s="7" t="n">
        <v>9</v>
      </c>
      <c r="C2888" s="10" t="inlineStr">
        <is>
          <t>Uebr.neutr. Ert</t>
        </is>
      </c>
      <c r="D2888" s="10" t="inlineStr">
        <is>
          <t>Gesamtleistung</t>
        </is>
      </c>
      <c r="E2888" s="7" t="n">
        <v>207.38</v>
      </c>
      <c r="F2888" s="7" t="n">
        <v>2488.5</v>
      </c>
    </row>
    <row r="2889" ht="21" customHeight="1">
      <c r="A2889" s="7" t="n">
        <v>2030</v>
      </c>
      <c r="B2889" s="7" t="n">
        <v>9</v>
      </c>
      <c r="C2889" s="10" t="inlineStr">
        <is>
          <t>Raumkosten</t>
        </is>
      </c>
      <c r="D2889" s="10" t="inlineStr">
        <is>
          <t>Raumkosten</t>
        </is>
      </c>
      <c r="E2889" s="7" t="n">
        <v>7307.75</v>
      </c>
      <c r="F2889" s="7" t="n">
        <v>87693</v>
      </c>
    </row>
    <row r="2890" ht="21" customHeight="1">
      <c r="A2890" s="7" t="n">
        <v>2030</v>
      </c>
      <c r="B2890" s="7" t="n">
        <v>9</v>
      </c>
      <c r="C2890" s="10" t="inlineStr">
        <is>
          <t>Fremdl. Persona</t>
        </is>
      </c>
      <c r="D2890" s="10" t="inlineStr">
        <is>
          <t>Vorleistungen</t>
        </is>
      </c>
      <c r="E2890" s="7" t="n">
        <v>76.56999999999999</v>
      </c>
      <c r="F2890" s="7" t="n">
        <v>918.79</v>
      </c>
    </row>
    <row r="2891" ht="21" customHeight="1">
      <c r="A2891" s="7" t="n">
        <v>2027</v>
      </c>
      <c r="B2891" s="7" t="n">
        <v>9</v>
      </c>
      <c r="C2891" s="10" t="inlineStr">
        <is>
          <t>Leasing PKW</t>
        </is>
      </c>
      <c r="D2891" s="10" t="inlineStr">
        <is>
          <t>Fuhrparkkosten</t>
        </is>
      </c>
      <c r="E2891" s="7" t="n">
        <v>21940.43</v>
      </c>
      <c r="F2891" s="7" t="n">
        <v>263285.11</v>
      </c>
    </row>
    <row r="2892" ht="21" customHeight="1">
      <c r="A2892" s="7" t="n">
        <v>2030</v>
      </c>
      <c r="B2892" s="7" t="n">
        <v>9</v>
      </c>
      <c r="C2892" s="10" t="inlineStr">
        <is>
          <t>Ertrag KFZ-Nutz</t>
        </is>
      </c>
      <c r="D2892" s="10" t="inlineStr">
        <is>
          <t>Gesamtleistung</t>
        </is>
      </c>
      <c r="E2892" s="7" t="n">
        <v>9193.41</v>
      </c>
      <c r="F2892" s="7" t="n">
        <v>110320.94</v>
      </c>
    </row>
    <row r="2893" ht="21" customHeight="1">
      <c r="A2893" s="7" t="n">
        <v>2028</v>
      </c>
      <c r="B2893" s="7" t="n">
        <v>9</v>
      </c>
      <c r="C2893" s="10" t="inlineStr">
        <is>
          <t>Uebr.neutr. Ert</t>
        </is>
      </c>
      <c r="D2893" s="10" t="inlineStr">
        <is>
          <t>Gesamtleistung</t>
        </is>
      </c>
      <c r="E2893" s="7" t="n">
        <v>151.92</v>
      </c>
      <c r="F2893" s="7" t="n">
        <v>1823.08</v>
      </c>
    </row>
    <row r="2894" ht="21" customHeight="1">
      <c r="A2894" s="7" t="n">
        <v>2030</v>
      </c>
      <c r="B2894" s="7" t="n">
        <v>9</v>
      </c>
      <c r="C2894" s="10" t="inlineStr">
        <is>
          <t>Soziale Abgaben</t>
        </is>
      </c>
      <c r="D2894" s="10" t="inlineStr">
        <is>
          <t>Personalaufwand</t>
        </is>
      </c>
      <c r="E2894" s="7" t="n">
        <v>104141.87</v>
      </c>
      <c r="F2894" s="7" t="n">
        <v>1249702.47</v>
      </c>
    </row>
    <row r="2895" ht="21" customHeight="1">
      <c r="A2895" s="7" t="n">
        <v>2030</v>
      </c>
      <c r="B2895" s="7" t="n">
        <v>9</v>
      </c>
      <c r="C2895" s="10" t="inlineStr">
        <is>
          <t>Ankauf Rohstoff</t>
        </is>
      </c>
      <c r="D2895" s="10" t="inlineStr">
        <is>
          <t>Vorleistungen</t>
        </is>
      </c>
      <c r="E2895" s="7" t="n">
        <v>1483.55</v>
      </c>
      <c r="F2895" s="7" t="n">
        <v>17802.65</v>
      </c>
    </row>
    <row r="2896" ht="21" customHeight="1">
      <c r="A2896" s="7" t="n">
        <v>2031</v>
      </c>
      <c r="B2896" s="7" t="n">
        <v>9</v>
      </c>
      <c r="C2896" s="10" t="inlineStr">
        <is>
          <t>Aufw. Heizmat.</t>
        </is>
      </c>
      <c r="D2896" s="10" t="inlineStr">
        <is>
          <t>Vorleistungen</t>
        </is>
      </c>
      <c r="E2896" s="7" t="n">
        <v>216.16</v>
      </c>
      <c r="F2896" s="7" t="n">
        <v>2593.97</v>
      </c>
    </row>
    <row r="2897" ht="21" customHeight="1">
      <c r="A2897" s="7" t="n">
        <v>2030</v>
      </c>
      <c r="B2897" s="7" t="n">
        <v>9</v>
      </c>
      <c r="C2897" s="10" t="inlineStr">
        <is>
          <t>IT-Aufwendungen</t>
        </is>
      </c>
      <c r="D2897" s="10" t="inlineStr">
        <is>
          <t>Verwaltungskosten</t>
        </is>
      </c>
      <c r="E2897" s="7" t="n">
        <v>12671.51</v>
      </c>
      <c r="F2897" s="7" t="n">
        <v>152058.16</v>
      </c>
    </row>
    <row r="2898" ht="21" customHeight="1">
      <c r="A2898" s="7" t="n">
        <v>2027</v>
      </c>
      <c r="B2898" s="7" t="n">
        <v>9</v>
      </c>
      <c r="C2898" s="10" t="inlineStr">
        <is>
          <t>Treibstoffe, Oe</t>
        </is>
      </c>
      <c r="D2898" s="10" t="inlineStr">
        <is>
          <t>Fuhrparkkosten</t>
        </is>
      </c>
      <c r="E2898" s="7" t="n">
        <v>28695.87</v>
      </c>
      <c r="F2898" s="7" t="n">
        <v>344350.48</v>
      </c>
    </row>
    <row r="2899" ht="21" customHeight="1">
      <c r="A2899" s="7" t="n">
        <v>2028</v>
      </c>
      <c r="B2899" s="7" t="n">
        <v>9</v>
      </c>
      <c r="C2899" s="10" t="inlineStr">
        <is>
          <t>Aufw. Heizmat.</t>
        </is>
      </c>
      <c r="D2899" s="10" t="inlineStr">
        <is>
          <t>Vorleistungen</t>
        </is>
      </c>
      <c r="E2899" s="7" t="n">
        <v>260.43</v>
      </c>
      <c r="F2899" s="7" t="n">
        <v>3125.13</v>
      </c>
    </row>
    <row r="2900" ht="21" customHeight="1">
      <c r="A2900" s="7" t="n">
        <v>2031</v>
      </c>
      <c r="B2900" s="7" t="n">
        <v>9</v>
      </c>
      <c r="C2900" s="10" t="inlineStr">
        <is>
          <t>Ertrag KFZ-Nutz</t>
        </is>
      </c>
      <c r="D2900" s="10" t="inlineStr">
        <is>
          <t>Gesamtleistung</t>
        </is>
      </c>
      <c r="E2900" s="7" t="n">
        <v>9597.290000000001</v>
      </c>
      <c r="F2900" s="7" t="n">
        <v>115167.5</v>
      </c>
    </row>
    <row r="2901" ht="21" customHeight="1">
      <c r="A2901" s="7" t="n">
        <v>2027</v>
      </c>
      <c r="B2901" s="7" t="n">
        <v>9</v>
      </c>
      <c r="C2901" s="10" t="inlineStr">
        <is>
          <t>Raumkosten</t>
        </is>
      </c>
      <c r="D2901" s="10" t="inlineStr">
        <is>
          <t>Raumkosten</t>
        </is>
      </c>
      <c r="E2901" s="7" t="n">
        <v>5046.85</v>
      </c>
      <c r="F2901" s="7" t="n">
        <v>60562.14</v>
      </c>
    </row>
    <row r="2902" ht="21" customHeight="1">
      <c r="A2902" s="7" t="n">
        <v>2028</v>
      </c>
      <c r="B2902" s="7" t="n">
        <v>9</v>
      </c>
      <c r="C2902" s="10" t="inlineStr">
        <is>
          <t>Soziale Abgaben</t>
        </is>
      </c>
      <c r="D2902" s="10" t="inlineStr">
        <is>
          <t>Personalaufwand</t>
        </is>
      </c>
      <c r="E2902" s="7" t="n">
        <v>85007.57000000001</v>
      </c>
      <c r="F2902" s="7" t="n">
        <v>1020090.84</v>
      </c>
    </row>
    <row r="2903" ht="21" customHeight="1">
      <c r="A2903" s="7" t="n">
        <v>2029</v>
      </c>
      <c r="B2903" s="7" t="n">
        <v>9</v>
      </c>
      <c r="C2903" s="10" t="inlineStr">
        <is>
          <t>Miete Grdst/Gebäud</t>
        </is>
      </c>
      <c r="D2903" s="10" t="inlineStr">
        <is>
          <t>Raumkosten</t>
        </is>
      </c>
      <c r="E2903" s="7" t="n">
        <v>18238.55</v>
      </c>
      <c r="F2903" s="7" t="n">
        <v>218862.64</v>
      </c>
    </row>
    <row r="2904" ht="21" customHeight="1">
      <c r="A2904" s="7" t="n">
        <v>2031</v>
      </c>
      <c r="B2904" s="7" t="n">
        <v>9</v>
      </c>
      <c r="C2904" s="10" t="inlineStr">
        <is>
          <t>Raumkosten</t>
        </is>
      </c>
      <c r="D2904" s="10" t="inlineStr">
        <is>
          <t>Raumkosten</t>
        </is>
      </c>
      <c r="E2904" s="7" t="n">
        <v>7453.91</v>
      </c>
      <c r="F2904" s="7" t="n">
        <v>89446.89</v>
      </c>
    </row>
    <row r="2905" ht="21" customHeight="1">
      <c r="A2905" s="7" t="n">
        <v>2031</v>
      </c>
      <c r="B2905" s="7" t="n">
        <v>9</v>
      </c>
      <c r="C2905" s="10" t="inlineStr">
        <is>
          <t>Behaelterkosten</t>
        </is>
      </c>
      <c r="D2905" s="10" t="inlineStr">
        <is>
          <t>Instandh. Betriebsausstattung</t>
        </is>
      </c>
      <c r="E2905" s="7" t="n">
        <v>13.39</v>
      </c>
      <c r="F2905" s="7" t="n">
        <v>160.68</v>
      </c>
    </row>
    <row r="2906" ht="21" customHeight="1">
      <c r="A2906" s="7" t="n">
        <v>2031</v>
      </c>
      <c r="B2906" s="7" t="n">
        <v>9</v>
      </c>
      <c r="C2906" s="10" t="inlineStr">
        <is>
          <t>Instandh.Fuhrp</t>
        </is>
      </c>
      <c r="D2906" s="10" t="inlineStr">
        <is>
          <t>Fuhrparkkosten</t>
        </is>
      </c>
      <c r="E2906" s="7" t="n">
        <v>38327.36</v>
      </c>
      <c r="F2906" s="7" t="n">
        <v>459928.28</v>
      </c>
    </row>
    <row r="2907" ht="21" customHeight="1">
      <c r="A2907" s="7" t="n">
        <v>2030</v>
      </c>
      <c r="B2907" s="7" t="n">
        <v>9</v>
      </c>
      <c r="C2907" s="10" t="inlineStr">
        <is>
          <t>Ueb. bezog.Leis</t>
        </is>
      </c>
      <c r="D2907" s="10" t="inlineStr">
        <is>
          <t>Vorleistungen</t>
        </is>
      </c>
      <c r="E2907" s="7" t="n">
        <v>1385029.28</v>
      </c>
      <c r="F2907" s="7" t="n">
        <v>16620351.38</v>
      </c>
    </row>
    <row r="2908" ht="21" customHeight="1">
      <c r="A2908" s="7" t="n">
        <v>2027</v>
      </c>
      <c r="B2908" s="7" t="n">
        <v>9</v>
      </c>
      <c r="C2908" s="10" t="inlineStr">
        <is>
          <t>Miete LKW,Schiffe</t>
        </is>
      </c>
      <c r="D2908" s="10" t="inlineStr">
        <is>
          <t>Fuhrparkkosten</t>
        </is>
      </c>
      <c r="E2908" s="7" t="n">
        <v>36751.61</v>
      </c>
      <c r="F2908" s="7" t="n">
        <v>441019.28</v>
      </c>
    </row>
    <row r="2909" ht="21" customHeight="1">
      <c r="A2909" s="7" t="n">
        <v>2030</v>
      </c>
      <c r="B2909" s="7" t="n">
        <v>9</v>
      </c>
      <c r="C2909" s="10" t="inlineStr">
        <is>
          <t>Leasing LKW</t>
        </is>
      </c>
      <c r="D2909" s="10" t="inlineStr">
        <is>
          <t>Fuhrparkkosten</t>
        </is>
      </c>
      <c r="E2909" s="7" t="n">
        <v>2745.62</v>
      </c>
      <c r="F2909" s="7" t="n">
        <v>32947.44</v>
      </c>
    </row>
    <row r="2910" ht="21" customHeight="1">
      <c r="A2910" s="7" t="n">
        <v>2031</v>
      </c>
      <c r="B2910" s="7" t="n">
        <v>9</v>
      </c>
      <c r="C2910" s="10" t="inlineStr">
        <is>
          <t>Vertriebskosten</t>
        </is>
      </c>
      <c r="D2910" s="10" t="inlineStr">
        <is>
          <t>Vertriebskosten</t>
        </is>
      </c>
      <c r="E2910" s="7" t="n">
        <v>13167.99</v>
      </c>
      <c r="F2910" s="7" t="n">
        <v>158015.82</v>
      </c>
    </row>
    <row r="2911" ht="21" customHeight="1">
      <c r="A2911" s="7" t="n">
        <v>2028</v>
      </c>
      <c r="B2911" s="7" t="n">
        <v>9</v>
      </c>
      <c r="C2911" s="10" t="inlineStr">
        <is>
          <t>Behaelterkosten</t>
        </is>
      </c>
      <c r="D2911" s="10" t="inlineStr">
        <is>
          <t>Instandh. Betriebsausstattung</t>
        </is>
      </c>
      <c r="E2911" s="7" t="n">
        <v>11.57</v>
      </c>
      <c r="F2911" s="7" t="n">
        <v>138.8</v>
      </c>
    </row>
    <row r="2912" ht="21" customHeight="1">
      <c r="A2912" s="7" t="n">
        <v>2030</v>
      </c>
      <c r="B2912" s="7" t="n">
        <v>9</v>
      </c>
      <c r="C2912" s="10" t="inlineStr">
        <is>
          <t>Verwaltungskost</t>
        </is>
      </c>
      <c r="D2912" s="10" t="inlineStr">
        <is>
          <t>Verwaltungskosten</t>
        </is>
      </c>
      <c r="E2912" s="7" t="n">
        <v>7311.95</v>
      </c>
      <c r="F2912" s="7" t="n">
        <v>87743.38</v>
      </c>
    </row>
    <row r="2913" ht="21" customHeight="1">
      <c r="A2913" s="7" t="n">
        <v>2030</v>
      </c>
      <c r="B2913" s="7" t="n">
        <v>9</v>
      </c>
      <c r="C2913" s="10" t="inlineStr">
        <is>
          <t>Rechts- u. Beratungs</t>
        </is>
      </c>
      <c r="D2913" s="10" t="inlineStr">
        <is>
          <t>Verwaltungskosten</t>
        </is>
      </c>
      <c r="E2913" s="7" t="n">
        <v>28013.14</v>
      </c>
      <c r="F2913" s="7" t="n">
        <v>336157.66</v>
      </c>
    </row>
    <row r="2914" ht="21" customHeight="1">
      <c r="A2914" s="7" t="n">
        <v>2028</v>
      </c>
      <c r="B2914" s="7" t="n">
        <v>9</v>
      </c>
      <c r="C2914" s="10" t="inlineStr">
        <is>
          <t>Sonst Fuhrparkkosten</t>
        </is>
      </c>
      <c r="D2914" s="10" t="inlineStr">
        <is>
          <t>Fuhrparkkosten</t>
        </is>
      </c>
      <c r="E2914" s="7" t="n">
        <v>5288.59</v>
      </c>
      <c r="F2914" s="7" t="n">
        <v>63463.1</v>
      </c>
    </row>
    <row r="2915" ht="21" customHeight="1">
      <c r="A2915" s="7" t="n">
        <v>2029</v>
      </c>
      <c r="B2915" s="7" t="n">
        <v>9</v>
      </c>
      <c r="C2915" s="10" t="inlineStr">
        <is>
          <t>Erl. so. DL Dt.</t>
        </is>
      </c>
      <c r="D2915" s="10" t="inlineStr">
        <is>
          <t>Gesamtleistung</t>
        </is>
      </c>
      <c r="E2915" s="7" t="n">
        <v>2200755.15</v>
      </c>
      <c r="F2915" s="7" t="n">
        <v>26409061.76</v>
      </c>
    </row>
    <row r="2916" ht="21" customHeight="1">
      <c r="A2916" s="7" t="n">
        <v>2031</v>
      </c>
      <c r="B2916" s="7" t="n">
        <v>9</v>
      </c>
      <c r="C2916" s="10" t="inlineStr">
        <is>
          <t>Uebr.neutr. Ert</t>
        </is>
      </c>
      <c r="D2916" s="10" t="inlineStr">
        <is>
          <t>Gesamtleistung</t>
        </is>
      </c>
      <c r="E2916" s="7" t="n">
        <v>227.28</v>
      </c>
      <c r="F2916" s="7" t="n">
        <v>2727.33</v>
      </c>
    </row>
    <row r="2917" ht="21" customHeight="1">
      <c r="A2917" s="7" t="n">
        <v>2030</v>
      </c>
      <c r="B2917" s="7" t="n">
        <v>9</v>
      </c>
      <c r="C2917" s="10" t="inlineStr">
        <is>
          <t>Erl. Waren Dt.</t>
        </is>
      </c>
      <c r="D2917" s="10" t="inlineStr">
        <is>
          <t>Gesamtleistung</t>
        </is>
      </c>
      <c r="E2917" s="7" t="n">
        <v>49038.99</v>
      </c>
      <c r="F2917" s="7" t="n">
        <v>588467.85</v>
      </c>
    </row>
    <row r="2918" ht="21" customHeight="1">
      <c r="A2918" s="7" t="n">
        <v>2028</v>
      </c>
      <c r="B2918" s="7" t="n">
        <v>9</v>
      </c>
      <c r="C2918" s="10" t="inlineStr">
        <is>
          <t>Weiterber. Frem</t>
        </is>
      </c>
      <c r="D2918" s="10" t="inlineStr">
        <is>
          <t>Vorleistungen</t>
        </is>
      </c>
      <c r="E2918" s="7" t="n">
        <v>0</v>
      </c>
      <c r="F2918" s="7" t="n">
        <v>0</v>
      </c>
    </row>
    <row r="2919" ht="21" customHeight="1">
      <c r="A2919" s="7" t="n">
        <v>2027</v>
      </c>
      <c r="B2919" s="7" t="n">
        <v>9</v>
      </c>
      <c r="C2919" s="10" t="inlineStr">
        <is>
          <t>IT-Aufwendungen</t>
        </is>
      </c>
      <c r="D2919" s="10" t="inlineStr">
        <is>
          <t>Verwaltungskosten</t>
        </is>
      </c>
      <c r="E2919" s="7" t="n">
        <v>11596.23</v>
      </c>
      <c r="F2919" s="7" t="n">
        <v>139154.76</v>
      </c>
    </row>
    <row r="2920" ht="21" customHeight="1">
      <c r="A2920" s="7" t="n">
        <v>2028</v>
      </c>
      <c r="B2920" s="7" t="n">
        <v>9</v>
      </c>
      <c r="C2920" s="10" t="inlineStr">
        <is>
          <t>Leasing LKW</t>
        </is>
      </c>
      <c r="D2920" s="10" t="inlineStr">
        <is>
          <t>Fuhrparkkosten</t>
        </is>
      </c>
      <c r="E2920" s="7" t="n">
        <v>2443.59</v>
      </c>
      <c r="F2920" s="7" t="n">
        <v>29323.11</v>
      </c>
    </row>
    <row r="2921" ht="21" customHeight="1">
      <c r="A2921" s="7" t="n">
        <v>2031</v>
      </c>
      <c r="B2921" s="7" t="n">
        <v>9</v>
      </c>
      <c r="C2921" s="10" t="inlineStr">
        <is>
          <t>Weiterber. Frem</t>
        </is>
      </c>
      <c r="D2921" s="10" t="inlineStr">
        <is>
          <t>Vorleistungen</t>
        </is>
      </c>
      <c r="E2921" s="7" t="n">
        <v>0</v>
      </c>
      <c r="F2921" s="7" t="n">
        <v>0</v>
      </c>
    </row>
    <row r="2922" ht="21" customHeight="1">
      <c r="A2922" s="7" t="n">
        <v>2028</v>
      </c>
      <c r="B2922" s="7" t="n">
        <v>9</v>
      </c>
      <c r="C2922" s="10" t="inlineStr">
        <is>
          <t>Lohn + Gehalt</t>
        </is>
      </c>
      <c r="D2922" s="10" t="inlineStr">
        <is>
          <t>Personalaufwand</t>
        </is>
      </c>
      <c r="E2922" s="7" t="n">
        <v>321097.26</v>
      </c>
      <c r="F2922" s="7" t="n">
        <v>3853167.13</v>
      </c>
    </row>
    <row r="2923" ht="21" customHeight="1">
      <c r="A2923" s="7" t="n">
        <v>2029</v>
      </c>
      <c r="B2923" s="7" t="n">
        <v>9</v>
      </c>
      <c r="C2923" s="10" t="inlineStr">
        <is>
          <t>Miete LKW,Schiffe</t>
        </is>
      </c>
      <c r="D2923" s="10" t="inlineStr">
        <is>
          <t>Fuhrparkkosten</t>
        </is>
      </c>
      <c r="E2923" s="7" t="n">
        <v>41294.11</v>
      </c>
      <c r="F2923" s="7" t="n">
        <v>495529.28</v>
      </c>
    </row>
    <row r="2924" ht="21" customHeight="1">
      <c r="A2924" s="7" t="n">
        <v>2030</v>
      </c>
      <c r="B2924" s="7" t="n">
        <v>9</v>
      </c>
      <c r="C2924" s="10" t="inlineStr">
        <is>
          <t>Erl. so. DL Dt.</t>
        </is>
      </c>
      <c r="D2924" s="10" t="inlineStr">
        <is>
          <t>Gesamtleistung</t>
        </is>
      </c>
      <c r="E2924" s="7" t="n">
        <v>2311684.01</v>
      </c>
      <c r="F2924" s="7" t="n">
        <v>27740208.09</v>
      </c>
    </row>
    <row r="2925" ht="21" customHeight="1">
      <c r="A2925" s="7" t="n">
        <v>2030</v>
      </c>
      <c r="B2925" s="7" t="n">
        <v>9</v>
      </c>
      <c r="C2925" s="10" t="inlineStr">
        <is>
          <t>Versicherungskosten</t>
        </is>
      </c>
      <c r="D2925" s="10" t="inlineStr">
        <is>
          <t>Verwaltungskosten</t>
        </is>
      </c>
      <c r="E2925" s="7" t="n">
        <v>11790.1</v>
      </c>
      <c r="F2925" s="7" t="n">
        <v>141481.23</v>
      </c>
    </row>
    <row r="2926" ht="21" customHeight="1">
      <c r="A2926" s="7" t="n">
        <v>2029</v>
      </c>
      <c r="B2926" s="7" t="n">
        <v>9</v>
      </c>
      <c r="C2926" s="10" t="inlineStr">
        <is>
          <t>Sonstige Steuer</t>
        </is>
      </c>
      <c r="D2926" s="10" t="inlineStr">
        <is>
          <t>Fuhrparkkosten</t>
        </is>
      </c>
      <c r="E2926" s="7" t="n">
        <v>1682.38</v>
      </c>
      <c r="F2926" s="7" t="n">
        <v>20188.51</v>
      </c>
    </row>
    <row r="2927" ht="21" customHeight="1">
      <c r="A2927" s="7" t="n">
        <v>2027</v>
      </c>
      <c r="B2927" s="7" t="n">
        <v>9</v>
      </c>
      <c r="C2927" s="10" t="inlineStr">
        <is>
          <t>Sonst Fuhrparkkosten</t>
        </is>
      </c>
      <c r="D2927" s="10" t="inlineStr">
        <is>
          <t>Fuhrparkkosten</t>
        </is>
      </c>
      <c r="E2927" s="7" t="n">
        <v>4989.24</v>
      </c>
      <c r="F2927" s="7" t="n">
        <v>59870.86</v>
      </c>
    </row>
    <row r="2928" ht="21" customHeight="1">
      <c r="A2928" s="7" t="n">
        <v>2028</v>
      </c>
      <c r="B2928" s="7" t="n">
        <v>9</v>
      </c>
      <c r="C2928" s="10" t="inlineStr">
        <is>
          <t>Bestandsveraend</t>
        </is>
      </c>
      <c r="D2928" s="10" t="inlineStr">
        <is>
          <t>Gesamtleistung</t>
        </is>
      </c>
      <c r="E2928" s="7" t="n">
        <v>0</v>
      </c>
      <c r="F2928" s="7" t="n">
        <v>0</v>
      </c>
    </row>
    <row r="2929" ht="21" customHeight="1">
      <c r="A2929" s="7" t="n">
        <v>2028</v>
      </c>
      <c r="B2929" s="7" t="n">
        <v>9</v>
      </c>
      <c r="C2929" s="10" t="inlineStr">
        <is>
          <t>So. betr. Aufwa</t>
        </is>
      </c>
      <c r="D2929" s="10" t="inlineStr">
        <is>
          <t>Verwaltungskosten</t>
        </is>
      </c>
      <c r="E2929" s="7" t="n">
        <v>673.0599999999999</v>
      </c>
      <c r="F2929" s="7" t="n">
        <v>8076.71</v>
      </c>
    </row>
    <row r="2930" ht="21" customHeight="1">
      <c r="A2930" s="7" t="n">
        <v>2030</v>
      </c>
      <c r="B2930" s="7" t="n">
        <v>9</v>
      </c>
      <c r="C2930" s="10" t="inlineStr">
        <is>
          <t>Miete LKW,Schiffe</t>
        </is>
      </c>
      <c r="D2930" s="10" t="inlineStr">
        <is>
          <t>Fuhrparkkosten</t>
        </is>
      </c>
      <c r="E2930" s="7" t="n">
        <v>43771.75</v>
      </c>
      <c r="F2930" s="7" t="n">
        <v>525261.04</v>
      </c>
    </row>
    <row r="2931" ht="21" customHeight="1">
      <c r="A2931" s="7" t="n">
        <v>2028</v>
      </c>
      <c r="B2931" s="7" t="n">
        <v>9</v>
      </c>
      <c r="C2931" s="10" t="inlineStr">
        <is>
          <t>Miete LKW,Schiffe</t>
        </is>
      </c>
      <c r="D2931" s="10" t="inlineStr">
        <is>
          <t>Fuhrparkkosten</t>
        </is>
      </c>
      <c r="E2931" s="7" t="n">
        <v>38956.71</v>
      </c>
      <c r="F2931" s="7" t="n">
        <v>467480.47</v>
      </c>
    </row>
    <row r="2932" ht="21" customHeight="1">
      <c r="A2932" s="7" t="n">
        <v>2028</v>
      </c>
      <c r="B2932" s="7" t="n">
        <v>9</v>
      </c>
      <c r="C2932" s="10" t="inlineStr">
        <is>
          <t>sonst Personalk</t>
        </is>
      </c>
      <c r="D2932" s="10" t="inlineStr">
        <is>
          <t>Personalaufwand</t>
        </is>
      </c>
      <c r="E2932" s="7" t="n">
        <v>12597.51</v>
      </c>
      <c r="F2932" s="7" t="n">
        <v>151170.09</v>
      </c>
    </row>
    <row r="2933" ht="21" customHeight="1">
      <c r="A2933" s="7" t="n">
        <v>2030</v>
      </c>
      <c r="B2933" s="7" t="n">
        <v>9</v>
      </c>
      <c r="C2933" s="10" t="inlineStr">
        <is>
          <t>Leasing PKW</t>
        </is>
      </c>
      <c r="D2933" s="10" t="inlineStr">
        <is>
          <t>Fuhrparkkosten</t>
        </is>
      </c>
      <c r="E2933" s="7" t="n">
        <v>26131.4</v>
      </c>
      <c r="F2933" s="7" t="n">
        <v>313576.76</v>
      </c>
    </row>
    <row r="2934" ht="21" customHeight="1">
      <c r="A2934" s="7" t="n">
        <v>2031</v>
      </c>
      <c r="B2934" s="7" t="n">
        <v>9</v>
      </c>
      <c r="C2934" s="10" t="inlineStr">
        <is>
          <t>Aufwand Umlage</t>
        </is>
      </c>
      <c r="D2934" s="10" t="inlineStr">
        <is>
          <t>Verwaltungskosten</t>
        </is>
      </c>
      <c r="E2934" s="7" t="n">
        <v>3807.87</v>
      </c>
      <c r="F2934" s="7" t="n">
        <v>45694.43</v>
      </c>
    </row>
    <row r="2935" ht="21" customHeight="1">
      <c r="A2935" s="7" t="n">
        <v>2031</v>
      </c>
      <c r="B2935" s="7" t="n">
        <v>9</v>
      </c>
      <c r="C2935" s="10" t="inlineStr">
        <is>
          <t>sonst Personalk</t>
        </is>
      </c>
      <c r="D2935" s="10" t="inlineStr">
        <is>
          <t>Personalaufwand</t>
        </is>
      </c>
      <c r="E2935" s="7" t="n">
        <v>17070.54</v>
      </c>
      <c r="F2935" s="7" t="n">
        <v>204846.51</v>
      </c>
    </row>
    <row r="2936" ht="21" customHeight="1">
      <c r="A2936" s="7" t="n">
        <v>2027</v>
      </c>
      <c r="B2936" s="7" t="n">
        <v>9</v>
      </c>
      <c r="C2936" s="10" t="inlineStr">
        <is>
          <t>sonst Personalk</t>
        </is>
      </c>
      <c r="D2936" s="10" t="inlineStr">
        <is>
          <t>Personalaufwand</t>
        </is>
      </c>
      <c r="E2936" s="7" t="n">
        <v>10949.84</v>
      </c>
      <c r="F2936" s="7" t="n">
        <v>131398.1</v>
      </c>
    </row>
    <row r="2937" ht="21" customHeight="1">
      <c r="A2937" s="7" t="n">
        <v>2031</v>
      </c>
      <c r="B2937" s="7" t="n">
        <v>9</v>
      </c>
      <c r="C2937" s="10" t="inlineStr">
        <is>
          <t>Miete PKW</t>
        </is>
      </c>
      <c r="D2937" s="10" t="inlineStr">
        <is>
          <t>Fuhrparkkosten</t>
        </is>
      </c>
      <c r="E2937" s="7" t="n">
        <v>5824.81</v>
      </c>
      <c r="F2937" s="7" t="n">
        <v>69897.67</v>
      </c>
    </row>
    <row r="2938" ht="21" customHeight="1">
      <c r="A2938" s="7" t="n">
        <v>2029</v>
      </c>
      <c r="B2938" s="7" t="n">
        <v>9</v>
      </c>
      <c r="C2938" s="10" t="inlineStr">
        <is>
          <t>Raumkosten</t>
        </is>
      </c>
      <c r="D2938" s="10" t="inlineStr">
        <is>
          <t>Raumkosten</t>
        </is>
      </c>
      <c r="E2938" s="7" t="n">
        <v>7164.46</v>
      </c>
      <c r="F2938" s="7" t="n">
        <v>85973.53</v>
      </c>
    </row>
    <row r="2939" ht="21" customHeight="1">
      <c r="A2939" s="7" t="n">
        <v>2031</v>
      </c>
      <c r="B2939" s="7" t="n">
        <v>9</v>
      </c>
      <c r="C2939" s="10" t="inlineStr">
        <is>
          <t>Aufw. f. Alters</t>
        </is>
      </c>
      <c r="D2939" s="10" t="inlineStr">
        <is>
          <t>Personalaufwand</t>
        </is>
      </c>
      <c r="E2939" s="7" t="n">
        <v>1434.03</v>
      </c>
      <c r="F2939" s="7" t="n">
        <v>17208.41</v>
      </c>
    </row>
    <row r="2940" ht="21" customHeight="1">
      <c r="A2940" s="7" t="n">
        <v>2031</v>
      </c>
      <c r="B2940" s="7" t="n">
        <v>9</v>
      </c>
      <c r="C2940" s="10" t="inlineStr">
        <is>
          <t>IT-Aufwendungen</t>
        </is>
      </c>
      <c r="D2940" s="10" t="inlineStr">
        <is>
          <t>Verwaltungskosten</t>
        </is>
      </c>
      <c r="E2940" s="7" t="n">
        <v>13051.66</v>
      </c>
      <c r="F2940" s="7" t="n">
        <v>156619.9</v>
      </c>
    </row>
    <row r="2941" ht="21" customHeight="1">
      <c r="A2941" s="7" t="n">
        <v>2028</v>
      </c>
      <c r="B2941" s="7" t="n">
        <v>9</v>
      </c>
      <c r="C2941" s="10" t="inlineStr">
        <is>
          <t>Miete Grdst/Gebäud</t>
        </is>
      </c>
      <c r="D2941" s="10" t="inlineStr">
        <is>
          <t>Raumkosten</t>
        </is>
      </c>
      <c r="E2941" s="7" t="n">
        <v>17880.93</v>
      </c>
      <c r="F2941" s="7" t="n">
        <v>214571.21</v>
      </c>
    </row>
    <row r="2942" ht="21" customHeight="1">
      <c r="A2942" s="7" t="n">
        <v>2027</v>
      </c>
      <c r="B2942" s="7" t="n">
        <v>9</v>
      </c>
      <c r="C2942" s="10" t="inlineStr">
        <is>
          <t>Erloesschmaeler</t>
        </is>
      </c>
      <c r="D2942" s="10" t="inlineStr">
        <is>
          <t>Gesamtleistung</t>
        </is>
      </c>
      <c r="E2942" s="7" t="n">
        <v>-7483.88</v>
      </c>
      <c r="F2942" s="7" t="n">
        <v>-89806.53</v>
      </c>
    </row>
    <row r="2943" ht="21" customHeight="1">
      <c r="A2943" s="7" t="n">
        <v>2029</v>
      </c>
      <c r="B2943" s="7" t="n">
        <v>9</v>
      </c>
      <c r="C2943" s="10" t="inlineStr">
        <is>
          <t>sonst Personalk</t>
        </is>
      </c>
      <c r="D2943" s="10" t="inlineStr">
        <is>
          <t>Personalaufwand</t>
        </is>
      </c>
      <c r="E2943" s="7" t="n">
        <v>13957.15</v>
      </c>
      <c r="F2943" s="7" t="n">
        <v>167485.78</v>
      </c>
    </row>
    <row r="2944" ht="21" customHeight="1">
      <c r="A2944" s="7" t="n">
        <v>2028</v>
      </c>
      <c r="B2944" s="7" t="n">
        <v>9</v>
      </c>
      <c r="C2944" s="10" t="inlineStr">
        <is>
          <t>Fremdl. Fuhrlei</t>
        </is>
      </c>
      <c r="D2944" s="10" t="inlineStr">
        <is>
          <t>Vorleistungen</t>
        </is>
      </c>
      <c r="E2944" s="7" t="n">
        <v>363.29</v>
      </c>
      <c r="F2944" s="7" t="n">
        <v>4359.52</v>
      </c>
    </row>
    <row r="2945" ht="21" customHeight="1">
      <c r="A2945" s="7" t="n">
        <v>2027</v>
      </c>
      <c r="B2945" s="7" t="n">
        <v>9</v>
      </c>
      <c r="C2945" s="10" t="inlineStr">
        <is>
          <t>Erl. so. DL Dt.</t>
        </is>
      </c>
      <c r="D2945" s="10" t="inlineStr">
        <is>
          <t>Gesamtleistung</t>
        </is>
      </c>
      <c r="E2945" s="7" t="n">
        <v>1996174.37</v>
      </c>
      <c r="F2945" s="7" t="n">
        <v>23954092.45</v>
      </c>
    </row>
    <row r="2946" ht="21" customHeight="1">
      <c r="A2946" s="7" t="n">
        <v>2027</v>
      </c>
      <c r="B2946" s="7" t="n">
        <v>9</v>
      </c>
      <c r="C2946" s="10" t="inlineStr">
        <is>
          <t>Aufw. Heizmat.</t>
        </is>
      </c>
      <c r="D2946" s="10" t="inlineStr">
        <is>
          <t>Vorleistungen</t>
        </is>
      </c>
      <c r="E2946" s="7" t="n">
        <v>275.72</v>
      </c>
      <c r="F2946" s="7" t="n">
        <v>3308.65</v>
      </c>
    </row>
    <row r="2947" ht="21" customHeight="1">
      <c r="A2947" s="7" t="n">
        <v>2028</v>
      </c>
      <c r="B2947" s="7" t="n">
        <v>9</v>
      </c>
      <c r="C2947" s="10" t="inlineStr">
        <is>
          <t>Versicherungskosten</t>
        </is>
      </c>
      <c r="D2947" s="10" t="inlineStr">
        <is>
          <t>Verwaltungskosten</t>
        </is>
      </c>
      <c r="E2947" s="7" t="n">
        <v>11113.3</v>
      </c>
      <c r="F2947" s="7" t="n">
        <v>133359.63</v>
      </c>
    </row>
    <row r="2948" ht="21" customHeight="1">
      <c r="A2948" s="7" t="n">
        <v>2031</v>
      </c>
      <c r="B2948" s="7" t="n">
        <v>9</v>
      </c>
      <c r="C2948" s="10" t="inlineStr">
        <is>
          <t>Miete LKW,Schiffe</t>
        </is>
      </c>
      <c r="D2948" s="10" t="inlineStr">
        <is>
          <t>Fuhrparkkosten</t>
        </is>
      </c>
      <c r="E2948" s="7" t="n">
        <v>46398.06</v>
      </c>
      <c r="F2948" s="7" t="n">
        <v>556776.71</v>
      </c>
    </row>
    <row r="2949" ht="21" customHeight="1">
      <c r="A2949" s="7" t="n">
        <v>2027</v>
      </c>
      <c r="B2949" s="7" t="n">
        <v>9</v>
      </c>
      <c r="C2949" s="10" t="inlineStr">
        <is>
          <t>Weiterber. Frem</t>
        </is>
      </c>
      <c r="D2949" s="10" t="inlineStr">
        <is>
          <t>Vorleistungen</t>
        </is>
      </c>
      <c r="E2949" s="7" t="n">
        <v>0</v>
      </c>
      <c r="F2949" s="7" t="n">
        <v>0</v>
      </c>
    </row>
    <row r="2950" ht="21" customHeight="1">
      <c r="A2950" s="7" t="n">
        <v>2028</v>
      </c>
      <c r="B2950" s="7" t="n">
        <v>9</v>
      </c>
      <c r="C2950" s="10" t="inlineStr">
        <is>
          <t>Erloesschmaeler</t>
        </is>
      </c>
      <c r="D2950" s="10" t="inlineStr">
        <is>
          <t>Gesamtleistung</t>
        </is>
      </c>
      <c r="E2950" s="7" t="n">
        <v>-8355.469999999999</v>
      </c>
      <c r="F2950" s="7" t="n">
        <v>-100265.61</v>
      </c>
    </row>
    <row r="2951" ht="21" customHeight="1">
      <c r="A2951" s="7" t="n">
        <v>2027</v>
      </c>
      <c r="B2951" s="7" t="n">
        <v>9</v>
      </c>
      <c r="C2951" s="10" t="inlineStr">
        <is>
          <t>Uebr.neutr. Ert</t>
        </is>
      </c>
      <c r="D2951" s="10" t="inlineStr">
        <is>
          <t>Gesamtleistung</t>
        </is>
      </c>
      <c r="E2951" s="7" t="n">
        <v>113.94</v>
      </c>
      <c r="F2951" s="7" t="n">
        <v>1367.31</v>
      </c>
    </row>
    <row r="2952" ht="21" customHeight="1">
      <c r="A2952" s="7" t="n">
        <v>2028</v>
      </c>
      <c r="B2952" s="7" t="n">
        <v>9</v>
      </c>
      <c r="C2952" s="10" t="inlineStr">
        <is>
          <t>Miete Behälter</t>
        </is>
      </c>
      <c r="D2952" s="10" t="inlineStr">
        <is>
          <t>Instandh. Betriebsausstattung</t>
        </is>
      </c>
      <c r="E2952" s="7" t="n">
        <v>24.08</v>
      </c>
      <c r="F2952" s="7" t="n">
        <v>289</v>
      </c>
    </row>
    <row r="2953" ht="21" customHeight="1">
      <c r="A2953" s="7" t="n">
        <v>2028</v>
      </c>
      <c r="B2953" s="7" t="n">
        <v>9</v>
      </c>
      <c r="C2953" s="10" t="inlineStr">
        <is>
          <t>Aufw. so. Hilfs</t>
        </is>
      </c>
      <c r="D2953" s="10" t="inlineStr">
        <is>
          <t>Vorleistungen</t>
        </is>
      </c>
      <c r="E2953" s="7" t="n">
        <v>-16546.31</v>
      </c>
      <c r="F2953" s="7" t="n">
        <v>-198555.67</v>
      </c>
    </row>
    <row r="2954" ht="21" customHeight="1">
      <c r="A2954" s="7" t="n">
        <v>2030</v>
      </c>
      <c r="B2954" s="7" t="n">
        <v>9</v>
      </c>
      <c r="C2954" s="10" t="inlineStr">
        <is>
          <t>Treibstoffe, Oe</t>
        </is>
      </c>
      <c r="D2954" s="10" t="inlineStr">
        <is>
          <t>Fuhrparkkosten</t>
        </is>
      </c>
      <c r="E2954" s="7" t="n">
        <v>34177.25</v>
      </c>
      <c r="F2954" s="7" t="n">
        <v>410126.96</v>
      </c>
    </row>
    <row r="2955" ht="21" customHeight="1">
      <c r="A2955" s="7" t="n">
        <v>2030</v>
      </c>
      <c r="B2955" s="7" t="n">
        <v>9</v>
      </c>
      <c r="C2955" s="10" t="inlineStr">
        <is>
          <t>Ueb Lohn-Gehalt</t>
        </is>
      </c>
      <c r="D2955" s="10" t="inlineStr">
        <is>
          <t>Personalaufwand</t>
        </is>
      </c>
      <c r="E2955" s="7" t="n">
        <v>41842.02</v>
      </c>
      <c r="F2955" s="7" t="n">
        <v>502104.18</v>
      </c>
    </row>
    <row r="2956" ht="21" customHeight="1">
      <c r="A2956" s="7" t="n">
        <v>2030</v>
      </c>
      <c r="B2956" s="7" t="n">
        <v>9</v>
      </c>
      <c r="C2956" s="10" t="inlineStr">
        <is>
          <t>Aufw. f. Alters</t>
        </is>
      </c>
      <c r="D2956" s="10" t="inlineStr">
        <is>
          <t>Personalaufwand</t>
        </is>
      </c>
      <c r="E2956" s="7" t="n">
        <v>1387.56</v>
      </c>
      <c r="F2956" s="7" t="n">
        <v>16650.69</v>
      </c>
    </row>
    <row r="2957" ht="21" customHeight="1">
      <c r="A2957" s="7" t="n">
        <v>2031</v>
      </c>
      <c r="B2957" s="7" t="n">
        <v>9</v>
      </c>
      <c r="C2957" s="10" t="inlineStr">
        <is>
          <t>Fremdl. Persona</t>
        </is>
      </c>
      <c r="D2957" s="10" t="inlineStr">
        <is>
          <t>Vorleistungen</t>
        </is>
      </c>
      <c r="E2957" s="7" t="n">
        <v>79.40000000000001</v>
      </c>
      <c r="F2957" s="7" t="n">
        <v>952.79</v>
      </c>
    </row>
    <row r="2958" ht="21" customHeight="1">
      <c r="A2958" s="7" t="n">
        <v>2029</v>
      </c>
      <c r="B2958" s="7" t="n">
        <v>10</v>
      </c>
      <c r="C2958" s="10" t="inlineStr">
        <is>
          <t>Sonderz. Prämie</t>
        </is>
      </c>
      <c r="D2958" s="10" t="inlineStr">
        <is>
          <t>Personalaufwand</t>
        </is>
      </c>
      <c r="E2958" s="7" t="n">
        <v>23292.21</v>
      </c>
      <c r="F2958" s="7" t="n">
        <v>279506.56</v>
      </c>
    </row>
    <row r="2959" ht="21" customHeight="1">
      <c r="A2959" s="7" t="n">
        <v>2030</v>
      </c>
      <c r="B2959" s="7" t="n">
        <v>10</v>
      </c>
      <c r="C2959" s="10" t="inlineStr">
        <is>
          <t>sonst Personalk</t>
        </is>
      </c>
      <c r="D2959" s="10" t="inlineStr">
        <is>
          <t>Personalaufwand</t>
        </is>
      </c>
      <c r="E2959" s="7" t="n">
        <v>15558.93</v>
      </c>
      <c r="F2959" s="7" t="n">
        <v>186707.19</v>
      </c>
    </row>
    <row r="2960" ht="21" customHeight="1">
      <c r="A2960" s="7" t="n">
        <v>2031</v>
      </c>
      <c r="B2960" s="7" t="n">
        <v>10</v>
      </c>
      <c r="C2960" s="10" t="inlineStr">
        <is>
          <t>Ankauf Rohstoff</t>
        </is>
      </c>
      <c r="D2960" s="10" t="inlineStr">
        <is>
          <t>Vorleistungen</t>
        </is>
      </c>
      <c r="E2960" s="7" t="n">
        <v>1489.65</v>
      </c>
      <c r="F2960" s="7" t="n">
        <v>17875.76</v>
      </c>
    </row>
    <row r="2961" ht="21" customHeight="1">
      <c r="A2961" s="7" t="n">
        <v>2029</v>
      </c>
      <c r="B2961" s="7" t="n">
        <v>10</v>
      </c>
      <c r="C2961" s="10" t="inlineStr">
        <is>
          <t>Weiterber. Frem</t>
        </is>
      </c>
      <c r="D2961" s="10" t="inlineStr">
        <is>
          <t>Vorleistungen</t>
        </is>
      </c>
      <c r="E2961" s="7" t="n">
        <v>0</v>
      </c>
      <c r="F2961" s="7" t="n">
        <v>0</v>
      </c>
    </row>
    <row r="2962" ht="21" customHeight="1">
      <c r="A2962" s="7" t="n">
        <v>2031</v>
      </c>
      <c r="B2962" s="7" t="n">
        <v>10</v>
      </c>
      <c r="C2962" s="10" t="inlineStr">
        <is>
          <t>Sonstige Steuer</t>
        </is>
      </c>
      <c r="D2962" s="10" t="inlineStr">
        <is>
          <t>Fuhrparkkosten</t>
        </is>
      </c>
      <c r="E2962" s="7" t="n">
        <v>1890.32</v>
      </c>
      <c r="F2962" s="7" t="n">
        <v>22683.81</v>
      </c>
    </row>
    <row r="2963" ht="21" customHeight="1">
      <c r="A2963" s="7" t="n">
        <v>2030</v>
      </c>
      <c r="B2963" s="7" t="n">
        <v>10</v>
      </c>
      <c r="C2963" s="10" t="inlineStr">
        <is>
          <t>Bestandsveraend</t>
        </is>
      </c>
      <c r="D2963" s="10" t="inlineStr">
        <is>
          <t>Gesamtleistung</t>
        </is>
      </c>
      <c r="E2963" s="7" t="n">
        <v>0</v>
      </c>
      <c r="F2963" s="7" t="n">
        <v>0</v>
      </c>
    </row>
    <row r="2964" ht="21" customHeight="1">
      <c r="A2964" s="7" t="n">
        <v>2031</v>
      </c>
      <c r="B2964" s="7" t="n">
        <v>10</v>
      </c>
      <c r="C2964" s="10" t="inlineStr">
        <is>
          <t>Erl. so. DL Dt.</t>
        </is>
      </c>
      <c r="D2964" s="10" t="inlineStr">
        <is>
          <t>Gesamtleistung</t>
        </is>
      </c>
      <c r="E2964" s="7" t="n">
        <v>2428139.11</v>
      </c>
      <c r="F2964" s="7" t="n">
        <v>29137669.32</v>
      </c>
    </row>
    <row r="2965" ht="21" customHeight="1">
      <c r="A2965" s="7" t="n">
        <v>2030</v>
      </c>
      <c r="B2965" s="7" t="n">
        <v>10</v>
      </c>
      <c r="C2965" s="10" t="inlineStr">
        <is>
          <t>Sonstige Steuer</t>
        </is>
      </c>
      <c r="D2965" s="10" t="inlineStr">
        <is>
          <t>Fuhrparkkosten</t>
        </is>
      </c>
      <c r="E2965" s="7" t="n">
        <v>1783.32</v>
      </c>
      <c r="F2965" s="7" t="n">
        <v>21399.82</v>
      </c>
    </row>
    <row r="2966" ht="21" customHeight="1">
      <c r="A2966" s="7" t="n">
        <v>2030</v>
      </c>
      <c r="B2966" s="7" t="n">
        <v>10</v>
      </c>
      <c r="C2966" s="10" t="inlineStr">
        <is>
          <t>Sonderz. Prämie</t>
        </is>
      </c>
      <c r="D2966" s="10" t="inlineStr">
        <is>
          <t>Personalaufwand</t>
        </is>
      </c>
      <c r="E2966" s="7" t="n">
        <v>25004.1</v>
      </c>
      <c r="F2966" s="7" t="n">
        <v>300049.14</v>
      </c>
    </row>
    <row r="2967" ht="21" customHeight="1">
      <c r="A2967" s="7" t="n">
        <v>2029</v>
      </c>
      <c r="B2967" s="7" t="n">
        <v>10</v>
      </c>
      <c r="C2967" s="10" t="inlineStr">
        <is>
          <t>Soziale Abgaben</t>
        </is>
      </c>
      <c r="D2967" s="10" t="inlineStr">
        <is>
          <t>Personalaufwand</t>
        </is>
      </c>
      <c r="E2967" s="7" t="n">
        <v>94488.11</v>
      </c>
      <c r="F2967" s="7" t="n">
        <v>1133857.35</v>
      </c>
    </row>
    <row r="2968" ht="21" customHeight="1">
      <c r="A2968" s="7" t="n">
        <v>2031</v>
      </c>
      <c r="B2968" s="7" t="n">
        <v>10</v>
      </c>
      <c r="C2968" s="10" t="inlineStr">
        <is>
          <t>So. betr. Aufwa</t>
        </is>
      </c>
      <c r="D2968" s="10" t="inlineStr">
        <is>
          <t>Verwaltungskosten</t>
        </is>
      </c>
      <c r="E2968" s="7" t="n">
        <v>735.47</v>
      </c>
      <c r="F2968" s="7" t="n">
        <v>8825.639999999999</v>
      </c>
    </row>
    <row r="2969" ht="21" customHeight="1">
      <c r="A2969" s="7" t="n">
        <v>2027</v>
      </c>
      <c r="B2969" s="7" t="n">
        <v>10</v>
      </c>
      <c r="C2969" s="10" t="inlineStr">
        <is>
          <t>Lohn + Gehalt</t>
        </is>
      </c>
      <c r="D2969" s="10" t="inlineStr">
        <is>
          <t>Personalaufwand</t>
        </is>
      </c>
      <c r="E2969" s="7" t="n">
        <v>287946.36</v>
      </c>
      <c r="F2969" s="7" t="n">
        <v>3455356.33</v>
      </c>
    </row>
    <row r="2970" ht="21" customHeight="1">
      <c r="A2970" s="7" t="n">
        <v>2027</v>
      </c>
      <c r="B2970" s="7" t="n">
        <v>10</v>
      </c>
      <c r="C2970" s="10" t="inlineStr">
        <is>
          <t>So. betr. Aufwa</t>
        </is>
      </c>
      <c r="D2970" s="10" t="inlineStr">
        <is>
          <t>Verwaltungskosten</t>
        </is>
      </c>
      <c r="E2970" s="7" t="n">
        <v>653.45</v>
      </c>
      <c r="F2970" s="7" t="n">
        <v>7841.45</v>
      </c>
    </row>
    <row r="2971" ht="21" customHeight="1">
      <c r="A2971" s="7" t="n">
        <v>2028</v>
      </c>
      <c r="B2971" s="7" t="n">
        <v>10</v>
      </c>
      <c r="C2971" s="10" t="inlineStr">
        <is>
          <t>Ueb Lohn-Gehalt</t>
        </is>
      </c>
      <c r="D2971" s="10" t="inlineStr">
        <is>
          <t>Personalaufwand</t>
        </is>
      </c>
      <c r="E2971" s="7" t="n">
        <v>34332.83</v>
      </c>
      <c r="F2971" s="7" t="n">
        <v>411993.96</v>
      </c>
    </row>
    <row r="2972" ht="21" customHeight="1">
      <c r="A2972" s="7" t="n">
        <v>2027</v>
      </c>
      <c r="B2972" s="7" t="n">
        <v>10</v>
      </c>
      <c r="C2972" s="10" t="inlineStr">
        <is>
          <t>Verwaltungskost</t>
        </is>
      </c>
      <c r="D2972" s="10" t="inlineStr">
        <is>
          <t>Verwaltungskosten</t>
        </is>
      </c>
      <c r="E2972" s="7" t="n">
        <v>6691.47</v>
      </c>
      <c r="F2972" s="7" t="n">
        <v>80297.62</v>
      </c>
    </row>
    <row r="2973" ht="21" customHeight="1">
      <c r="A2973" s="7" t="n">
        <v>2030</v>
      </c>
      <c r="B2973" s="7" t="n">
        <v>10</v>
      </c>
      <c r="C2973" s="10" t="inlineStr">
        <is>
          <t>Aufw. Heizmat.</t>
        </is>
      </c>
      <c r="D2973" s="10" t="inlineStr">
        <is>
          <t>Vorleistungen</t>
        </is>
      </c>
      <c r="E2973" s="7" t="n">
        <v>230.4</v>
      </c>
      <c r="F2973" s="7" t="n">
        <v>2764.82</v>
      </c>
    </row>
    <row r="2974" ht="21" customHeight="1">
      <c r="A2974" s="7" t="n">
        <v>2027</v>
      </c>
      <c r="B2974" s="7" t="n">
        <v>10</v>
      </c>
      <c r="C2974" s="10" t="inlineStr">
        <is>
          <t>Versicherungskosten</t>
        </is>
      </c>
      <c r="D2974" s="10" t="inlineStr">
        <is>
          <t>Verwaltungskosten</t>
        </is>
      </c>
      <c r="E2974" s="7" t="n">
        <v>10789.61</v>
      </c>
      <c r="F2974" s="7" t="n">
        <v>129475.37</v>
      </c>
    </row>
    <row r="2975" ht="21" customHeight="1">
      <c r="A2975" s="7" t="n">
        <v>2031</v>
      </c>
      <c r="B2975" s="7" t="n">
        <v>10</v>
      </c>
      <c r="C2975" s="10" t="inlineStr">
        <is>
          <t>Instandh. BGA</t>
        </is>
      </c>
      <c r="D2975" s="10" t="inlineStr">
        <is>
          <t>Instandh. Betriebsausstattung</t>
        </is>
      </c>
      <c r="E2975" s="7" t="n">
        <v>5124.63</v>
      </c>
      <c r="F2975" s="7" t="n">
        <v>61495.58</v>
      </c>
    </row>
    <row r="2976" ht="21" customHeight="1">
      <c r="A2976" s="7" t="n">
        <v>2029</v>
      </c>
      <c r="B2976" s="7" t="n">
        <v>10</v>
      </c>
      <c r="C2976" s="10" t="inlineStr">
        <is>
          <t>Treibstoffe, Oe</t>
        </is>
      </c>
      <c r="D2976" s="10" t="inlineStr">
        <is>
          <t>Fuhrparkkosten</t>
        </is>
      </c>
      <c r="E2976" s="7" t="n">
        <v>32242.68</v>
      </c>
      <c r="F2976" s="7" t="n">
        <v>386912.19</v>
      </c>
    </row>
    <row r="2977" ht="21" customHeight="1">
      <c r="A2977" s="7" t="n">
        <v>2027</v>
      </c>
      <c r="B2977" s="7" t="n">
        <v>10</v>
      </c>
      <c r="C2977" s="10" t="inlineStr">
        <is>
          <t>Instandh. BGA</t>
        </is>
      </c>
      <c r="D2977" s="10" t="inlineStr">
        <is>
          <t>Instandh. Betriebsausstattung</t>
        </is>
      </c>
      <c r="E2977" s="7" t="n">
        <v>4216.05</v>
      </c>
      <c r="F2977" s="7" t="n">
        <v>50592.58</v>
      </c>
    </row>
    <row r="2978" ht="21" customHeight="1">
      <c r="A2978" s="7" t="n">
        <v>2029</v>
      </c>
      <c r="B2978" s="7" t="n">
        <v>10</v>
      </c>
      <c r="C2978" s="10" t="inlineStr">
        <is>
          <t>Ueb Lohn-Gehalt</t>
        </is>
      </c>
      <c r="D2978" s="10" t="inlineStr">
        <is>
          <t>Personalaufwand</t>
        </is>
      </c>
      <c r="E2978" s="7" t="n">
        <v>37989.9</v>
      </c>
      <c r="F2978" s="7" t="n">
        <v>455878.84</v>
      </c>
    </row>
    <row r="2979" ht="21" customHeight="1">
      <c r="A2979" s="7" t="n">
        <v>2031</v>
      </c>
      <c r="B2979" s="7" t="n">
        <v>10</v>
      </c>
      <c r="C2979" s="10" t="inlineStr">
        <is>
          <t>Erl. Waren Dt.</t>
        </is>
      </c>
      <c r="D2979" s="10" t="inlineStr">
        <is>
          <t>Gesamtleistung</t>
        </is>
      </c>
      <c r="E2979" s="7" t="n">
        <v>50865.59</v>
      </c>
      <c r="F2979" s="7" t="n">
        <v>610387.05</v>
      </c>
    </row>
    <row r="2980" ht="21" customHeight="1">
      <c r="A2980" s="7" t="n">
        <v>2027</v>
      </c>
      <c r="B2980" s="7" t="n">
        <v>10</v>
      </c>
      <c r="C2980" s="10" t="inlineStr">
        <is>
          <t>Fremdl. Persona</t>
        </is>
      </c>
      <c r="D2980" s="10" t="inlineStr">
        <is>
          <t>Vorleistungen</t>
        </is>
      </c>
      <c r="E2980" s="7" t="n">
        <v>61.31</v>
      </c>
      <c r="F2980" s="7" t="n">
        <v>735.66</v>
      </c>
    </row>
    <row r="2981" ht="21" customHeight="1">
      <c r="A2981" s="7" t="n">
        <v>2027</v>
      </c>
      <c r="B2981" s="7" t="n">
        <v>10</v>
      </c>
      <c r="C2981" s="10" t="inlineStr">
        <is>
          <t>Aufwand Umlage</t>
        </is>
      </c>
      <c r="D2981" s="10" t="inlineStr">
        <is>
          <t>Verwaltungskosten</t>
        </is>
      </c>
      <c r="E2981" s="7" t="n">
        <v>3383.24</v>
      </c>
      <c r="F2981" s="7" t="n">
        <v>40598.91</v>
      </c>
    </row>
    <row r="2982" ht="21" customHeight="1">
      <c r="A2982" s="7" t="n">
        <v>2031</v>
      </c>
      <c r="B2982" s="7" t="n">
        <v>10</v>
      </c>
      <c r="C2982" s="10" t="inlineStr">
        <is>
          <t>Ueb Lohn-Gehalt</t>
        </is>
      </c>
      <c r="D2982" s="10" t="inlineStr">
        <is>
          <t>Personalaufwand</t>
        </is>
      </c>
      <c r="E2982" s="7" t="n">
        <v>45675.82</v>
      </c>
      <c r="F2982" s="7" t="n">
        <v>548109.79</v>
      </c>
    </row>
    <row r="2983" ht="21" customHeight="1">
      <c r="A2983" s="7" t="n">
        <v>2027</v>
      </c>
      <c r="B2983" s="7" t="n">
        <v>10</v>
      </c>
      <c r="C2983" s="10" t="inlineStr">
        <is>
          <t>Rechts- u. Beratungs</t>
        </is>
      </c>
      <c r="D2983" s="10" t="inlineStr">
        <is>
          <t>Verwaltungskosten</t>
        </is>
      </c>
      <c r="E2983" s="7" t="n">
        <v>25635.99</v>
      </c>
      <c r="F2983" s="7" t="n">
        <v>307631.89</v>
      </c>
    </row>
    <row r="2984" ht="21" customHeight="1">
      <c r="A2984" s="7" t="n">
        <v>2028</v>
      </c>
      <c r="B2984" s="7" t="n">
        <v>10</v>
      </c>
      <c r="C2984" s="10" t="inlineStr">
        <is>
          <t>Verwaltungskost</t>
        </is>
      </c>
      <c r="D2984" s="10" t="inlineStr">
        <is>
          <t>Verwaltungskosten</t>
        </is>
      </c>
      <c r="E2984" s="7" t="n">
        <v>6892.21</v>
      </c>
      <c r="F2984" s="7" t="n">
        <v>82706.56</v>
      </c>
    </row>
    <row r="2985" ht="21" customHeight="1">
      <c r="A2985" s="7" t="n">
        <v>2028</v>
      </c>
      <c r="B2985" s="7" t="n">
        <v>10</v>
      </c>
      <c r="C2985" s="10" t="inlineStr">
        <is>
          <t>Ueb. bezog.Leis</t>
        </is>
      </c>
      <c r="D2985" s="10" t="inlineStr">
        <is>
          <t>Vorleistungen</t>
        </is>
      </c>
      <c r="E2985" s="7" t="n">
        <v>1342498.67</v>
      </c>
      <c r="F2985" s="7" t="n">
        <v>16109983.99</v>
      </c>
    </row>
    <row r="2986" ht="21" customHeight="1">
      <c r="A2986" s="7" t="n">
        <v>2028</v>
      </c>
      <c r="B2986" s="7" t="n">
        <v>10</v>
      </c>
      <c r="C2986" s="10" t="inlineStr">
        <is>
          <t>Ankauf Rohstoff</t>
        </is>
      </c>
      <c r="D2986" s="10" t="inlineStr">
        <is>
          <t>Vorleistungen</t>
        </is>
      </c>
      <c r="E2986" s="7" t="n">
        <v>1457.38</v>
      </c>
      <c r="F2986" s="7" t="n">
        <v>17488.61</v>
      </c>
    </row>
    <row r="2987" ht="21" customHeight="1">
      <c r="A2987" s="7" t="n">
        <v>2029</v>
      </c>
      <c r="B2987" s="7" t="n">
        <v>10</v>
      </c>
      <c r="C2987" s="10" t="inlineStr">
        <is>
          <t>Erloesschmaeler</t>
        </is>
      </c>
      <c r="D2987" s="10" t="inlineStr">
        <is>
          <t>Gesamtleistung</t>
        </is>
      </c>
      <c r="E2987" s="7" t="n">
        <v>-9048.01</v>
      </c>
      <c r="F2987" s="7" t="n">
        <v>-108576.08</v>
      </c>
    </row>
    <row r="2988" ht="21" customHeight="1">
      <c r="A2988" s="7" t="n">
        <v>2029</v>
      </c>
      <c r="B2988" s="7" t="n">
        <v>10</v>
      </c>
      <c r="C2988" s="10" t="inlineStr">
        <is>
          <t>Leasing PKW</t>
        </is>
      </c>
      <c r="D2988" s="10" t="inlineStr">
        <is>
          <t>Fuhrparkkosten</t>
        </is>
      </c>
      <c r="E2988" s="7" t="n">
        <v>24652.26</v>
      </c>
      <c r="F2988" s="7" t="n">
        <v>295827.14</v>
      </c>
    </row>
    <row r="2989" ht="21" customHeight="1">
      <c r="A2989" s="7" t="n">
        <v>2029</v>
      </c>
      <c r="B2989" s="7" t="n">
        <v>10</v>
      </c>
      <c r="C2989" s="10" t="inlineStr">
        <is>
          <t>Fremdl. Persona</t>
        </is>
      </c>
      <c r="D2989" s="10" t="inlineStr">
        <is>
          <t>Vorleistungen</t>
        </is>
      </c>
      <c r="E2989" s="7" t="n">
        <v>73.3</v>
      </c>
      <c r="F2989" s="7" t="n">
        <v>879.54</v>
      </c>
    </row>
    <row r="2990" ht="21" customHeight="1">
      <c r="A2990" s="7" t="n">
        <v>2028</v>
      </c>
      <c r="B2990" s="7" t="n">
        <v>10</v>
      </c>
      <c r="C2990" s="10" t="inlineStr">
        <is>
          <t>Aufwand Umlage</t>
        </is>
      </c>
      <c r="D2990" s="10" t="inlineStr">
        <is>
          <t>Verwaltungskosten</t>
        </is>
      </c>
      <c r="E2990" s="7" t="n">
        <v>3484.74</v>
      </c>
      <c r="F2990" s="7" t="n">
        <v>41816.88</v>
      </c>
    </row>
    <row r="2991" ht="21" customHeight="1">
      <c r="A2991" s="7" t="n">
        <v>2027</v>
      </c>
      <c r="B2991" s="7" t="n">
        <v>10</v>
      </c>
      <c r="C2991" s="10" t="inlineStr">
        <is>
          <t>Ankauf Rohstoff</t>
        </is>
      </c>
      <c r="D2991" s="10" t="inlineStr">
        <is>
          <t>Vorleistungen</t>
        </is>
      </c>
      <c r="E2991" s="7" t="n">
        <v>1408.24</v>
      </c>
      <c r="F2991" s="7" t="n">
        <v>16898.9</v>
      </c>
    </row>
    <row r="2992" ht="21" customHeight="1">
      <c r="A2992" s="7" t="n">
        <v>2030</v>
      </c>
      <c r="B2992" s="7" t="n">
        <v>10</v>
      </c>
      <c r="C2992" s="10" t="inlineStr">
        <is>
          <t>Erloesschmaeler</t>
        </is>
      </c>
      <c r="D2992" s="10" t="inlineStr">
        <is>
          <t>Gesamtleistung</t>
        </is>
      </c>
      <c r="E2992" s="7" t="n">
        <v>-9690.75</v>
      </c>
      <c r="F2992" s="7" t="n">
        <v>-116289.05</v>
      </c>
    </row>
    <row r="2993" ht="21" customHeight="1">
      <c r="A2993" s="7" t="n">
        <v>2029</v>
      </c>
      <c r="B2993" s="7" t="n">
        <v>10</v>
      </c>
      <c r="C2993" s="10" t="inlineStr">
        <is>
          <t>Sonst Fuhrparkkosten</t>
        </is>
      </c>
      <c r="D2993" s="10" t="inlineStr">
        <is>
          <t>Fuhrparkkosten</t>
        </is>
      </c>
      <c r="E2993" s="7" t="n">
        <v>5605.91</v>
      </c>
      <c r="F2993" s="7" t="n">
        <v>67270.89</v>
      </c>
    </row>
    <row r="2994" ht="21" customHeight="1">
      <c r="A2994" s="7" t="n">
        <v>2027</v>
      </c>
      <c r="B2994" s="7" t="n">
        <v>10</v>
      </c>
      <c r="C2994" s="10" t="inlineStr">
        <is>
          <t>Soziale Abgaben</t>
        </is>
      </c>
      <c r="D2994" s="10" t="inlineStr">
        <is>
          <t>Personalaufwand</t>
        </is>
      </c>
      <c r="E2994" s="7" t="n">
        <v>75903.69</v>
      </c>
      <c r="F2994" s="7" t="n">
        <v>910844.28</v>
      </c>
    </row>
    <row r="2995" ht="21" customHeight="1">
      <c r="A2995" s="7" t="n">
        <v>2031</v>
      </c>
      <c r="B2995" s="7" t="n">
        <v>10</v>
      </c>
      <c r="C2995" s="10" t="inlineStr">
        <is>
          <t>Erloesschmaeler</t>
        </is>
      </c>
      <c r="D2995" s="10" t="inlineStr">
        <is>
          <t>Gesamtleistung</t>
        </is>
      </c>
      <c r="E2995" s="7" t="n">
        <v>-10347.15</v>
      </c>
      <c r="F2995" s="7" t="n">
        <v>-124165.81</v>
      </c>
    </row>
    <row r="2996" ht="21" customHeight="1">
      <c r="A2996" s="7" t="n">
        <v>2029</v>
      </c>
      <c r="B2996" s="7" t="n">
        <v>10</v>
      </c>
      <c r="C2996" s="10" t="inlineStr">
        <is>
          <t>Ertr. weiterber</t>
        </is>
      </c>
      <c r="D2996" s="10" t="inlineStr">
        <is>
          <t>Gesamtleistung</t>
        </is>
      </c>
      <c r="E2996" s="7" t="n">
        <v>1036.39</v>
      </c>
      <c r="F2996" s="7" t="n">
        <v>12436.69</v>
      </c>
    </row>
    <row r="2997" ht="21" customHeight="1">
      <c r="A2997" s="7" t="n">
        <v>2027</v>
      </c>
      <c r="B2997" s="7" t="n">
        <v>10</v>
      </c>
      <c r="C2997" s="10" t="inlineStr">
        <is>
          <t>Sonderz. Prämie</t>
        </is>
      </c>
      <c r="D2997" s="10" t="inlineStr">
        <is>
          <t>Personalaufwand</t>
        </is>
      </c>
      <c r="E2997" s="7" t="n">
        <v>19636.08</v>
      </c>
      <c r="F2997" s="7" t="n">
        <v>235633</v>
      </c>
    </row>
    <row r="2998" ht="21" customHeight="1">
      <c r="A2998" s="7" t="n">
        <v>2027</v>
      </c>
      <c r="B2998" s="7" t="n">
        <v>10</v>
      </c>
      <c r="C2998" s="10" t="inlineStr">
        <is>
          <t>Miete Behälter</t>
        </is>
      </c>
      <c r="D2998" s="10" t="inlineStr">
        <is>
          <t>Instandh. Betriebsausstattung</t>
        </is>
      </c>
      <c r="E2998" s="7" t="n">
        <v>22.94</v>
      </c>
      <c r="F2998" s="7" t="n">
        <v>275.23</v>
      </c>
    </row>
    <row r="2999" ht="21" customHeight="1">
      <c r="A2999" s="7" t="n">
        <v>2031</v>
      </c>
      <c r="B2999" s="7" t="n">
        <v>10</v>
      </c>
      <c r="C2999" s="10" t="inlineStr">
        <is>
          <t>Versicherungskosten</t>
        </is>
      </c>
      <c r="D2999" s="10" t="inlineStr">
        <is>
          <t>Verwaltungskosten</t>
        </is>
      </c>
      <c r="E2999" s="7" t="n">
        <v>12143.81</v>
      </c>
      <c r="F2999" s="7" t="n">
        <v>145725.66</v>
      </c>
    </row>
    <row r="3000" ht="21" customHeight="1">
      <c r="A3000" s="7" t="n">
        <v>2029</v>
      </c>
      <c r="B3000" s="7" t="n">
        <v>10</v>
      </c>
      <c r="C3000" s="10" t="inlineStr">
        <is>
          <t>Rechts- u. Beratungs</t>
        </is>
      </c>
      <c r="D3000" s="10" t="inlineStr">
        <is>
          <t>Verwaltungskosten</t>
        </is>
      </c>
      <c r="E3000" s="7" t="n">
        <v>27197.22</v>
      </c>
      <c r="F3000" s="7" t="n">
        <v>326366.65</v>
      </c>
    </row>
    <row r="3001" ht="21" customHeight="1">
      <c r="A3001" s="7" t="n">
        <v>2028</v>
      </c>
      <c r="B3001" s="7" t="n">
        <v>10</v>
      </c>
      <c r="C3001" s="10" t="inlineStr">
        <is>
          <t>Instandh.Fuhrp</t>
        </is>
      </c>
      <c r="D3001" s="10" t="inlineStr">
        <is>
          <t>Fuhrparkkosten</t>
        </is>
      </c>
      <c r="E3001" s="7" t="n">
        <v>32180.39</v>
      </c>
      <c r="F3001" s="7" t="n">
        <v>386164.66</v>
      </c>
    </row>
    <row r="3002" ht="21" customHeight="1">
      <c r="A3002" s="7" t="n">
        <v>2030</v>
      </c>
      <c r="B3002" s="7" t="n">
        <v>10</v>
      </c>
      <c r="C3002" s="10" t="inlineStr">
        <is>
          <t>Miete Grdst/Gebäud</t>
        </is>
      </c>
      <c r="D3002" s="10" t="inlineStr">
        <is>
          <t>Raumkosten</t>
        </is>
      </c>
      <c r="E3002" s="7" t="n">
        <v>18603.32</v>
      </c>
      <c r="F3002" s="7" t="n">
        <v>223239.88</v>
      </c>
    </row>
    <row r="3003" ht="21" customHeight="1">
      <c r="A3003" s="7" t="n">
        <v>2027</v>
      </c>
      <c r="B3003" s="7" t="n">
        <v>10</v>
      </c>
      <c r="C3003" s="10" t="inlineStr">
        <is>
          <t>Ueb. bezog.Leis</t>
        </is>
      </c>
      <c r="D3003" s="10" t="inlineStr">
        <is>
          <t>Vorleistungen</t>
        </is>
      </c>
      <c r="E3003" s="7" t="n">
        <v>1319862.34</v>
      </c>
      <c r="F3003" s="7" t="n">
        <v>15838348.13</v>
      </c>
    </row>
    <row r="3004" ht="21" customHeight="1">
      <c r="A3004" s="7" t="n">
        <v>2029</v>
      </c>
      <c r="B3004" s="7" t="n">
        <v>10</v>
      </c>
      <c r="C3004" s="10" t="inlineStr">
        <is>
          <t>Erl. Waren Dt.</t>
        </is>
      </c>
      <c r="D3004" s="10" t="inlineStr">
        <is>
          <t>Gesamtleistung</t>
        </is>
      </c>
      <c r="E3004" s="7" t="n">
        <v>47334.08</v>
      </c>
      <c r="F3004" s="7" t="n">
        <v>568008.92</v>
      </c>
    </row>
    <row r="3005" ht="21" customHeight="1">
      <c r="A3005" s="7" t="n">
        <v>2031</v>
      </c>
      <c r="B3005" s="7" t="n">
        <v>10</v>
      </c>
      <c r="C3005" s="10" t="inlineStr">
        <is>
          <t>Treibstoffe, Oe</t>
        </is>
      </c>
      <c r="D3005" s="10" t="inlineStr">
        <is>
          <t>Fuhrparkkosten</t>
        </is>
      </c>
      <c r="E3005" s="7" t="n">
        <v>36227.88</v>
      </c>
      <c r="F3005" s="7" t="n">
        <v>434734.54</v>
      </c>
    </row>
    <row r="3006" ht="21" customHeight="1">
      <c r="A3006" s="7" t="n">
        <v>2029</v>
      </c>
      <c r="B3006" s="7" t="n">
        <v>10</v>
      </c>
      <c r="C3006" s="10" t="inlineStr">
        <is>
          <t>Miete Behälter</t>
        </is>
      </c>
      <c r="D3006" s="10" t="inlineStr">
        <is>
          <t>Instandh. Betriebsausstattung</t>
        </is>
      </c>
      <c r="E3006" s="7" t="n">
        <v>25.29</v>
      </c>
      <c r="F3006" s="7" t="n">
        <v>303.45</v>
      </c>
    </row>
    <row r="3007" ht="21" customHeight="1">
      <c r="A3007" s="7" t="n">
        <v>2030</v>
      </c>
      <c r="B3007" s="7" t="n">
        <v>10</v>
      </c>
      <c r="C3007" s="10" t="inlineStr">
        <is>
          <t>Instandh. BGA</t>
        </is>
      </c>
      <c r="D3007" s="10" t="inlineStr">
        <is>
          <t>Instandh. Betriebsausstattung</t>
        </is>
      </c>
      <c r="E3007" s="7" t="n">
        <v>4880.6</v>
      </c>
      <c r="F3007" s="7" t="n">
        <v>58567.23</v>
      </c>
    </row>
    <row r="3008" ht="21" customHeight="1">
      <c r="A3008" s="7" t="n">
        <v>2030</v>
      </c>
      <c r="B3008" s="7" t="n">
        <v>10</v>
      </c>
      <c r="C3008" s="10" t="inlineStr">
        <is>
          <t>Lohn + Gehalt</t>
        </is>
      </c>
      <c r="D3008" s="10" t="inlineStr">
        <is>
          <t>Personalaufwand</t>
        </is>
      </c>
      <c r="E3008" s="7" t="n">
        <v>392030.8</v>
      </c>
      <c r="F3008" s="7" t="n">
        <v>4704369.59</v>
      </c>
    </row>
    <row r="3009" ht="21" customHeight="1">
      <c r="A3009" s="7" t="n">
        <v>2027</v>
      </c>
      <c r="B3009" s="7" t="n">
        <v>10</v>
      </c>
      <c r="C3009" s="10" t="inlineStr">
        <is>
          <t>Bestandsveraend</t>
        </is>
      </c>
      <c r="D3009" s="10" t="inlineStr">
        <is>
          <t>Gesamtleistung</t>
        </is>
      </c>
      <c r="E3009" s="7" t="n">
        <v>0</v>
      </c>
      <c r="F3009" s="7" t="n">
        <v>0</v>
      </c>
    </row>
    <row r="3010" ht="21" customHeight="1">
      <c r="A3010" s="7" t="n">
        <v>2027</v>
      </c>
      <c r="B3010" s="7" t="n">
        <v>10</v>
      </c>
      <c r="C3010" s="10" t="inlineStr">
        <is>
          <t>Aufw. so. Hilfs</t>
        </is>
      </c>
      <c r="D3010" s="10" t="inlineStr">
        <is>
          <t>Vorleistungen</t>
        </is>
      </c>
      <c r="E3010" s="7" t="n">
        <v>-16362.04</v>
      </c>
      <c r="F3010" s="7" t="n">
        <v>-196344.47</v>
      </c>
    </row>
    <row r="3011" ht="21" customHeight="1">
      <c r="A3011" s="7" t="n">
        <v>2027</v>
      </c>
      <c r="B3011" s="7" t="n">
        <v>10</v>
      </c>
      <c r="C3011" s="10" t="inlineStr">
        <is>
          <t>Aufw. f. Alters</t>
        </is>
      </c>
      <c r="D3011" s="10" t="inlineStr">
        <is>
          <t>Personalaufwand</t>
        </is>
      </c>
      <c r="E3011" s="7" t="n">
        <v>1234.77</v>
      </c>
      <c r="F3011" s="7" t="n">
        <v>14817.29</v>
      </c>
    </row>
    <row r="3012" ht="21" customHeight="1">
      <c r="A3012" s="7" t="n">
        <v>2027</v>
      </c>
      <c r="B3012" s="7" t="n">
        <v>10</v>
      </c>
      <c r="C3012" s="10" t="inlineStr">
        <is>
          <t>Vertriebskosten</t>
        </is>
      </c>
      <c r="D3012" s="10" t="inlineStr">
        <is>
          <t>Vertriebskosten</t>
        </is>
      </c>
      <c r="E3012" s="7" t="n">
        <v>10833.33</v>
      </c>
      <c r="F3012" s="7" t="n">
        <v>130000</v>
      </c>
    </row>
    <row r="3013" ht="21" customHeight="1">
      <c r="A3013" s="7" t="n">
        <v>2027</v>
      </c>
      <c r="B3013" s="7" t="n">
        <v>10</v>
      </c>
      <c r="C3013" s="10" t="inlineStr">
        <is>
          <t>Ertrag KFZ-Nutz</t>
        </is>
      </c>
      <c r="D3013" s="10" t="inlineStr">
        <is>
          <t>Gesamtleistung</t>
        </is>
      </c>
      <c r="E3013" s="7" t="n">
        <v>8029.69</v>
      </c>
      <c r="F3013" s="7" t="n">
        <v>96356.3</v>
      </c>
    </row>
    <row r="3014" ht="21" customHeight="1">
      <c r="A3014" s="7" t="n">
        <v>2031</v>
      </c>
      <c r="B3014" s="7" t="n">
        <v>10</v>
      </c>
      <c r="C3014" s="10" t="inlineStr">
        <is>
          <t>Lohn + Gehalt</t>
        </is>
      </c>
      <c r="D3014" s="10" t="inlineStr">
        <is>
          <t>Personalaufwand</t>
        </is>
      </c>
      <c r="E3014" s="7" t="n">
        <v>428257.62</v>
      </c>
      <c r="F3014" s="7" t="n">
        <v>5139091.39</v>
      </c>
    </row>
    <row r="3015" ht="21" customHeight="1">
      <c r="A3015" s="7" t="n">
        <v>2031</v>
      </c>
      <c r="B3015" s="7" t="n">
        <v>10</v>
      </c>
      <c r="C3015" s="10" t="inlineStr">
        <is>
          <t>Soziale Abgaben</t>
        </is>
      </c>
      <c r="D3015" s="10" t="inlineStr">
        <is>
          <t>Personalaufwand</t>
        </is>
      </c>
      <c r="E3015" s="7" t="n">
        <v>113909.76</v>
      </c>
      <c r="F3015" s="7" t="n">
        <v>1366917.09</v>
      </c>
    </row>
    <row r="3016" ht="21" customHeight="1">
      <c r="A3016" s="7" t="n">
        <v>2031</v>
      </c>
      <c r="B3016" s="7" t="n">
        <v>10</v>
      </c>
      <c r="C3016" s="10" t="inlineStr">
        <is>
          <t>Sonst Fuhrparkkosten</t>
        </is>
      </c>
      <c r="D3016" s="10" t="inlineStr">
        <is>
          <t>Fuhrparkkosten</t>
        </is>
      </c>
      <c r="E3016" s="7" t="n">
        <v>6298.8</v>
      </c>
      <c r="F3016" s="7" t="n">
        <v>75585.56</v>
      </c>
    </row>
    <row r="3017" ht="21" customHeight="1">
      <c r="A3017" s="7" t="n">
        <v>2030</v>
      </c>
      <c r="B3017" s="7" t="n">
        <v>10</v>
      </c>
      <c r="C3017" s="10" t="inlineStr">
        <is>
          <t>Miete Behälter</t>
        </is>
      </c>
      <c r="D3017" s="10" t="inlineStr">
        <is>
          <t>Instandh. Betriebsausstattung</t>
        </is>
      </c>
      <c r="E3017" s="7" t="n">
        <v>26.55</v>
      </c>
      <c r="F3017" s="7" t="n">
        <v>318.62</v>
      </c>
    </row>
    <row r="3018" ht="21" customHeight="1">
      <c r="A3018" s="7" t="n">
        <v>2028</v>
      </c>
      <c r="B3018" s="7" t="n">
        <v>10</v>
      </c>
      <c r="C3018" s="10" t="inlineStr">
        <is>
          <t>Miete PKW</t>
        </is>
      </c>
      <c r="D3018" s="10" t="inlineStr">
        <is>
          <t>Fuhrparkkosten</t>
        </is>
      </c>
      <c r="E3018" s="7" t="n">
        <v>4890.62</v>
      </c>
      <c r="F3018" s="7" t="n">
        <v>58687.43</v>
      </c>
    </row>
    <row r="3019" ht="21" customHeight="1">
      <c r="A3019" s="7" t="n">
        <v>2030</v>
      </c>
      <c r="B3019" s="7" t="n">
        <v>10</v>
      </c>
      <c r="C3019" s="10" t="inlineStr">
        <is>
          <t>Aufwand Umlage</t>
        </is>
      </c>
      <c r="D3019" s="10" t="inlineStr">
        <is>
          <t>Verwaltungskosten</t>
        </is>
      </c>
      <c r="E3019" s="7" t="n">
        <v>3696.96</v>
      </c>
      <c r="F3019" s="7" t="n">
        <v>44363.53</v>
      </c>
    </row>
    <row r="3020" ht="21" customHeight="1">
      <c r="A3020" s="7" t="n">
        <v>2030</v>
      </c>
      <c r="B3020" s="7" t="n">
        <v>10</v>
      </c>
      <c r="C3020" s="10" t="inlineStr">
        <is>
          <t>So. betr. Aufwa</t>
        </is>
      </c>
      <c r="D3020" s="10" t="inlineStr">
        <is>
          <t>Verwaltungskosten</t>
        </is>
      </c>
      <c r="E3020" s="7" t="n">
        <v>714.05</v>
      </c>
      <c r="F3020" s="7" t="n">
        <v>8568.57</v>
      </c>
    </row>
    <row r="3021" ht="21" customHeight="1">
      <c r="A3021" s="7" t="n">
        <v>2029</v>
      </c>
      <c r="B3021" s="7" t="n">
        <v>10</v>
      </c>
      <c r="C3021" s="10" t="inlineStr">
        <is>
          <t>Versicherungskosten</t>
        </is>
      </c>
      <c r="D3021" s="10" t="inlineStr">
        <is>
          <t>Verwaltungskosten</t>
        </is>
      </c>
      <c r="E3021" s="7" t="n">
        <v>11446.7</v>
      </c>
      <c r="F3021" s="7" t="n">
        <v>137360.42</v>
      </c>
    </row>
    <row r="3022" ht="21" customHeight="1">
      <c r="A3022" s="7" t="n">
        <v>2027</v>
      </c>
      <c r="B3022" s="7" t="n">
        <v>10</v>
      </c>
      <c r="C3022" s="10" t="inlineStr">
        <is>
          <t>Sonstige Steuer</t>
        </is>
      </c>
      <c r="D3022" s="10" t="inlineStr">
        <is>
          <t>Fuhrparkkosten</t>
        </is>
      </c>
      <c r="E3022" s="7" t="n">
        <v>1497.31</v>
      </c>
      <c r="F3022" s="7" t="n">
        <v>17967.71</v>
      </c>
    </row>
    <row r="3023" ht="21" customHeight="1">
      <c r="A3023" s="7" t="n">
        <v>2031</v>
      </c>
      <c r="B3023" s="7" t="n">
        <v>10</v>
      </c>
      <c r="C3023" s="10" t="inlineStr">
        <is>
          <t>Leasing LKW</t>
        </is>
      </c>
      <c r="D3023" s="10" t="inlineStr">
        <is>
          <t>Fuhrparkkosten</t>
        </is>
      </c>
      <c r="E3023" s="7" t="n">
        <v>2910.36</v>
      </c>
      <c r="F3023" s="7" t="n">
        <v>34924.28</v>
      </c>
    </row>
    <row r="3024" ht="21" customHeight="1">
      <c r="A3024" s="7" t="n">
        <v>2029</v>
      </c>
      <c r="B3024" s="7" t="n">
        <v>10</v>
      </c>
      <c r="C3024" s="10" t="inlineStr">
        <is>
          <t>Leasing LKW</t>
        </is>
      </c>
      <c r="D3024" s="10" t="inlineStr">
        <is>
          <t>Fuhrparkkosten</t>
        </is>
      </c>
      <c r="E3024" s="7" t="n">
        <v>2590.21</v>
      </c>
      <c r="F3024" s="7" t="n">
        <v>31082.49</v>
      </c>
    </row>
    <row r="3025" ht="21" customHeight="1">
      <c r="A3025" s="7" t="n">
        <v>2027</v>
      </c>
      <c r="B3025" s="7" t="n">
        <v>10</v>
      </c>
      <c r="C3025" s="10" t="inlineStr">
        <is>
          <t>Instandh.Fuhrp</t>
        </is>
      </c>
      <c r="D3025" s="10" t="inlineStr">
        <is>
          <t>Fuhrparkkosten</t>
        </is>
      </c>
      <c r="E3025" s="7" t="n">
        <v>30358.86</v>
      </c>
      <c r="F3025" s="7" t="n">
        <v>364306.28</v>
      </c>
    </row>
    <row r="3026" ht="21" customHeight="1">
      <c r="A3026" s="7" t="n">
        <v>2029</v>
      </c>
      <c r="B3026" s="7" t="n">
        <v>10</v>
      </c>
      <c r="C3026" s="10" t="inlineStr">
        <is>
          <t>Vertriebskosten</t>
        </is>
      </c>
      <c r="D3026" s="10" t="inlineStr">
        <is>
          <t>Vertriebskosten</t>
        </is>
      </c>
      <c r="E3026" s="7" t="n">
        <v>11943.75</v>
      </c>
      <c r="F3026" s="7" t="n">
        <v>143325</v>
      </c>
    </row>
    <row r="3027" ht="21" customHeight="1">
      <c r="A3027" s="7" t="n">
        <v>2031</v>
      </c>
      <c r="B3027" s="7" t="n">
        <v>10</v>
      </c>
      <c r="C3027" s="10" t="inlineStr">
        <is>
          <t>Miete Grdst/Gebäud</t>
        </is>
      </c>
      <c r="D3027" s="10" t="inlineStr">
        <is>
          <t>Raumkosten</t>
        </is>
      </c>
      <c r="E3027" s="7" t="n">
        <v>18975.39</v>
      </c>
      <c r="F3027" s="7" t="n">
        <v>227704.65</v>
      </c>
    </row>
    <row r="3028" ht="21" customHeight="1">
      <c r="A3028" s="7" t="n">
        <v>2029</v>
      </c>
      <c r="B3028" s="7" t="n">
        <v>10</v>
      </c>
      <c r="C3028" s="10" t="inlineStr">
        <is>
          <t>Uebr.neutr. Ert</t>
        </is>
      </c>
      <c r="D3028" s="10" t="inlineStr">
        <is>
          <t>Gesamtleistung</t>
        </is>
      </c>
      <c r="E3028" s="7" t="n">
        <v>189.9</v>
      </c>
      <c r="F3028" s="7" t="n">
        <v>2278.85</v>
      </c>
    </row>
    <row r="3029" ht="21" customHeight="1">
      <c r="A3029" s="7" t="n">
        <v>2030</v>
      </c>
      <c r="B3029" s="7" t="n">
        <v>10</v>
      </c>
      <c r="C3029" s="10" t="inlineStr">
        <is>
          <t>Behaelterkosten</t>
        </is>
      </c>
      <c r="D3029" s="10" t="inlineStr">
        <is>
          <t>Instandh. Betriebsausstattung</t>
        </is>
      </c>
      <c r="E3029" s="7" t="n">
        <v>12.75</v>
      </c>
      <c r="F3029" s="7" t="n">
        <v>153.03</v>
      </c>
    </row>
    <row r="3030" ht="21" customHeight="1">
      <c r="A3030" s="7" t="n">
        <v>2029</v>
      </c>
      <c r="B3030" s="7" t="n">
        <v>10</v>
      </c>
      <c r="C3030" s="10" t="inlineStr">
        <is>
          <t>IT-Aufwendungen</t>
        </is>
      </c>
      <c r="D3030" s="10" t="inlineStr">
        <is>
          <t>Verwaltungskosten</t>
        </is>
      </c>
      <c r="E3030" s="7" t="n">
        <v>12302.44</v>
      </c>
      <c r="F3030" s="7" t="n">
        <v>147629.28</v>
      </c>
    </row>
    <row r="3031" ht="21" customHeight="1">
      <c r="A3031" s="7" t="n">
        <v>2028</v>
      </c>
      <c r="B3031" s="7" t="n">
        <v>10</v>
      </c>
      <c r="C3031" s="10" t="inlineStr">
        <is>
          <t>Instandh. BGA</t>
        </is>
      </c>
      <c r="D3031" s="10" t="inlineStr">
        <is>
          <t>Instandh. Betriebsausstattung</t>
        </is>
      </c>
      <c r="E3031" s="7" t="n">
        <v>4426.85</v>
      </c>
      <c r="F3031" s="7" t="n">
        <v>53122.2</v>
      </c>
    </row>
    <row r="3032" ht="21" customHeight="1">
      <c r="A3032" s="7" t="n">
        <v>2029</v>
      </c>
      <c r="B3032" s="7" t="n">
        <v>10</v>
      </c>
      <c r="C3032" s="10" t="inlineStr">
        <is>
          <t>Instandh.Fuhrp</t>
        </is>
      </c>
      <c r="D3032" s="10" t="inlineStr">
        <is>
          <t>Fuhrparkkosten</t>
        </is>
      </c>
      <c r="E3032" s="7" t="n">
        <v>34111.21</v>
      </c>
      <c r="F3032" s="7" t="n">
        <v>409334.56</v>
      </c>
    </row>
    <row r="3033" ht="21" customHeight="1">
      <c r="A3033" s="7" t="n">
        <v>2031</v>
      </c>
      <c r="B3033" s="7" t="n">
        <v>10</v>
      </c>
      <c r="C3033" s="10" t="inlineStr">
        <is>
          <t>Rechts- u. Beratungs</t>
        </is>
      </c>
      <c r="D3033" s="10" t="inlineStr">
        <is>
          <t>Verwaltungskosten</t>
        </is>
      </c>
      <c r="E3033" s="7" t="n">
        <v>28853.53</v>
      </c>
      <c r="F3033" s="7" t="n">
        <v>346242.38</v>
      </c>
    </row>
    <row r="3034" ht="21" customHeight="1">
      <c r="A3034" s="7" t="n">
        <v>2029</v>
      </c>
      <c r="B3034" s="7" t="n">
        <v>10</v>
      </c>
      <c r="C3034" s="10" t="inlineStr">
        <is>
          <t>Ertrag KFZ-Nutz</t>
        </is>
      </c>
      <c r="D3034" s="10" t="inlineStr">
        <is>
          <t>Gesamtleistung</t>
        </is>
      </c>
      <c r="E3034" s="7" t="n">
        <v>8815.82</v>
      </c>
      <c r="F3034" s="7" t="n">
        <v>105789.86</v>
      </c>
    </row>
    <row r="3035" ht="21" customHeight="1">
      <c r="A3035" s="7" t="n">
        <v>2030</v>
      </c>
      <c r="B3035" s="7" t="n">
        <v>10</v>
      </c>
      <c r="C3035" s="10" t="inlineStr">
        <is>
          <t>Ertr. weiterber</t>
        </is>
      </c>
      <c r="D3035" s="10" t="inlineStr">
        <is>
          <t>Gesamtleistung</t>
        </is>
      </c>
      <c r="E3035" s="7" t="n">
        <v>1104.47</v>
      </c>
      <c r="F3035" s="7" t="n">
        <v>13253.67</v>
      </c>
    </row>
    <row r="3036" ht="21" customHeight="1">
      <c r="A3036" s="7" t="n">
        <v>2028</v>
      </c>
      <c r="B3036" s="7" t="n">
        <v>10</v>
      </c>
      <c r="C3036" s="10" t="inlineStr">
        <is>
          <t>Leasing PKW</t>
        </is>
      </c>
      <c r="D3036" s="10" t="inlineStr">
        <is>
          <t>Fuhrparkkosten</t>
        </is>
      </c>
      <c r="E3036" s="7" t="n">
        <v>23256.85</v>
      </c>
      <c r="F3036" s="7" t="n">
        <v>279082.22</v>
      </c>
    </row>
    <row r="3037" ht="21" customHeight="1">
      <c r="A3037" s="7" t="n">
        <v>2028</v>
      </c>
      <c r="B3037" s="7" t="n">
        <v>10</v>
      </c>
      <c r="C3037" s="10" t="inlineStr">
        <is>
          <t>Treibstoffe, Oe</t>
        </is>
      </c>
      <c r="D3037" s="10" t="inlineStr">
        <is>
          <t>Fuhrparkkosten</t>
        </is>
      </c>
      <c r="E3037" s="7" t="n">
        <v>30417.62</v>
      </c>
      <c r="F3037" s="7" t="n">
        <v>365011.49</v>
      </c>
    </row>
    <row r="3038" ht="21" customHeight="1">
      <c r="A3038" s="7" t="n">
        <v>2029</v>
      </c>
      <c r="B3038" s="7" t="n">
        <v>10</v>
      </c>
      <c r="C3038" s="10" t="inlineStr">
        <is>
          <t>Miete PKW</t>
        </is>
      </c>
      <c r="D3038" s="10" t="inlineStr">
        <is>
          <t>Fuhrparkkosten</t>
        </is>
      </c>
      <c r="E3038" s="7" t="n">
        <v>5184.06</v>
      </c>
      <c r="F3038" s="7" t="n">
        <v>62208.67</v>
      </c>
    </row>
    <row r="3039" ht="21" customHeight="1">
      <c r="A3039" s="7" t="n">
        <v>2028</v>
      </c>
      <c r="B3039" s="7" t="n">
        <v>10</v>
      </c>
      <c r="C3039" s="10" t="inlineStr">
        <is>
          <t>Ertr. weiterber</t>
        </is>
      </c>
      <c r="D3039" s="10" t="inlineStr">
        <is>
          <t>Gesamtleistung</t>
        </is>
      </c>
      <c r="E3039" s="7" t="n">
        <v>980.91</v>
      </c>
      <c r="F3039" s="7" t="n">
        <v>11770.87</v>
      </c>
    </row>
    <row r="3040" ht="21" customHeight="1">
      <c r="A3040" s="7" t="n">
        <v>2029</v>
      </c>
      <c r="B3040" s="7" t="n">
        <v>10</v>
      </c>
      <c r="C3040" s="10" t="inlineStr">
        <is>
          <t>Instandh. BGA</t>
        </is>
      </c>
      <c r="D3040" s="10" t="inlineStr">
        <is>
          <t>Instandh. Betriebsausstattung</t>
        </is>
      </c>
      <c r="E3040" s="7" t="n">
        <v>4648.19</v>
      </c>
      <c r="F3040" s="7" t="n">
        <v>55778.31</v>
      </c>
    </row>
    <row r="3041" ht="21" customHeight="1">
      <c r="A3041" s="7" t="n">
        <v>2028</v>
      </c>
      <c r="B3041" s="7" t="n">
        <v>10</v>
      </c>
      <c r="C3041" s="10" t="inlineStr">
        <is>
          <t>Erl. so. DL Dt.</t>
        </is>
      </c>
      <c r="D3041" s="10" t="inlineStr">
        <is>
          <t>Gesamtleistung</t>
        </is>
      </c>
      <c r="E3041" s="7" t="n">
        <v>2095866.37</v>
      </c>
      <c r="F3041" s="7" t="n">
        <v>25150396.49</v>
      </c>
    </row>
    <row r="3042" ht="21" customHeight="1">
      <c r="A3042" s="7" t="n">
        <v>2028</v>
      </c>
      <c r="B3042" s="7" t="n">
        <v>10</v>
      </c>
      <c r="C3042" s="10" t="inlineStr">
        <is>
          <t>IT-Aufwendungen</t>
        </is>
      </c>
      <c r="D3042" s="10" t="inlineStr">
        <is>
          <t>Verwaltungskosten</t>
        </is>
      </c>
      <c r="E3042" s="7" t="n">
        <v>11944.12</v>
      </c>
      <c r="F3042" s="7" t="n">
        <v>143329.39</v>
      </c>
    </row>
    <row r="3043" ht="21" customHeight="1">
      <c r="A3043" s="7" t="n">
        <v>2029</v>
      </c>
      <c r="B3043" s="7" t="n">
        <v>10</v>
      </c>
      <c r="C3043" s="10" t="inlineStr">
        <is>
          <t>Ueb. bezog.Leis</t>
        </is>
      </c>
      <c r="D3043" s="10" t="inlineStr">
        <is>
          <t>Vorleistungen</t>
        </is>
      </c>
      <c r="E3043" s="7" t="n">
        <v>1364260.58</v>
      </c>
      <c r="F3043" s="7" t="n">
        <v>16371126.93</v>
      </c>
    </row>
    <row r="3044" ht="21" customHeight="1">
      <c r="A3044" s="7" t="n">
        <v>2031</v>
      </c>
      <c r="B3044" s="7" t="n">
        <v>10</v>
      </c>
      <c r="C3044" s="10" t="inlineStr">
        <is>
          <t>Sonderz. Prämie</t>
        </is>
      </c>
      <c r="D3044" s="10" t="inlineStr">
        <is>
          <t>Personalaufwand</t>
        </is>
      </c>
      <c r="E3044" s="7" t="n">
        <v>26838.18</v>
      </c>
      <c r="F3044" s="7" t="n">
        <v>322058.2</v>
      </c>
    </row>
    <row r="3045" ht="21" customHeight="1">
      <c r="A3045" s="7" t="n">
        <v>2029</v>
      </c>
      <c r="B3045" s="7" t="n">
        <v>10</v>
      </c>
      <c r="C3045" s="10" t="inlineStr">
        <is>
          <t>Verwaltungskost</t>
        </is>
      </c>
      <c r="D3045" s="10" t="inlineStr">
        <is>
          <t>Verwaltungskosten</t>
        </is>
      </c>
      <c r="E3045" s="7" t="n">
        <v>7098.98</v>
      </c>
      <c r="F3045" s="7" t="n">
        <v>85187.74000000001</v>
      </c>
    </row>
    <row r="3046" ht="21" customHeight="1">
      <c r="A3046" s="7" t="n">
        <v>2028</v>
      </c>
      <c r="B3046" s="7" t="n">
        <v>10</v>
      </c>
      <c r="C3046" s="10" t="inlineStr">
        <is>
          <t>Ertrag KFZ-Nutz</t>
        </is>
      </c>
      <c r="D3046" s="10" t="inlineStr">
        <is>
          <t>Gesamtleistung</t>
        </is>
      </c>
      <c r="E3046" s="7" t="n">
        <v>8405.780000000001</v>
      </c>
      <c r="F3046" s="7" t="n">
        <v>100869.3</v>
      </c>
    </row>
    <row r="3047" ht="21" customHeight="1">
      <c r="A3047" s="7" t="n">
        <v>2030</v>
      </c>
      <c r="B3047" s="7" t="n">
        <v>10</v>
      </c>
      <c r="C3047" s="10" t="inlineStr">
        <is>
          <t>Sonst Fuhrparkkosten</t>
        </is>
      </c>
      <c r="D3047" s="10" t="inlineStr">
        <is>
          <t>Fuhrparkkosten</t>
        </is>
      </c>
      <c r="E3047" s="7" t="n">
        <v>5942.26</v>
      </c>
      <c r="F3047" s="7" t="n">
        <v>71307.13</v>
      </c>
    </row>
    <row r="3048" ht="21" customHeight="1">
      <c r="A3048" s="7" t="n">
        <v>2028</v>
      </c>
      <c r="B3048" s="7" t="n">
        <v>10</v>
      </c>
      <c r="C3048" s="10" t="inlineStr">
        <is>
          <t>Rechts- u. Beratungs</t>
        </is>
      </c>
      <c r="D3048" s="10" t="inlineStr">
        <is>
          <t>Verwaltungskosten</t>
        </is>
      </c>
      <c r="E3048" s="7" t="n">
        <v>26405.07</v>
      </c>
      <c r="F3048" s="7" t="n">
        <v>316860.83</v>
      </c>
    </row>
    <row r="3049" ht="21" customHeight="1">
      <c r="A3049" s="7" t="n">
        <v>2027</v>
      </c>
      <c r="B3049" s="7" t="n">
        <v>10</v>
      </c>
      <c r="C3049" s="10" t="inlineStr">
        <is>
          <t>Leasing LKW</t>
        </is>
      </c>
      <c r="D3049" s="10" t="inlineStr">
        <is>
          <t>Fuhrparkkosten</t>
        </is>
      </c>
      <c r="E3049" s="7" t="n">
        <v>2305.28</v>
      </c>
      <c r="F3049" s="7" t="n">
        <v>27663.3</v>
      </c>
    </row>
    <row r="3050" ht="21" customHeight="1">
      <c r="A3050" s="7" t="n">
        <v>2031</v>
      </c>
      <c r="B3050" s="7" t="n">
        <v>10</v>
      </c>
      <c r="C3050" s="10" t="inlineStr">
        <is>
          <t>Fremdl. Fuhrlei</t>
        </is>
      </c>
      <c r="D3050" s="10" t="inlineStr">
        <is>
          <t>Vorleistungen</t>
        </is>
      </c>
      <c r="E3050" s="7" t="n">
        <v>374.24</v>
      </c>
      <c r="F3050" s="7" t="n">
        <v>4490.84</v>
      </c>
    </row>
    <row r="3051" ht="21" customHeight="1">
      <c r="A3051" s="7" t="n">
        <v>2029</v>
      </c>
      <c r="B3051" s="7" t="n">
        <v>10</v>
      </c>
      <c r="C3051" s="10" t="inlineStr">
        <is>
          <t>Fremdl. Fuhrlei</t>
        </is>
      </c>
      <c r="D3051" s="10" t="inlineStr">
        <is>
          <t>Vorleistungen</t>
        </is>
      </c>
      <c r="E3051" s="7" t="n">
        <v>362.07</v>
      </c>
      <c r="F3051" s="7" t="n">
        <v>4344.88</v>
      </c>
    </row>
    <row r="3052" ht="21" customHeight="1">
      <c r="A3052" s="7" t="n">
        <v>2028</v>
      </c>
      <c r="B3052" s="7" t="n">
        <v>10</v>
      </c>
      <c r="C3052" s="10" t="inlineStr">
        <is>
          <t>Vertriebskosten</t>
        </is>
      </c>
      <c r="D3052" s="10" t="inlineStr">
        <is>
          <t>Vertriebskosten</t>
        </is>
      </c>
      <c r="E3052" s="7" t="n">
        <v>11375</v>
      </c>
      <c r="F3052" s="7" t="n">
        <v>136500</v>
      </c>
    </row>
    <row r="3053" ht="21" customHeight="1">
      <c r="A3053" s="7" t="n">
        <v>2031</v>
      </c>
      <c r="B3053" s="7" t="n">
        <v>10</v>
      </c>
      <c r="C3053" s="10" t="inlineStr">
        <is>
          <t>Aufw. so. Hilfs</t>
        </is>
      </c>
      <c r="D3053" s="10" t="inlineStr">
        <is>
          <t>Vorleistungen</t>
        </is>
      </c>
      <c r="E3053" s="7" t="n">
        <v>-17544.22</v>
      </c>
      <c r="F3053" s="7" t="n">
        <v>-210530.6</v>
      </c>
    </row>
    <row r="3054" ht="21" customHeight="1">
      <c r="A3054" s="7" t="n">
        <v>2029</v>
      </c>
      <c r="B3054" s="7" t="n">
        <v>10</v>
      </c>
      <c r="C3054" s="10" t="inlineStr">
        <is>
          <t>Ankauf Rohstoff</t>
        </is>
      </c>
      <c r="D3054" s="10" t="inlineStr">
        <is>
          <t>Vorleistungen</t>
        </is>
      </c>
      <c r="E3054" s="7" t="n">
        <v>1473.64</v>
      </c>
      <c r="F3054" s="7" t="n">
        <v>17683.65</v>
      </c>
    </row>
    <row r="3055" ht="21" customHeight="1">
      <c r="A3055" s="7" t="n">
        <v>2028</v>
      </c>
      <c r="B3055" s="7" t="n">
        <v>10</v>
      </c>
      <c r="C3055" s="10" t="inlineStr">
        <is>
          <t>Sonstige Steuer</t>
        </is>
      </c>
      <c r="D3055" s="10" t="inlineStr">
        <is>
          <t>Fuhrparkkosten</t>
        </is>
      </c>
      <c r="E3055" s="7" t="n">
        <v>1587.15</v>
      </c>
      <c r="F3055" s="7" t="n">
        <v>19045.76</v>
      </c>
    </row>
    <row r="3056" ht="21" customHeight="1">
      <c r="A3056" s="7" t="n">
        <v>2030</v>
      </c>
      <c r="B3056" s="7" t="n">
        <v>10</v>
      </c>
      <c r="C3056" s="10" t="inlineStr">
        <is>
          <t>Weiterber. Frem</t>
        </is>
      </c>
      <c r="D3056" s="10" t="inlineStr">
        <is>
          <t>Vorleistungen</t>
        </is>
      </c>
      <c r="E3056" s="7" t="n">
        <v>0</v>
      </c>
      <c r="F3056" s="7" t="n">
        <v>0</v>
      </c>
    </row>
    <row r="3057" ht="21" customHeight="1">
      <c r="A3057" s="7" t="n">
        <v>2031</v>
      </c>
      <c r="B3057" s="7" t="n">
        <v>10</v>
      </c>
      <c r="C3057" s="10" t="inlineStr">
        <is>
          <t>Miete Behälter</t>
        </is>
      </c>
      <c r="D3057" s="10" t="inlineStr">
        <is>
          <t>Instandh. Betriebsausstattung</t>
        </is>
      </c>
      <c r="E3057" s="7" t="n">
        <v>27.88</v>
      </c>
      <c r="F3057" s="7" t="n">
        <v>334.55</v>
      </c>
    </row>
    <row r="3058" ht="21" customHeight="1">
      <c r="A3058" s="7" t="n">
        <v>2027</v>
      </c>
      <c r="B3058" s="7" t="n">
        <v>10</v>
      </c>
      <c r="C3058" s="10" t="inlineStr">
        <is>
          <t>Miete Grdst/Gebäud</t>
        </is>
      </c>
      <c r="D3058" s="10" t="inlineStr">
        <is>
          <t>Raumkosten</t>
        </is>
      </c>
      <c r="E3058" s="7" t="n">
        <v>15284.77</v>
      </c>
      <c r="F3058" s="7" t="n">
        <v>183417.26</v>
      </c>
    </row>
    <row r="3059" ht="21" customHeight="1">
      <c r="A3059" s="7" t="n">
        <v>2028</v>
      </c>
      <c r="B3059" s="7" t="n">
        <v>10</v>
      </c>
      <c r="C3059" s="10" t="inlineStr">
        <is>
          <t>Aufw. f. Alters</t>
        </is>
      </c>
      <c r="D3059" s="10" t="inlineStr">
        <is>
          <t>Personalaufwand</t>
        </is>
      </c>
      <c r="E3059" s="7" t="n">
        <v>1290.05</v>
      </c>
      <c r="F3059" s="7" t="n">
        <v>15480.56</v>
      </c>
    </row>
    <row r="3060" ht="21" customHeight="1">
      <c r="A3060" s="7" t="n">
        <v>2028</v>
      </c>
      <c r="B3060" s="7" t="n">
        <v>10</v>
      </c>
      <c r="C3060" s="10" t="inlineStr">
        <is>
          <t>Fremdl. Persona</t>
        </is>
      </c>
      <c r="D3060" s="10" t="inlineStr">
        <is>
          <t>Vorleistungen</t>
        </is>
      </c>
      <c r="E3060" s="7" t="n">
        <v>69.04000000000001</v>
      </c>
      <c r="F3060" s="7" t="n">
        <v>828.42</v>
      </c>
    </row>
    <row r="3061" ht="21" customHeight="1">
      <c r="A3061" s="7" t="n">
        <v>2030</v>
      </c>
      <c r="B3061" s="7" t="n">
        <v>10</v>
      </c>
      <c r="C3061" s="10" t="inlineStr">
        <is>
          <t>Vertriebskosten</t>
        </is>
      </c>
      <c r="D3061" s="10" t="inlineStr">
        <is>
          <t>Vertriebskosten</t>
        </is>
      </c>
      <c r="E3061" s="7" t="n">
        <v>12540.94</v>
      </c>
      <c r="F3061" s="7" t="n">
        <v>150491.26</v>
      </c>
    </row>
    <row r="3062" ht="21" customHeight="1">
      <c r="A3062" s="7" t="n">
        <v>2030</v>
      </c>
      <c r="B3062" s="7" t="n">
        <v>10</v>
      </c>
      <c r="C3062" s="10" t="inlineStr">
        <is>
          <t>Aufw. so. Hilfs</t>
        </is>
      </c>
      <c r="D3062" s="10" t="inlineStr">
        <is>
          <t>Vorleistungen</t>
        </is>
      </c>
      <c r="E3062" s="7" t="n">
        <v>-17197.35</v>
      </c>
      <c r="F3062" s="7" t="n">
        <v>-206368.2</v>
      </c>
    </row>
    <row r="3063" ht="21" customHeight="1">
      <c r="A3063" s="7" t="n">
        <v>2029</v>
      </c>
      <c r="B3063" s="7" t="n">
        <v>10</v>
      </c>
      <c r="C3063" s="10" t="inlineStr">
        <is>
          <t>Aufw. so. Hilfs</t>
        </is>
      </c>
      <c r="D3063" s="10" t="inlineStr">
        <is>
          <t>Vorleistungen</t>
        </is>
      </c>
      <c r="E3063" s="7" t="n">
        <v>-16834.66</v>
      </c>
      <c r="F3063" s="7" t="n">
        <v>-202015.88</v>
      </c>
    </row>
    <row r="3064" ht="21" customHeight="1">
      <c r="A3064" s="7" t="n">
        <v>2027</v>
      </c>
      <c r="B3064" s="7" t="n">
        <v>10</v>
      </c>
      <c r="C3064" s="10" t="inlineStr">
        <is>
          <t>Miete PKW</t>
        </is>
      </c>
      <c r="D3064" s="10" t="inlineStr">
        <is>
          <t>Fuhrparkkosten</t>
        </is>
      </c>
      <c r="E3064" s="7" t="n">
        <v>4613.79</v>
      </c>
      <c r="F3064" s="7" t="n">
        <v>55365.51</v>
      </c>
    </row>
    <row r="3065" ht="21" customHeight="1">
      <c r="A3065" s="7" t="n">
        <v>2030</v>
      </c>
      <c r="B3065" s="7" t="n">
        <v>10</v>
      </c>
      <c r="C3065" s="10" t="inlineStr">
        <is>
          <t>Fremdl. Fuhrlei</t>
        </is>
      </c>
      <c r="D3065" s="10" t="inlineStr">
        <is>
          <t>Vorleistungen</t>
        </is>
      </c>
      <c r="E3065" s="7" t="n">
        <v>368.3</v>
      </c>
      <c r="F3065" s="7" t="n">
        <v>4419.56</v>
      </c>
    </row>
    <row r="3066" ht="21" customHeight="1">
      <c r="A3066" s="7" t="n">
        <v>2030</v>
      </c>
      <c r="B3066" s="7" t="n">
        <v>10</v>
      </c>
      <c r="C3066" s="10" t="inlineStr">
        <is>
          <t>Miete PKW</t>
        </is>
      </c>
      <c r="D3066" s="10" t="inlineStr">
        <is>
          <t>Fuhrparkkosten</t>
        </is>
      </c>
      <c r="E3066" s="7" t="n">
        <v>5495.1</v>
      </c>
      <c r="F3066" s="7" t="n">
        <v>65941.19</v>
      </c>
    </row>
    <row r="3067" ht="21" customHeight="1">
      <c r="A3067" s="7" t="n">
        <v>2027</v>
      </c>
      <c r="B3067" s="7" t="n">
        <v>10</v>
      </c>
      <c r="C3067" s="10" t="inlineStr">
        <is>
          <t>Erl. Waren Dt.</t>
        </is>
      </c>
      <c r="D3067" s="10" t="inlineStr">
        <is>
          <t>Gesamtleistung</t>
        </is>
      </c>
      <c r="E3067" s="7" t="n">
        <v>42246.46</v>
      </c>
      <c r="F3067" s="7" t="n">
        <v>506957.51</v>
      </c>
    </row>
    <row r="3068" ht="21" customHeight="1">
      <c r="A3068" s="7" t="n">
        <v>2029</v>
      </c>
      <c r="B3068" s="7" t="n">
        <v>10</v>
      </c>
      <c r="C3068" s="10" t="inlineStr">
        <is>
          <t>Bestandsveraend</t>
        </is>
      </c>
      <c r="D3068" s="10" t="inlineStr">
        <is>
          <t>Gesamtleistung</t>
        </is>
      </c>
      <c r="E3068" s="7" t="n">
        <v>0</v>
      </c>
      <c r="F3068" s="7" t="n">
        <v>0</v>
      </c>
    </row>
    <row r="3069" ht="21" customHeight="1">
      <c r="A3069" s="7" t="n">
        <v>2031</v>
      </c>
      <c r="B3069" s="7" t="n">
        <v>10</v>
      </c>
      <c r="C3069" s="10" t="inlineStr">
        <is>
          <t>Leasing PKW</t>
        </is>
      </c>
      <c r="D3069" s="10" t="inlineStr">
        <is>
          <t>Fuhrparkkosten</t>
        </is>
      </c>
      <c r="E3069" s="7" t="n">
        <v>27699.28</v>
      </c>
      <c r="F3069" s="7" t="n">
        <v>332391.4</v>
      </c>
    </row>
    <row r="3070" ht="21" customHeight="1">
      <c r="A3070" s="7" t="n">
        <v>2029</v>
      </c>
      <c r="B3070" s="7" t="n">
        <v>10</v>
      </c>
      <c r="C3070" s="10" t="inlineStr">
        <is>
          <t>Behaelterkosten</t>
        </is>
      </c>
      <c r="D3070" s="10" t="inlineStr">
        <is>
          <t>Instandh. Betriebsausstattung</t>
        </is>
      </c>
      <c r="E3070" s="7" t="n">
        <v>12.15</v>
      </c>
      <c r="F3070" s="7" t="n">
        <v>145.74</v>
      </c>
    </row>
    <row r="3071" ht="21" customHeight="1">
      <c r="A3071" s="7" t="n">
        <v>2029</v>
      </c>
      <c r="B3071" s="7" t="n">
        <v>10</v>
      </c>
      <c r="C3071" s="10" t="inlineStr">
        <is>
          <t>Aufwand Umlage</t>
        </is>
      </c>
      <c r="D3071" s="10" t="inlineStr">
        <is>
          <t>Verwaltungskosten</t>
        </is>
      </c>
      <c r="E3071" s="7" t="n">
        <v>3589.28</v>
      </c>
      <c r="F3071" s="7" t="n">
        <v>43071.39</v>
      </c>
    </row>
    <row r="3072" ht="21" customHeight="1">
      <c r="A3072" s="7" t="n">
        <v>2030</v>
      </c>
      <c r="B3072" s="7" t="n">
        <v>10</v>
      </c>
      <c r="C3072" s="10" t="inlineStr">
        <is>
          <t>Instandh.Fuhrp</t>
        </is>
      </c>
      <c r="D3072" s="10" t="inlineStr">
        <is>
          <t>Fuhrparkkosten</t>
        </is>
      </c>
      <c r="E3072" s="7" t="n">
        <v>36157.89</v>
      </c>
      <c r="F3072" s="7" t="n">
        <v>433894.62</v>
      </c>
    </row>
    <row r="3073" ht="21" customHeight="1">
      <c r="A3073" s="7" t="n">
        <v>2028</v>
      </c>
      <c r="B3073" s="7" t="n">
        <v>10</v>
      </c>
      <c r="C3073" s="10" t="inlineStr">
        <is>
          <t>Sonderz. Prämie</t>
        </is>
      </c>
      <c r="D3073" s="10" t="inlineStr">
        <is>
          <t>Personalaufwand</t>
        </is>
      </c>
      <c r="E3073" s="7" t="n">
        <v>21386.26</v>
      </c>
      <c r="F3073" s="7" t="n">
        <v>256635.15</v>
      </c>
    </row>
    <row r="3074" ht="21" customHeight="1">
      <c r="A3074" s="7" t="n">
        <v>2029</v>
      </c>
      <c r="B3074" s="7" t="n">
        <v>10</v>
      </c>
      <c r="C3074" s="10" t="inlineStr">
        <is>
          <t>Aufw. f. Alters</t>
        </is>
      </c>
      <c r="D3074" s="10" t="inlineStr">
        <is>
          <t>Personalaufwand</t>
        </is>
      </c>
      <c r="E3074" s="7" t="n">
        <v>1366.43</v>
      </c>
      <c r="F3074" s="7" t="n">
        <v>16397.15</v>
      </c>
    </row>
    <row r="3075" ht="21" customHeight="1">
      <c r="A3075" s="7" t="n">
        <v>2027</v>
      </c>
      <c r="B3075" s="7" t="n">
        <v>10</v>
      </c>
      <c r="C3075" s="10" t="inlineStr">
        <is>
          <t>Ertr. weiterber</t>
        </is>
      </c>
      <c r="D3075" s="10" t="inlineStr">
        <is>
          <t>Gesamtleistung</t>
        </is>
      </c>
      <c r="E3075" s="7" t="n">
        <v>919.41</v>
      </c>
      <c r="F3075" s="7" t="n">
        <v>11032.96</v>
      </c>
    </row>
    <row r="3076" ht="21" customHeight="1">
      <c r="A3076" s="7" t="n">
        <v>2029</v>
      </c>
      <c r="B3076" s="7" t="n">
        <v>10</v>
      </c>
      <c r="C3076" s="10" t="inlineStr">
        <is>
          <t>So. betr. Aufwa</t>
        </is>
      </c>
      <c r="D3076" s="10" t="inlineStr">
        <is>
          <t>Verwaltungskosten</t>
        </is>
      </c>
      <c r="E3076" s="7" t="n">
        <v>693.25</v>
      </c>
      <c r="F3076" s="7" t="n">
        <v>8319.02</v>
      </c>
    </row>
    <row r="3077" ht="21" customHeight="1">
      <c r="A3077" s="7" t="n">
        <v>2031</v>
      </c>
      <c r="B3077" s="7" t="n">
        <v>10</v>
      </c>
      <c r="C3077" s="10" t="inlineStr">
        <is>
          <t>Ertr. weiterber</t>
        </is>
      </c>
      <c r="D3077" s="10" t="inlineStr">
        <is>
          <t>Gesamtleistung</t>
        </is>
      </c>
      <c r="E3077" s="7" t="n">
        <v>1173.93</v>
      </c>
      <c r="F3077" s="7" t="n">
        <v>14087.11</v>
      </c>
    </row>
    <row r="3078" ht="21" customHeight="1">
      <c r="A3078" s="7" t="n">
        <v>2031</v>
      </c>
      <c r="B3078" s="7" t="n">
        <v>10</v>
      </c>
      <c r="C3078" s="10" t="inlineStr">
        <is>
          <t>Ueb. bezog.Leis</t>
        </is>
      </c>
      <c r="D3078" s="10" t="inlineStr">
        <is>
          <t>Vorleistungen</t>
        </is>
      </c>
      <c r="E3078" s="7" t="n">
        <v>1404446.73</v>
      </c>
      <c r="F3078" s="7" t="n">
        <v>16853360.74</v>
      </c>
    </row>
    <row r="3079" ht="21" customHeight="1">
      <c r="A3079" s="7" t="n">
        <v>2027</v>
      </c>
      <c r="B3079" s="7" t="n">
        <v>10</v>
      </c>
      <c r="C3079" s="10" t="inlineStr">
        <is>
          <t>Fremdl. Fuhrlei</t>
        </is>
      </c>
      <c r="D3079" s="10" t="inlineStr">
        <is>
          <t>Vorleistungen</t>
        </is>
      </c>
      <c r="E3079" s="7" t="n">
        <v>371.09</v>
      </c>
      <c r="F3079" s="7" t="n">
        <v>4453.13</v>
      </c>
    </row>
    <row r="3080" ht="21" customHeight="1">
      <c r="A3080" s="7" t="n">
        <v>2027</v>
      </c>
      <c r="B3080" s="7" t="n">
        <v>10</v>
      </c>
      <c r="C3080" s="10" t="inlineStr">
        <is>
          <t>Behaelterkosten</t>
        </is>
      </c>
      <c r="D3080" s="10" t="inlineStr">
        <is>
          <t>Instandh. Betriebsausstattung</t>
        </is>
      </c>
      <c r="E3080" s="7" t="n">
        <v>11.02</v>
      </c>
      <c r="F3080" s="7" t="n">
        <v>132.19</v>
      </c>
    </row>
    <row r="3081" ht="21" customHeight="1">
      <c r="A3081" s="7" t="n">
        <v>2027</v>
      </c>
      <c r="B3081" s="7" t="n">
        <v>10</v>
      </c>
      <c r="C3081" s="10" t="inlineStr">
        <is>
          <t>Ueb Lohn-Gehalt</t>
        </is>
      </c>
      <c r="D3081" s="10" t="inlineStr">
        <is>
          <t>Personalaufwand</t>
        </is>
      </c>
      <c r="E3081" s="7" t="n">
        <v>30579.25</v>
      </c>
      <c r="F3081" s="7" t="n">
        <v>366951</v>
      </c>
    </row>
    <row r="3082" ht="21" customHeight="1">
      <c r="A3082" s="7" t="n">
        <v>2028</v>
      </c>
      <c r="B3082" s="7" t="n">
        <v>10</v>
      </c>
      <c r="C3082" s="10" t="inlineStr">
        <is>
          <t>Raumkosten</t>
        </is>
      </c>
      <c r="D3082" s="10" t="inlineStr">
        <is>
          <t>Raumkosten</t>
        </is>
      </c>
      <c r="E3082" s="7" t="n">
        <v>7023.98</v>
      </c>
      <c r="F3082" s="7" t="n">
        <v>84287.78</v>
      </c>
    </row>
    <row r="3083" ht="21" customHeight="1">
      <c r="A3083" s="7" t="n">
        <v>2031</v>
      </c>
      <c r="B3083" s="7" t="n">
        <v>10</v>
      </c>
      <c r="C3083" s="10" t="inlineStr">
        <is>
          <t>Bestandsveraend</t>
        </is>
      </c>
      <c r="D3083" s="10" t="inlineStr">
        <is>
          <t>Gesamtleistung</t>
        </is>
      </c>
      <c r="E3083" s="7" t="n">
        <v>0</v>
      </c>
      <c r="F3083" s="7" t="n">
        <v>0</v>
      </c>
    </row>
    <row r="3084" ht="21" customHeight="1">
      <c r="A3084" s="7" t="n">
        <v>2029</v>
      </c>
      <c r="B3084" s="7" t="n">
        <v>10</v>
      </c>
      <c r="C3084" s="10" t="inlineStr">
        <is>
          <t>Lohn + Gehalt</t>
        </is>
      </c>
      <c r="D3084" s="10" t="inlineStr">
        <is>
          <t>Personalaufwand</t>
        </is>
      </c>
      <c r="E3084" s="7" t="n">
        <v>356250.11</v>
      </c>
      <c r="F3084" s="7" t="n">
        <v>4275001.35</v>
      </c>
    </row>
    <row r="3085" ht="21" customHeight="1">
      <c r="A3085" s="7" t="n">
        <v>2029</v>
      </c>
      <c r="B3085" s="7" t="n">
        <v>10</v>
      </c>
      <c r="C3085" s="10" t="inlineStr">
        <is>
          <t>Aufw. Heizmat.</t>
        </is>
      </c>
      <c r="D3085" s="10" t="inlineStr">
        <is>
          <t>Vorleistungen</t>
        </is>
      </c>
      <c r="E3085" s="7" t="n">
        <v>245.07</v>
      </c>
      <c r="F3085" s="7" t="n">
        <v>2940.88</v>
      </c>
    </row>
    <row r="3086" ht="21" customHeight="1">
      <c r="A3086" s="7" t="n">
        <v>2031</v>
      </c>
      <c r="B3086" s="7" t="n">
        <v>10</v>
      </c>
      <c r="C3086" s="10" t="inlineStr">
        <is>
          <t>Verwaltungskost</t>
        </is>
      </c>
      <c r="D3086" s="10" t="inlineStr">
        <is>
          <t>Verwaltungskosten</t>
        </is>
      </c>
      <c r="E3086" s="7" t="n">
        <v>7531.31</v>
      </c>
      <c r="F3086" s="7" t="n">
        <v>90375.69</v>
      </c>
    </row>
    <row r="3087" ht="21" customHeight="1">
      <c r="A3087" s="7" t="n">
        <v>2028</v>
      </c>
      <c r="B3087" s="7" t="n">
        <v>10</v>
      </c>
      <c r="C3087" s="10" t="inlineStr">
        <is>
          <t>Erl. Waren Dt.</t>
        </is>
      </c>
      <c r="D3087" s="10" t="inlineStr">
        <is>
          <t>Gesamtleistung</t>
        </is>
      </c>
      <c r="E3087" s="7" t="n">
        <v>44950.49</v>
      </c>
      <c r="F3087" s="7" t="n">
        <v>539405.87</v>
      </c>
    </row>
    <row r="3088" ht="21" customHeight="1">
      <c r="A3088" s="7" t="n">
        <v>2030</v>
      </c>
      <c r="B3088" s="7" t="n">
        <v>10</v>
      </c>
      <c r="C3088" s="10" t="inlineStr">
        <is>
          <t>Uebr.neutr. Ert</t>
        </is>
      </c>
      <c r="D3088" s="10" t="inlineStr">
        <is>
          <t>Gesamtleistung</t>
        </is>
      </c>
      <c r="E3088" s="7" t="n">
        <v>207.38</v>
      </c>
      <c r="F3088" s="7" t="n">
        <v>2488.5</v>
      </c>
    </row>
    <row r="3089" ht="21" customHeight="1">
      <c r="A3089" s="7" t="n">
        <v>2030</v>
      </c>
      <c r="B3089" s="7" t="n">
        <v>10</v>
      </c>
      <c r="C3089" s="10" t="inlineStr">
        <is>
          <t>Raumkosten</t>
        </is>
      </c>
      <c r="D3089" s="10" t="inlineStr">
        <is>
          <t>Raumkosten</t>
        </is>
      </c>
      <c r="E3089" s="7" t="n">
        <v>7307.75</v>
      </c>
      <c r="F3089" s="7" t="n">
        <v>87693</v>
      </c>
    </row>
    <row r="3090" ht="21" customHeight="1">
      <c r="A3090" s="7" t="n">
        <v>2030</v>
      </c>
      <c r="B3090" s="7" t="n">
        <v>10</v>
      </c>
      <c r="C3090" s="10" t="inlineStr">
        <is>
          <t>Fremdl. Persona</t>
        </is>
      </c>
      <c r="D3090" s="10" t="inlineStr">
        <is>
          <t>Vorleistungen</t>
        </is>
      </c>
      <c r="E3090" s="7" t="n">
        <v>76.56999999999999</v>
      </c>
      <c r="F3090" s="7" t="n">
        <v>918.79</v>
      </c>
    </row>
    <row r="3091" ht="21" customHeight="1">
      <c r="A3091" s="7" t="n">
        <v>2027</v>
      </c>
      <c r="B3091" s="7" t="n">
        <v>10</v>
      </c>
      <c r="C3091" s="10" t="inlineStr">
        <is>
          <t>Leasing PKW</t>
        </is>
      </c>
      <c r="D3091" s="10" t="inlineStr">
        <is>
          <t>Fuhrparkkosten</t>
        </is>
      </c>
      <c r="E3091" s="7" t="n">
        <v>21940.43</v>
      </c>
      <c r="F3091" s="7" t="n">
        <v>263285.11</v>
      </c>
    </row>
    <row r="3092" ht="21" customHeight="1">
      <c r="A3092" s="7" t="n">
        <v>2030</v>
      </c>
      <c r="B3092" s="7" t="n">
        <v>10</v>
      </c>
      <c r="C3092" s="10" t="inlineStr">
        <is>
          <t>Ertrag KFZ-Nutz</t>
        </is>
      </c>
      <c r="D3092" s="10" t="inlineStr">
        <is>
          <t>Gesamtleistung</t>
        </is>
      </c>
      <c r="E3092" s="7" t="n">
        <v>9193.41</v>
      </c>
      <c r="F3092" s="7" t="n">
        <v>110320.94</v>
      </c>
    </row>
    <row r="3093" ht="21" customHeight="1">
      <c r="A3093" s="7" t="n">
        <v>2028</v>
      </c>
      <c r="B3093" s="7" t="n">
        <v>10</v>
      </c>
      <c r="C3093" s="10" t="inlineStr">
        <is>
          <t>Uebr.neutr. Ert</t>
        </is>
      </c>
      <c r="D3093" s="10" t="inlineStr">
        <is>
          <t>Gesamtleistung</t>
        </is>
      </c>
      <c r="E3093" s="7" t="n">
        <v>151.92</v>
      </c>
      <c r="F3093" s="7" t="n">
        <v>1823.08</v>
      </c>
    </row>
    <row r="3094" ht="21" customHeight="1">
      <c r="A3094" s="7" t="n">
        <v>2030</v>
      </c>
      <c r="B3094" s="7" t="n">
        <v>10</v>
      </c>
      <c r="C3094" s="10" t="inlineStr">
        <is>
          <t>Soziale Abgaben</t>
        </is>
      </c>
      <c r="D3094" s="10" t="inlineStr">
        <is>
          <t>Personalaufwand</t>
        </is>
      </c>
      <c r="E3094" s="7" t="n">
        <v>104141.87</v>
      </c>
      <c r="F3094" s="7" t="n">
        <v>1249702.47</v>
      </c>
    </row>
    <row r="3095" ht="21" customHeight="1">
      <c r="A3095" s="7" t="n">
        <v>2030</v>
      </c>
      <c r="B3095" s="7" t="n">
        <v>10</v>
      </c>
      <c r="C3095" s="10" t="inlineStr">
        <is>
          <t>Ankauf Rohstoff</t>
        </is>
      </c>
      <c r="D3095" s="10" t="inlineStr">
        <is>
          <t>Vorleistungen</t>
        </is>
      </c>
      <c r="E3095" s="7" t="n">
        <v>1483.55</v>
      </c>
      <c r="F3095" s="7" t="n">
        <v>17802.65</v>
      </c>
    </row>
    <row r="3096" ht="21" customHeight="1">
      <c r="A3096" s="7" t="n">
        <v>2031</v>
      </c>
      <c r="B3096" s="7" t="n">
        <v>10</v>
      </c>
      <c r="C3096" s="10" t="inlineStr">
        <is>
          <t>Aufw. Heizmat.</t>
        </is>
      </c>
      <c r="D3096" s="10" t="inlineStr">
        <is>
          <t>Vorleistungen</t>
        </is>
      </c>
      <c r="E3096" s="7" t="n">
        <v>216.16</v>
      </c>
      <c r="F3096" s="7" t="n">
        <v>2593.97</v>
      </c>
    </row>
    <row r="3097" ht="21" customHeight="1">
      <c r="A3097" s="7" t="n">
        <v>2030</v>
      </c>
      <c r="B3097" s="7" t="n">
        <v>10</v>
      </c>
      <c r="C3097" s="10" t="inlineStr">
        <is>
          <t>IT-Aufwendungen</t>
        </is>
      </c>
      <c r="D3097" s="10" t="inlineStr">
        <is>
          <t>Verwaltungskosten</t>
        </is>
      </c>
      <c r="E3097" s="7" t="n">
        <v>12671.51</v>
      </c>
      <c r="F3097" s="7" t="n">
        <v>152058.16</v>
      </c>
    </row>
    <row r="3098" ht="21" customHeight="1">
      <c r="A3098" s="7" t="n">
        <v>2027</v>
      </c>
      <c r="B3098" s="7" t="n">
        <v>10</v>
      </c>
      <c r="C3098" s="10" t="inlineStr">
        <is>
          <t>Treibstoffe, Oe</t>
        </is>
      </c>
      <c r="D3098" s="10" t="inlineStr">
        <is>
          <t>Fuhrparkkosten</t>
        </is>
      </c>
      <c r="E3098" s="7" t="n">
        <v>28695.87</v>
      </c>
      <c r="F3098" s="7" t="n">
        <v>344350.48</v>
      </c>
    </row>
    <row r="3099" ht="21" customHeight="1">
      <c r="A3099" s="7" t="n">
        <v>2028</v>
      </c>
      <c r="B3099" s="7" t="n">
        <v>10</v>
      </c>
      <c r="C3099" s="10" t="inlineStr">
        <is>
          <t>Aufw. Heizmat.</t>
        </is>
      </c>
      <c r="D3099" s="10" t="inlineStr">
        <is>
          <t>Vorleistungen</t>
        </is>
      </c>
      <c r="E3099" s="7" t="n">
        <v>260.43</v>
      </c>
      <c r="F3099" s="7" t="n">
        <v>3125.13</v>
      </c>
    </row>
    <row r="3100" ht="21" customHeight="1">
      <c r="A3100" s="7" t="n">
        <v>2031</v>
      </c>
      <c r="B3100" s="7" t="n">
        <v>10</v>
      </c>
      <c r="C3100" s="10" t="inlineStr">
        <is>
          <t>Ertrag KFZ-Nutz</t>
        </is>
      </c>
      <c r="D3100" s="10" t="inlineStr">
        <is>
          <t>Gesamtleistung</t>
        </is>
      </c>
      <c r="E3100" s="7" t="n">
        <v>9597.290000000001</v>
      </c>
      <c r="F3100" s="7" t="n">
        <v>115167.5</v>
      </c>
    </row>
    <row r="3101" ht="21" customHeight="1">
      <c r="A3101" s="7" t="n">
        <v>2027</v>
      </c>
      <c r="B3101" s="7" t="n">
        <v>10</v>
      </c>
      <c r="C3101" s="10" t="inlineStr">
        <is>
          <t>Raumkosten</t>
        </is>
      </c>
      <c r="D3101" s="10" t="inlineStr">
        <is>
          <t>Raumkosten</t>
        </is>
      </c>
      <c r="E3101" s="7" t="n">
        <v>5046.85</v>
      </c>
      <c r="F3101" s="7" t="n">
        <v>60562.14</v>
      </c>
    </row>
    <row r="3102" ht="21" customHeight="1">
      <c r="A3102" s="7" t="n">
        <v>2028</v>
      </c>
      <c r="B3102" s="7" t="n">
        <v>10</v>
      </c>
      <c r="C3102" s="10" t="inlineStr">
        <is>
          <t>Soziale Abgaben</t>
        </is>
      </c>
      <c r="D3102" s="10" t="inlineStr">
        <is>
          <t>Personalaufwand</t>
        </is>
      </c>
      <c r="E3102" s="7" t="n">
        <v>85007.57000000001</v>
      </c>
      <c r="F3102" s="7" t="n">
        <v>1020090.84</v>
      </c>
    </row>
    <row r="3103" ht="21" customHeight="1">
      <c r="A3103" s="7" t="n">
        <v>2029</v>
      </c>
      <c r="B3103" s="7" t="n">
        <v>10</v>
      </c>
      <c r="C3103" s="10" t="inlineStr">
        <is>
          <t>Miete Grdst/Gebäud</t>
        </is>
      </c>
      <c r="D3103" s="10" t="inlineStr">
        <is>
          <t>Raumkosten</t>
        </is>
      </c>
      <c r="E3103" s="7" t="n">
        <v>18238.55</v>
      </c>
      <c r="F3103" s="7" t="n">
        <v>218862.64</v>
      </c>
    </row>
    <row r="3104" ht="21" customHeight="1">
      <c r="A3104" s="7" t="n">
        <v>2031</v>
      </c>
      <c r="B3104" s="7" t="n">
        <v>10</v>
      </c>
      <c r="C3104" s="10" t="inlineStr">
        <is>
          <t>Raumkosten</t>
        </is>
      </c>
      <c r="D3104" s="10" t="inlineStr">
        <is>
          <t>Raumkosten</t>
        </is>
      </c>
      <c r="E3104" s="7" t="n">
        <v>7453.91</v>
      </c>
      <c r="F3104" s="7" t="n">
        <v>89446.89</v>
      </c>
    </row>
    <row r="3105" ht="21" customHeight="1">
      <c r="A3105" s="7" t="n">
        <v>2031</v>
      </c>
      <c r="B3105" s="7" t="n">
        <v>10</v>
      </c>
      <c r="C3105" s="10" t="inlineStr">
        <is>
          <t>Behaelterkosten</t>
        </is>
      </c>
      <c r="D3105" s="10" t="inlineStr">
        <is>
          <t>Instandh. Betriebsausstattung</t>
        </is>
      </c>
      <c r="E3105" s="7" t="n">
        <v>13.39</v>
      </c>
      <c r="F3105" s="7" t="n">
        <v>160.68</v>
      </c>
    </row>
    <row r="3106" ht="21" customHeight="1">
      <c r="A3106" s="7" t="n">
        <v>2031</v>
      </c>
      <c r="B3106" s="7" t="n">
        <v>10</v>
      </c>
      <c r="C3106" s="10" t="inlineStr">
        <is>
          <t>Instandh.Fuhrp</t>
        </is>
      </c>
      <c r="D3106" s="10" t="inlineStr">
        <is>
          <t>Fuhrparkkosten</t>
        </is>
      </c>
      <c r="E3106" s="7" t="n">
        <v>38327.36</v>
      </c>
      <c r="F3106" s="7" t="n">
        <v>459928.28</v>
      </c>
    </row>
    <row r="3107" ht="21" customHeight="1">
      <c r="A3107" s="7" t="n">
        <v>2030</v>
      </c>
      <c r="B3107" s="7" t="n">
        <v>10</v>
      </c>
      <c r="C3107" s="10" t="inlineStr">
        <is>
          <t>Ueb. bezog.Leis</t>
        </is>
      </c>
      <c r="D3107" s="10" t="inlineStr">
        <is>
          <t>Vorleistungen</t>
        </is>
      </c>
      <c r="E3107" s="7" t="n">
        <v>1385029.28</v>
      </c>
      <c r="F3107" s="7" t="n">
        <v>16620351.38</v>
      </c>
    </row>
    <row r="3108" ht="21" customHeight="1">
      <c r="A3108" s="7" t="n">
        <v>2027</v>
      </c>
      <c r="B3108" s="7" t="n">
        <v>10</v>
      </c>
      <c r="C3108" s="10" t="inlineStr">
        <is>
          <t>Miete LKW,Schiffe</t>
        </is>
      </c>
      <c r="D3108" s="10" t="inlineStr">
        <is>
          <t>Fuhrparkkosten</t>
        </is>
      </c>
      <c r="E3108" s="7" t="n">
        <v>36751.61</v>
      </c>
      <c r="F3108" s="7" t="n">
        <v>441019.28</v>
      </c>
    </row>
    <row r="3109" ht="21" customHeight="1">
      <c r="A3109" s="7" t="n">
        <v>2030</v>
      </c>
      <c r="B3109" s="7" t="n">
        <v>10</v>
      </c>
      <c r="C3109" s="10" t="inlineStr">
        <is>
          <t>Leasing LKW</t>
        </is>
      </c>
      <c r="D3109" s="10" t="inlineStr">
        <is>
          <t>Fuhrparkkosten</t>
        </is>
      </c>
      <c r="E3109" s="7" t="n">
        <v>2745.62</v>
      </c>
      <c r="F3109" s="7" t="n">
        <v>32947.44</v>
      </c>
    </row>
    <row r="3110" ht="21" customHeight="1">
      <c r="A3110" s="7" t="n">
        <v>2031</v>
      </c>
      <c r="B3110" s="7" t="n">
        <v>10</v>
      </c>
      <c r="C3110" s="10" t="inlineStr">
        <is>
          <t>Vertriebskosten</t>
        </is>
      </c>
      <c r="D3110" s="10" t="inlineStr">
        <is>
          <t>Vertriebskosten</t>
        </is>
      </c>
      <c r="E3110" s="7" t="n">
        <v>13167.99</v>
      </c>
      <c r="F3110" s="7" t="n">
        <v>158015.82</v>
      </c>
    </row>
    <row r="3111" ht="21" customHeight="1">
      <c r="A3111" s="7" t="n">
        <v>2028</v>
      </c>
      <c r="B3111" s="7" t="n">
        <v>10</v>
      </c>
      <c r="C3111" s="10" t="inlineStr">
        <is>
          <t>Behaelterkosten</t>
        </is>
      </c>
      <c r="D3111" s="10" t="inlineStr">
        <is>
          <t>Instandh. Betriebsausstattung</t>
        </is>
      </c>
      <c r="E3111" s="7" t="n">
        <v>11.57</v>
      </c>
      <c r="F3111" s="7" t="n">
        <v>138.8</v>
      </c>
    </row>
    <row r="3112" ht="21" customHeight="1">
      <c r="A3112" s="7" t="n">
        <v>2030</v>
      </c>
      <c r="B3112" s="7" t="n">
        <v>10</v>
      </c>
      <c r="C3112" s="10" t="inlineStr">
        <is>
          <t>Verwaltungskost</t>
        </is>
      </c>
      <c r="D3112" s="10" t="inlineStr">
        <is>
          <t>Verwaltungskosten</t>
        </is>
      </c>
      <c r="E3112" s="7" t="n">
        <v>7311.95</v>
      </c>
      <c r="F3112" s="7" t="n">
        <v>87743.38</v>
      </c>
    </row>
    <row r="3113" ht="21" customHeight="1">
      <c r="A3113" s="7" t="n">
        <v>2030</v>
      </c>
      <c r="B3113" s="7" t="n">
        <v>10</v>
      </c>
      <c r="C3113" s="10" t="inlineStr">
        <is>
          <t>Rechts- u. Beratungs</t>
        </is>
      </c>
      <c r="D3113" s="10" t="inlineStr">
        <is>
          <t>Verwaltungskosten</t>
        </is>
      </c>
      <c r="E3113" s="7" t="n">
        <v>28013.14</v>
      </c>
      <c r="F3113" s="7" t="n">
        <v>336157.66</v>
      </c>
    </row>
    <row r="3114" ht="21" customHeight="1">
      <c r="A3114" s="7" t="n">
        <v>2028</v>
      </c>
      <c r="B3114" s="7" t="n">
        <v>10</v>
      </c>
      <c r="C3114" s="10" t="inlineStr">
        <is>
          <t>Sonst Fuhrparkkosten</t>
        </is>
      </c>
      <c r="D3114" s="10" t="inlineStr">
        <is>
          <t>Fuhrparkkosten</t>
        </is>
      </c>
      <c r="E3114" s="7" t="n">
        <v>5288.59</v>
      </c>
      <c r="F3114" s="7" t="n">
        <v>63463.1</v>
      </c>
    </row>
    <row r="3115" ht="21" customHeight="1">
      <c r="A3115" s="7" t="n">
        <v>2029</v>
      </c>
      <c r="B3115" s="7" t="n">
        <v>10</v>
      </c>
      <c r="C3115" s="10" t="inlineStr">
        <is>
          <t>Erl. so. DL Dt.</t>
        </is>
      </c>
      <c r="D3115" s="10" t="inlineStr">
        <is>
          <t>Gesamtleistung</t>
        </is>
      </c>
      <c r="E3115" s="7" t="n">
        <v>2200755.15</v>
      </c>
      <c r="F3115" s="7" t="n">
        <v>26409061.76</v>
      </c>
    </row>
    <row r="3116" ht="21" customHeight="1">
      <c r="A3116" s="7" t="n">
        <v>2031</v>
      </c>
      <c r="B3116" s="7" t="n">
        <v>10</v>
      </c>
      <c r="C3116" s="10" t="inlineStr">
        <is>
          <t>Uebr.neutr. Ert</t>
        </is>
      </c>
      <c r="D3116" s="10" t="inlineStr">
        <is>
          <t>Gesamtleistung</t>
        </is>
      </c>
      <c r="E3116" s="7" t="n">
        <v>227.28</v>
      </c>
      <c r="F3116" s="7" t="n">
        <v>2727.33</v>
      </c>
    </row>
    <row r="3117" ht="21" customHeight="1">
      <c r="A3117" s="7" t="n">
        <v>2030</v>
      </c>
      <c r="B3117" s="7" t="n">
        <v>10</v>
      </c>
      <c r="C3117" s="10" t="inlineStr">
        <is>
          <t>Erl. Waren Dt.</t>
        </is>
      </c>
      <c r="D3117" s="10" t="inlineStr">
        <is>
          <t>Gesamtleistung</t>
        </is>
      </c>
      <c r="E3117" s="7" t="n">
        <v>49038.99</v>
      </c>
      <c r="F3117" s="7" t="n">
        <v>588467.85</v>
      </c>
    </row>
    <row r="3118" ht="21" customHeight="1">
      <c r="A3118" s="7" t="n">
        <v>2028</v>
      </c>
      <c r="B3118" s="7" t="n">
        <v>10</v>
      </c>
      <c r="C3118" s="10" t="inlineStr">
        <is>
          <t>Weiterber. Frem</t>
        </is>
      </c>
      <c r="D3118" s="10" t="inlineStr">
        <is>
          <t>Vorleistungen</t>
        </is>
      </c>
      <c r="E3118" s="7" t="n">
        <v>0</v>
      </c>
      <c r="F3118" s="7" t="n">
        <v>0</v>
      </c>
    </row>
    <row r="3119" ht="21" customHeight="1">
      <c r="A3119" s="7" t="n">
        <v>2027</v>
      </c>
      <c r="B3119" s="7" t="n">
        <v>10</v>
      </c>
      <c r="C3119" s="10" t="inlineStr">
        <is>
          <t>IT-Aufwendungen</t>
        </is>
      </c>
      <c r="D3119" s="10" t="inlineStr">
        <is>
          <t>Verwaltungskosten</t>
        </is>
      </c>
      <c r="E3119" s="7" t="n">
        <v>11596.23</v>
      </c>
      <c r="F3119" s="7" t="n">
        <v>139154.76</v>
      </c>
    </row>
    <row r="3120" ht="21" customHeight="1">
      <c r="A3120" s="7" t="n">
        <v>2028</v>
      </c>
      <c r="B3120" s="7" t="n">
        <v>10</v>
      </c>
      <c r="C3120" s="10" t="inlineStr">
        <is>
          <t>Leasing LKW</t>
        </is>
      </c>
      <c r="D3120" s="10" t="inlineStr">
        <is>
          <t>Fuhrparkkosten</t>
        </is>
      </c>
      <c r="E3120" s="7" t="n">
        <v>2443.59</v>
      </c>
      <c r="F3120" s="7" t="n">
        <v>29323.11</v>
      </c>
    </row>
    <row r="3121" ht="21" customHeight="1">
      <c r="A3121" s="7" t="n">
        <v>2031</v>
      </c>
      <c r="B3121" s="7" t="n">
        <v>10</v>
      </c>
      <c r="C3121" s="10" t="inlineStr">
        <is>
          <t>Weiterber. Frem</t>
        </is>
      </c>
      <c r="D3121" s="10" t="inlineStr">
        <is>
          <t>Vorleistungen</t>
        </is>
      </c>
      <c r="E3121" s="7" t="n">
        <v>0</v>
      </c>
      <c r="F3121" s="7" t="n">
        <v>0</v>
      </c>
    </row>
    <row r="3122" ht="21" customHeight="1">
      <c r="A3122" s="7" t="n">
        <v>2028</v>
      </c>
      <c r="B3122" s="7" t="n">
        <v>10</v>
      </c>
      <c r="C3122" s="10" t="inlineStr">
        <is>
          <t>Lohn + Gehalt</t>
        </is>
      </c>
      <c r="D3122" s="10" t="inlineStr">
        <is>
          <t>Personalaufwand</t>
        </is>
      </c>
      <c r="E3122" s="7" t="n">
        <v>321097.26</v>
      </c>
      <c r="F3122" s="7" t="n">
        <v>3853167.13</v>
      </c>
    </row>
    <row r="3123" ht="21" customHeight="1">
      <c r="A3123" s="7" t="n">
        <v>2029</v>
      </c>
      <c r="B3123" s="7" t="n">
        <v>10</v>
      </c>
      <c r="C3123" s="10" t="inlineStr">
        <is>
          <t>Miete LKW,Schiffe</t>
        </is>
      </c>
      <c r="D3123" s="10" t="inlineStr">
        <is>
          <t>Fuhrparkkosten</t>
        </is>
      </c>
      <c r="E3123" s="7" t="n">
        <v>41294.11</v>
      </c>
      <c r="F3123" s="7" t="n">
        <v>495529.28</v>
      </c>
    </row>
    <row r="3124" ht="21" customHeight="1">
      <c r="A3124" s="7" t="n">
        <v>2030</v>
      </c>
      <c r="B3124" s="7" t="n">
        <v>10</v>
      </c>
      <c r="C3124" s="10" t="inlineStr">
        <is>
          <t>Erl. so. DL Dt.</t>
        </is>
      </c>
      <c r="D3124" s="10" t="inlineStr">
        <is>
          <t>Gesamtleistung</t>
        </is>
      </c>
      <c r="E3124" s="7" t="n">
        <v>2311684.01</v>
      </c>
      <c r="F3124" s="7" t="n">
        <v>27740208.09</v>
      </c>
    </row>
    <row r="3125" ht="21" customHeight="1">
      <c r="A3125" s="7" t="n">
        <v>2030</v>
      </c>
      <c r="B3125" s="7" t="n">
        <v>10</v>
      </c>
      <c r="C3125" s="10" t="inlineStr">
        <is>
          <t>Versicherungskosten</t>
        </is>
      </c>
      <c r="D3125" s="10" t="inlineStr">
        <is>
          <t>Verwaltungskosten</t>
        </is>
      </c>
      <c r="E3125" s="7" t="n">
        <v>11790.1</v>
      </c>
      <c r="F3125" s="7" t="n">
        <v>141481.23</v>
      </c>
    </row>
    <row r="3126" ht="21" customHeight="1">
      <c r="A3126" s="7" t="n">
        <v>2029</v>
      </c>
      <c r="B3126" s="7" t="n">
        <v>10</v>
      </c>
      <c r="C3126" s="10" t="inlineStr">
        <is>
          <t>Sonstige Steuer</t>
        </is>
      </c>
      <c r="D3126" s="10" t="inlineStr">
        <is>
          <t>Fuhrparkkosten</t>
        </is>
      </c>
      <c r="E3126" s="7" t="n">
        <v>1682.38</v>
      </c>
      <c r="F3126" s="7" t="n">
        <v>20188.51</v>
      </c>
    </row>
    <row r="3127" ht="21" customHeight="1">
      <c r="A3127" s="7" t="n">
        <v>2027</v>
      </c>
      <c r="B3127" s="7" t="n">
        <v>10</v>
      </c>
      <c r="C3127" s="10" t="inlineStr">
        <is>
          <t>Sonst Fuhrparkkosten</t>
        </is>
      </c>
      <c r="D3127" s="10" t="inlineStr">
        <is>
          <t>Fuhrparkkosten</t>
        </is>
      </c>
      <c r="E3127" s="7" t="n">
        <v>4989.24</v>
      </c>
      <c r="F3127" s="7" t="n">
        <v>59870.86</v>
      </c>
    </row>
    <row r="3128" ht="21" customHeight="1">
      <c r="A3128" s="7" t="n">
        <v>2028</v>
      </c>
      <c r="B3128" s="7" t="n">
        <v>10</v>
      </c>
      <c r="C3128" s="10" t="inlineStr">
        <is>
          <t>Bestandsveraend</t>
        </is>
      </c>
      <c r="D3128" s="10" t="inlineStr">
        <is>
          <t>Gesamtleistung</t>
        </is>
      </c>
      <c r="E3128" s="7" t="n">
        <v>0</v>
      </c>
      <c r="F3128" s="7" t="n">
        <v>0</v>
      </c>
    </row>
    <row r="3129" ht="21" customHeight="1">
      <c r="A3129" s="7" t="n">
        <v>2028</v>
      </c>
      <c r="B3129" s="7" t="n">
        <v>10</v>
      </c>
      <c r="C3129" s="10" t="inlineStr">
        <is>
          <t>So. betr. Aufwa</t>
        </is>
      </c>
      <c r="D3129" s="10" t="inlineStr">
        <is>
          <t>Verwaltungskosten</t>
        </is>
      </c>
      <c r="E3129" s="7" t="n">
        <v>673.0599999999999</v>
      </c>
      <c r="F3129" s="7" t="n">
        <v>8076.71</v>
      </c>
    </row>
    <row r="3130" ht="21" customHeight="1">
      <c r="A3130" s="7" t="n">
        <v>2030</v>
      </c>
      <c r="B3130" s="7" t="n">
        <v>10</v>
      </c>
      <c r="C3130" s="10" t="inlineStr">
        <is>
          <t>Miete LKW,Schiffe</t>
        </is>
      </c>
      <c r="D3130" s="10" t="inlineStr">
        <is>
          <t>Fuhrparkkosten</t>
        </is>
      </c>
      <c r="E3130" s="7" t="n">
        <v>43771.75</v>
      </c>
      <c r="F3130" s="7" t="n">
        <v>525261.04</v>
      </c>
    </row>
    <row r="3131" ht="21" customHeight="1">
      <c r="A3131" s="7" t="n">
        <v>2028</v>
      </c>
      <c r="B3131" s="7" t="n">
        <v>10</v>
      </c>
      <c r="C3131" s="10" t="inlineStr">
        <is>
          <t>Miete LKW,Schiffe</t>
        </is>
      </c>
      <c r="D3131" s="10" t="inlineStr">
        <is>
          <t>Fuhrparkkosten</t>
        </is>
      </c>
      <c r="E3131" s="7" t="n">
        <v>38956.71</v>
      </c>
      <c r="F3131" s="7" t="n">
        <v>467480.47</v>
      </c>
    </row>
    <row r="3132" ht="21" customHeight="1">
      <c r="A3132" s="7" t="n">
        <v>2028</v>
      </c>
      <c r="B3132" s="7" t="n">
        <v>10</v>
      </c>
      <c r="C3132" s="10" t="inlineStr">
        <is>
          <t>sonst Personalk</t>
        </is>
      </c>
      <c r="D3132" s="10" t="inlineStr">
        <is>
          <t>Personalaufwand</t>
        </is>
      </c>
      <c r="E3132" s="7" t="n">
        <v>12597.51</v>
      </c>
      <c r="F3132" s="7" t="n">
        <v>151170.09</v>
      </c>
    </row>
    <row r="3133" ht="21" customHeight="1">
      <c r="A3133" s="7" t="n">
        <v>2030</v>
      </c>
      <c r="B3133" s="7" t="n">
        <v>10</v>
      </c>
      <c r="C3133" s="10" t="inlineStr">
        <is>
          <t>Leasing PKW</t>
        </is>
      </c>
      <c r="D3133" s="10" t="inlineStr">
        <is>
          <t>Fuhrparkkosten</t>
        </is>
      </c>
      <c r="E3133" s="7" t="n">
        <v>26131.4</v>
      </c>
      <c r="F3133" s="7" t="n">
        <v>313576.76</v>
      </c>
    </row>
    <row r="3134" ht="21" customHeight="1">
      <c r="A3134" s="7" t="n">
        <v>2031</v>
      </c>
      <c r="B3134" s="7" t="n">
        <v>10</v>
      </c>
      <c r="C3134" s="10" t="inlineStr">
        <is>
          <t>Aufwand Umlage</t>
        </is>
      </c>
      <c r="D3134" s="10" t="inlineStr">
        <is>
          <t>Verwaltungskosten</t>
        </is>
      </c>
      <c r="E3134" s="7" t="n">
        <v>3807.87</v>
      </c>
      <c r="F3134" s="7" t="n">
        <v>45694.43</v>
      </c>
    </row>
    <row r="3135" ht="21" customHeight="1">
      <c r="A3135" s="7" t="n">
        <v>2031</v>
      </c>
      <c r="B3135" s="7" t="n">
        <v>10</v>
      </c>
      <c r="C3135" s="10" t="inlineStr">
        <is>
          <t>sonst Personalk</t>
        </is>
      </c>
      <c r="D3135" s="10" t="inlineStr">
        <is>
          <t>Personalaufwand</t>
        </is>
      </c>
      <c r="E3135" s="7" t="n">
        <v>17070.54</v>
      </c>
      <c r="F3135" s="7" t="n">
        <v>204846.51</v>
      </c>
    </row>
    <row r="3136" ht="21" customHeight="1">
      <c r="A3136" s="7" t="n">
        <v>2027</v>
      </c>
      <c r="B3136" s="7" t="n">
        <v>10</v>
      </c>
      <c r="C3136" s="10" t="inlineStr">
        <is>
          <t>sonst Personalk</t>
        </is>
      </c>
      <c r="D3136" s="10" t="inlineStr">
        <is>
          <t>Personalaufwand</t>
        </is>
      </c>
      <c r="E3136" s="7" t="n">
        <v>10949.84</v>
      </c>
      <c r="F3136" s="7" t="n">
        <v>131398.1</v>
      </c>
    </row>
    <row r="3137" ht="21" customHeight="1">
      <c r="A3137" s="7" t="n">
        <v>2031</v>
      </c>
      <c r="B3137" s="7" t="n">
        <v>10</v>
      </c>
      <c r="C3137" s="10" t="inlineStr">
        <is>
          <t>Miete PKW</t>
        </is>
      </c>
      <c r="D3137" s="10" t="inlineStr">
        <is>
          <t>Fuhrparkkosten</t>
        </is>
      </c>
      <c r="E3137" s="7" t="n">
        <v>5824.81</v>
      </c>
      <c r="F3137" s="7" t="n">
        <v>69897.67</v>
      </c>
    </row>
    <row r="3138" ht="21" customHeight="1">
      <c r="A3138" s="7" t="n">
        <v>2029</v>
      </c>
      <c r="B3138" s="7" t="n">
        <v>10</v>
      </c>
      <c r="C3138" s="10" t="inlineStr">
        <is>
          <t>Raumkosten</t>
        </is>
      </c>
      <c r="D3138" s="10" t="inlineStr">
        <is>
          <t>Raumkosten</t>
        </is>
      </c>
      <c r="E3138" s="7" t="n">
        <v>7164.46</v>
      </c>
      <c r="F3138" s="7" t="n">
        <v>85973.53</v>
      </c>
    </row>
    <row r="3139" ht="21" customHeight="1">
      <c r="A3139" s="7" t="n">
        <v>2031</v>
      </c>
      <c r="B3139" s="7" t="n">
        <v>10</v>
      </c>
      <c r="C3139" s="10" t="inlineStr">
        <is>
          <t>Aufw. f. Alters</t>
        </is>
      </c>
      <c r="D3139" s="10" t="inlineStr">
        <is>
          <t>Personalaufwand</t>
        </is>
      </c>
      <c r="E3139" s="7" t="n">
        <v>1434.03</v>
      </c>
      <c r="F3139" s="7" t="n">
        <v>17208.41</v>
      </c>
    </row>
    <row r="3140" ht="21" customHeight="1">
      <c r="A3140" s="7" t="n">
        <v>2031</v>
      </c>
      <c r="B3140" s="7" t="n">
        <v>10</v>
      </c>
      <c r="C3140" s="10" t="inlineStr">
        <is>
          <t>IT-Aufwendungen</t>
        </is>
      </c>
      <c r="D3140" s="10" t="inlineStr">
        <is>
          <t>Verwaltungskosten</t>
        </is>
      </c>
      <c r="E3140" s="7" t="n">
        <v>13051.66</v>
      </c>
      <c r="F3140" s="7" t="n">
        <v>156619.9</v>
      </c>
    </row>
    <row r="3141" ht="21" customHeight="1">
      <c r="A3141" s="7" t="n">
        <v>2028</v>
      </c>
      <c r="B3141" s="7" t="n">
        <v>10</v>
      </c>
      <c r="C3141" s="10" t="inlineStr">
        <is>
          <t>Miete Grdst/Gebäud</t>
        </is>
      </c>
      <c r="D3141" s="10" t="inlineStr">
        <is>
          <t>Raumkosten</t>
        </is>
      </c>
      <c r="E3141" s="7" t="n">
        <v>17880.93</v>
      </c>
      <c r="F3141" s="7" t="n">
        <v>214571.21</v>
      </c>
    </row>
    <row r="3142" ht="21" customHeight="1">
      <c r="A3142" s="7" t="n">
        <v>2027</v>
      </c>
      <c r="B3142" s="7" t="n">
        <v>10</v>
      </c>
      <c r="C3142" s="10" t="inlineStr">
        <is>
          <t>Erloesschmaeler</t>
        </is>
      </c>
      <c r="D3142" s="10" t="inlineStr">
        <is>
          <t>Gesamtleistung</t>
        </is>
      </c>
      <c r="E3142" s="7" t="n">
        <v>-7483.88</v>
      </c>
      <c r="F3142" s="7" t="n">
        <v>-89806.53</v>
      </c>
    </row>
    <row r="3143" ht="21" customHeight="1">
      <c r="A3143" s="7" t="n">
        <v>2029</v>
      </c>
      <c r="B3143" s="7" t="n">
        <v>10</v>
      </c>
      <c r="C3143" s="10" t="inlineStr">
        <is>
          <t>sonst Personalk</t>
        </is>
      </c>
      <c r="D3143" s="10" t="inlineStr">
        <is>
          <t>Personalaufwand</t>
        </is>
      </c>
      <c r="E3143" s="7" t="n">
        <v>13957.15</v>
      </c>
      <c r="F3143" s="7" t="n">
        <v>167485.78</v>
      </c>
    </row>
    <row r="3144" ht="21" customHeight="1">
      <c r="A3144" s="7" t="n">
        <v>2028</v>
      </c>
      <c r="B3144" s="7" t="n">
        <v>10</v>
      </c>
      <c r="C3144" s="10" t="inlineStr">
        <is>
          <t>Fremdl. Fuhrlei</t>
        </is>
      </c>
      <c r="D3144" s="10" t="inlineStr">
        <is>
          <t>Vorleistungen</t>
        </is>
      </c>
      <c r="E3144" s="7" t="n">
        <v>363.29</v>
      </c>
      <c r="F3144" s="7" t="n">
        <v>4359.52</v>
      </c>
    </row>
    <row r="3145" ht="21" customHeight="1">
      <c r="A3145" s="7" t="n">
        <v>2027</v>
      </c>
      <c r="B3145" s="7" t="n">
        <v>10</v>
      </c>
      <c r="C3145" s="10" t="inlineStr">
        <is>
          <t>Erl. so. DL Dt.</t>
        </is>
      </c>
      <c r="D3145" s="10" t="inlineStr">
        <is>
          <t>Gesamtleistung</t>
        </is>
      </c>
      <c r="E3145" s="7" t="n">
        <v>1996174.37</v>
      </c>
      <c r="F3145" s="7" t="n">
        <v>23954092.45</v>
      </c>
    </row>
    <row r="3146" ht="21" customHeight="1">
      <c r="A3146" s="7" t="n">
        <v>2027</v>
      </c>
      <c r="B3146" s="7" t="n">
        <v>10</v>
      </c>
      <c r="C3146" s="10" t="inlineStr">
        <is>
          <t>Aufw. Heizmat.</t>
        </is>
      </c>
      <c r="D3146" s="10" t="inlineStr">
        <is>
          <t>Vorleistungen</t>
        </is>
      </c>
      <c r="E3146" s="7" t="n">
        <v>275.72</v>
      </c>
      <c r="F3146" s="7" t="n">
        <v>3308.65</v>
      </c>
    </row>
    <row r="3147" ht="21" customHeight="1">
      <c r="A3147" s="7" t="n">
        <v>2028</v>
      </c>
      <c r="B3147" s="7" t="n">
        <v>10</v>
      </c>
      <c r="C3147" s="10" t="inlineStr">
        <is>
          <t>Versicherungskosten</t>
        </is>
      </c>
      <c r="D3147" s="10" t="inlineStr">
        <is>
          <t>Verwaltungskosten</t>
        </is>
      </c>
      <c r="E3147" s="7" t="n">
        <v>11113.3</v>
      </c>
      <c r="F3147" s="7" t="n">
        <v>133359.63</v>
      </c>
    </row>
    <row r="3148" ht="21" customHeight="1">
      <c r="A3148" s="7" t="n">
        <v>2031</v>
      </c>
      <c r="B3148" s="7" t="n">
        <v>10</v>
      </c>
      <c r="C3148" s="10" t="inlineStr">
        <is>
          <t>Miete LKW,Schiffe</t>
        </is>
      </c>
      <c r="D3148" s="10" t="inlineStr">
        <is>
          <t>Fuhrparkkosten</t>
        </is>
      </c>
      <c r="E3148" s="7" t="n">
        <v>46398.06</v>
      </c>
      <c r="F3148" s="7" t="n">
        <v>556776.71</v>
      </c>
    </row>
    <row r="3149" ht="21" customHeight="1">
      <c r="A3149" s="7" t="n">
        <v>2027</v>
      </c>
      <c r="B3149" s="7" t="n">
        <v>10</v>
      </c>
      <c r="C3149" s="10" t="inlineStr">
        <is>
          <t>Weiterber. Frem</t>
        </is>
      </c>
      <c r="D3149" s="10" t="inlineStr">
        <is>
          <t>Vorleistungen</t>
        </is>
      </c>
      <c r="E3149" s="7" t="n">
        <v>0</v>
      </c>
      <c r="F3149" s="7" t="n">
        <v>0</v>
      </c>
    </row>
    <row r="3150" ht="21" customHeight="1">
      <c r="A3150" s="7" t="n">
        <v>2028</v>
      </c>
      <c r="B3150" s="7" t="n">
        <v>10</v>
      </c>
      <c r="C3150" s="10" t="inlineStr">
        <is>
          <t>Erloesschmaeler</t>
        </is>
      </c>
      <c r="D3150" s="10" t="inlineStr">
        <is>
          <t>Gesamtleistung</t>
        </is>
      </c>
      <c r="E3150" s="7" t="n">
        <v>-8355.469999999999</v>
      </c>
      <c r="F3150" s="7" t="n">
        <v>-100265.61</v>
      </c>
    </row>
    <row r="3151" ht="21" customHeight="1">
      <c r="A3151" s="7" t="n">
        <v>2027</v>
      </c>
      <c r="B3151" s="7" t="n">
        <v>10</v>
      </c>
      <c r="C3151" s="10" t="inlineStr">
        <is>
          <t>Uebr.neutr. Ert</t>
        </is>
      </c>
      <c r="D3151" s="10" t="inlineStr">
        <is>
          <t>Gesamtleistung</t>
        </is>
      </c>
      <c r="E3151" s="7" t="n">
        <v>113.94</v>
      </c>
      <c r="F3151" s="7" t="n">
        <v>1367.31</v>
      </c>
    </row>
    <row r="3152" ht="21" customHeight="1">
      <c r="A3152" s="7" t="n">
        <v>2028</v>
      </c>
      <c r="B3152" s="7" t="n">
        <v>10</v>
      </c>
      <c r="C3152" s="10" t="inlineStr">
        <is>
          <t>Miete Behälter</t>
        </is>
      </c>
      <c r="D3152" s="10" t="inlineStr">
        <is>
          <t>Instandh. Betriebsausstattung</t>
        </is>
      </c>
      <c r="E3152" s="7" t="n">
        <v>24.08</v>
      </c>
      <c r="F3152" s="7" t="n">
        <v>289</v>
      </c>
    </row>
    <row r="3153" ht="21" customHeight="1">
      <c r="A3153" s="7" t="n">
        <v>2028</v>
      </c>
      <c r="B3153" s="7" t="n">
        <v>10</v>
      </c>
      <c r="C3153" s="10" t="inlineStr">
        <is>
          <t>Aufw. so. Hilfs</t>
        </is>
      </c>
      <c r="D3153" s="10" t="inlineStr">
        <is>
          <t>Vorleistungen</t>
        </is>
      </c>
      <c r="E3153" s="7" t="n">
        <v>-16546.31</v>
      </c>
      <c r="F3153" s="7" t="n">
        <v>-198555.67</v>
      </c>
    </row>
    <row r="3154" ht="21" customHeight="1">
      <c r="A3154" s="7" t="n">
        <v>2030</v>
      </c>
      <c r="B3154" s="7" t="n">
        <v>10</v>
      </c>
      <c r="C3154" s="10" t="inlineStr">
        <is>
          <t>Treibstoffe, Oe</t>
        </is>
      </c>
      <c r="D3154" s="10" t="inlineStr">
        <is>
          <t>Fuhrparkkosten</t>
        </is>
      </c>
      <c r="E3154" s="7" t="n">
        <v>34177.25</v>
      </c>
      <c r="F3154" s="7" t="n">
        <v>410126.96</v>
      </c>
    </row>
    <row r="3155" ht="21" customHeight="1">
      <c r="A3155" s="7" t="n">
        <v>2030</v>
      </c>
      <c r="B3155" s="7" t="n">
        <v>10</v>
      </c>
      <c r="C3155" s="10" t="inlineStr">
        <is>
          <t>Ueb Lohn-Gehalt</t>
        </is>
      </c>
      <c r="D3155" s="10" t="inlineStr">
        <is>
          <t>Personalaufwand</t>
        </is>
      </c>
      <c r="E3155" s="7" t="n">
        <v>41842.02</v>
      </c>
      <c r="F3155" s="7" t="n">
        <v>502104.18</v>
      </c>
    </row>
    <row r="3156" ht="21" customHeight="1">
      <c r="A3156" s="7" t="n">
        <v>2030</v>
      </c>
      <c r="B3156" s="7" t="n">
        <v>10</v>
      </c>
      <c r="C3156" s="10" t="inlineStr">
        <is>
          <t>Aufw. f. Alters</t>
        </is>
      </c>
      <c r="D3156" s="10" t="inlineStr">
        <is>
          <t>Personalaufwand</t>
        </is>
      </c>
      <c r="E3156" s="7" t="n">
        <v>1387.56</v>
      </c>
      <c r="F3156" s="7" t="n">
        <v>16650.69</v>
      </c>
    </row>
    <row r="3157" ht="21" customHeight="1">
      <c r="A3157" s="7" t="n">
        <v>2031</v>
      </c>
      <c r="B3157" s="7" t="n">
        <v>10</v>
      </c>
      <c r="C3157" s="10" t="inlineStr">
        <is>
          <t>Fremdl. Persona</t>
        </is>
      </c>
      <c r="D3157" s="10" t="inlineStr">
        <is>
          <t>Vorleistungen</t>
        </is>
      </c>
      <c r="E3157" s="7" t="n">
        <v>79.40000000000001</v>
      </c>
      <c r="F3157" s="7" t="n">
        <v>952.79</v>
      </c>
    </row>
    <row r="3158" ht="21" customHeight="1">
      <c r="A3158" s="7" t="n">
        <v>2029</v>
      </c>
      <c r="B3158" s="7" t="n">
        <v>11</v>
      </c>
      <c r="C3158" s="10" t="inlineStr">
        <is>
          <t>Sonderz. Prämie</t>
        </is>
      </c>
      <c r="D3158" s="10" t="inlineStr">
        <is>
          <t>Personalaufwand</t>
        </is>
      </c>
      <c r="E3158" s="7" t="n">
        <v>23292.21</v>
      </c>
      <c r="F3158" s="7" t="n">
        <v>279506.56</v>
      </c>
    </row>
    <row r="3159" ht="21" customHeight="1">
      <c r="A3159" s="7" t="n">
        <v>2030</v>
      </c>
      <c r="B3159" s="7" t="n">
        <v>11</v>
      </c>
      <c r="C3159" s="10" t="inlineStr">
        <is>
          <t>sonst Personalk</t>
        </is>
      </c>
      <c r="D3159" s="10" t="inlineStr">
        <is>
          <t>Personalaufwand</t>
        </is>
      </c>
      <c r="E3159" s="7" t="n">
        <v>15558.93</v>
      </c>
      <c r="F3159" s="7" t="n">
        <v>186707.19</v>
      </c>
    </row>
    <row r="3160" ht="21" customHeight="1">
      <c r="A3160" s="7" t="n">
        <v>2031</v>
      </c>
      <c r="B3160" s="7" t="n">
        <v>11</v>
      </c>
      <c r="C3160" s="10" t="inlineStr">
        <is>
          <t>Ankauf Rohstoff</t>
        </is>
      </c>
      <c r="D3160" s="10" t="inlineStr">
        <is>
          <t>Vorleistungen</t>
        </is>
      </c>
      <c r="E3160" s="7" t="n">
        <v>1489.65</v>
      </c>
      <c r="F3160" s="7" t="n">
        <v>17875.76</v>
      </c>
    </row>
    <row r="3161" ht="21" customHeight="1">
      <c r="A3161" s="7" t="n">
        <v>2029</v>
      </c>
      <c r="B3161" s="7" t="n">
        <v>11</v>
      </c>
      <c r="C3161" s="10" t="inlineStr">
        <is>
          <t>Weiterber. Frem</t>
        </is>
      </c>
      <c r="D3161" s="10" t="inlineStr">
        <is>
          <t>Vorleistungen</t>
        </is>
      </c>
      <c r="E3161" s="7" t="n">
        <v>0</v>
      </c>
      <c r="F3161" s="7" t="n">
        <v>0</v>
      </c>
    </row>
    <row r="3162" ht="21" customHeight="1">
      <c r="A3162" s="7" t="n">
        <v>2031</v>
      </c>
      <c r="B3162" s="7" t="n">
        <v>11</v>
      </c>
      <c r="C3162" s="10" t="inlineStr">
        <is>
          <t>Sonstige Steuer</t>
        </is>
      </c>
      <c r="D3162" s="10" t="inlineStr">
        <is>
          <t>Fuhrparkkosten</t>
        </is>
      </c>
      <c r="E3162" s="7" t="n">
        <v>1890.32</v>
      </c>
      <c r="F3162" s="7" t="n">
        <v>22683.81</v>
      </c>
    </row>
    <row r="3163" ht="21" customHeight="1">
      <c r="A3163" s="7" t="n">
        <v>2030</v>
      </c>
      <c r="B3163" s="7" t="n">
        <v>11</v>
      </c>
      <c r="C3163" s="10" t="inlineStr">
        <is>
          <t>Bestandsveraend</t>
        </is>
      </c>
      <c r="D3163" s="10" t="inlineStr">
        <is>
          <t>Gesamtleistung</t>
        </is>
      </c>
      <c r="E3163" s="7" t="n">
        <v>0</v>
      </c>
      <c r="F3163" s="7" t="n">
        <v>0</v>
      </c>
    </row>
    <row r="3164" ht="21" customHeight="1">
      <c r="A3164" s="7" t="n">
        <v>2031</v>
      </c>
      <c r="B3164" s="7" t="n">
        <v>11</v>
      </c>
      <c r="C3164" s="10" t="inlineStr">
        <is>
          <t>Erl. so. DL Dt.</t>
        </is>
      </c>
      <c r="D3164" s="10" t="inlineStr">
        <is>
          <t>Gesamtleistung</t>
        </is>
      </c>
      <c r="E3164" s="7" t="n">
        <v>2428139.11</v>
      </c>
      <c r="F3164" s="7" t="n">
        <v>29137669.32</v>
      </c>
    </row>
    <row r="3165" ht="21" customHeight="1">
      <c r="A3165" s="7" t="n">
        <v>2030</v>
      </c>
      <c r="B3165" s="7" t="n">
        <v>11</v>
      </c>
      <c r="C3165" s="10" t="inlineStr">
        <is>
          <t>Sonstige Steuer</t>
        </is>
      </c>
      <c r="D3165" s="10" t="inlineStr">
        <is>
          <t>Fuhrparkkosten</t>
        </is>
      </c>
      <c r="E3165" s="7" t="n">
        <v>1783.32</v>
      </c>
      <c r="F3165" s="7" t="n">
        <v>21399.82</v>
      </c>
    </row>
    <row r="3166" ht="21" customHeight="1">
      <c r="A3166" s="7" t="n">
        <v>2030</v>
      </c>
      <c r="B3166" s="7" t="n">
        <v>11</v>
      </c>
      <c r="C3166" s="10" t="inlineStr">
        <is>
          <t>Sonderz. Prämie</t>
        </is>
      </c>
      <c r="D3166" s="10" t="inlineStr">
        <is>
          <t>Personalaufwand</t>
        </is>
      </c>
      <c r="E3166" s="7" t="n">
        <v>25004.1</v>
      </c>
      <c r="F3166" s="7" t="n">
        <v>300049.14</v>
      </c>
    </row>
    <row r="3167" ht="21" customHeight="1">
      <c r="A3167" s="7" t="n">
        <v>2029</v>
      </c>
      <c r="B3167" s="7" t="n">
        <v>11</v>
      </c>
      <c r="C3167" s="10" t="inlineStr">
        <is>
          <t>Soziale Abgaben</t>
        </is>
      </c>
      <c r="D3167" s="10" t="inlineStr">
        <is>
          <t>Personalaufwand</t>
        </is>
      </c>
      <c r="E3167" s="7" t="n">
        <v>94488.11</v>
      </c>
      <c r="F3167" s="7" t="n">
        <v>1133857.35</v>
      </c>
    </row>
    <row r="3168" ht="21" customHeight="1">
      <c r="A3168" s="7" t="n">
        <v>2031</v>
      </c>
      <c r="B3168" s="7" t="n">
        <v>11</v>
      </c>
      <c r="C3168" s="10" t="inlineStr">
        <is>
          <t>So. betr. Aufwa</t>
        </is>
      </c>
      <c r="D3168" s="10" t="inlineStr">
        <is>
          <t>Verwaltungskosten</t>
        </is>
      </c>
      <c r="E3168" s="7" t="n">
        <v>735.47</v>
      </c>
      <c r="F3168" s="7" t="n">
        <v>8825.639999999999</v>
      </c>
    </row>
    <row r="3169" ht="21" customHeight="1">
      <c r="A3169" s="7" t="n">
        <v>2027</v>
      </c>
      <c r="B3169" s="7" t="n">
        <v>11</v>
      </c>
      <c r="C3169" s="10" t="inlineStr">
        <is>
          <t>Lohn + Gehalt</t>
        </is>
      </c>
      <c r="D3169" s="10" t="inlineStr">
        <is>
          <t>Personalaufwand</t>
        </is>
      </c>
      <c r="E3169" s="7" t="n">
        <v>287946.36</v>
      </c>
      <c r="F3169" s="7" t="n">
        <v>3455356.33</v>
      </c>
    </row>
    <row r="3170" ht="21" customHeight="1">
      <c r="A3170" s="7" t="n">
        <v>2027</v>
      </c>
      <c r="B3170" s="7" t="n">
        <v>11</v>
      </c>
      <c r="C3170" s="10" t="inlineStr">
        <is>
          <t>So. betr. Aufwa</t>
        </is>
      </c>
      <c r="D3170" s="10" t="inlineStr">
        <is>
          <t>Verwaltungskosten</t>
        </is>
      </c>
      <c r="E3170" s="7" t="n">
        <v>653.45</v>
      </c>
      <c r="F3170" s="7" t="n">
        <v>7841.45</v>
      </c>
    </row>
    <row r="3171" ht="21" customHeight="1">
      <c r="A3171" s="7" t="n">
        <v>2028</v>
      </c>
      <c r="B3171" s="7" t="n">
        <v>11</v>
      </c>
      <c r="C3171" s="10" t="inlineStr">
        <is>
          <t>Ueb Lohn-Gehalt</t>
        </is>
      </c>
      <c r="D3171" s="10" t="inlineStr">
        <is>
          <t>Personalaufwand</t>
        </is>
      </c>
      <c r="E3171" s="7" t="n">
        <v>34332.83</v>
      </c>
      <c r="F3171" s="7" t="n">
        <v>411993.96</v>
      </c>
    </row>
    <row r="3172" ht="21" customHeight="1">
      <c r="A3172" s="7" t="n">
        <v>2027</v>
      </c>
      <c r="B3172" s="7" t="n">
        <v>11</v>
      </c>
      <c r="C3172" s="10" t="inlineStr">
        <is>
          <t>Verwaltungskost</t>
        </is>
      </c>
      <c r="D3172" s="10" t="inlineStr">
        <is>
          <t>Verwaltungskosten</t>
        </is>
      </c>
      <c r="E3172" s="7" t="n">
        <v>6691.47</v>
      </c>
      <c r="F3172" s="7" t="n">
        <v>80297.62</v>
      </c>
    </row>
    <row r="3173" ht="21" customHeight="1">
      <c r="A3173" s="7" t="n">
        <v>2030</v>
      </c>
      <c r="B3173" s="7" t="n">
        <v>11</v>
      </c>
      <c r="C3173" s="10" t="inlineStr">
        <is>
          <t>Aufw. Heizmat.</t>
        </is>
      </c>
      <c r="D3173" s="10" t="inlineStr">
        <is>
          <t>Vorleistungen</t>
        </is>
      </c>
      <c r="E3173" s="7" t="n">
        <v>230.4</v>
      </c>
      <c r="F3173" s="7" t="n">
        <v>2764.82</v>
      </c>
    </row>
    <row r="3174" ht="21" customHeight="1">
      <c r="A3174" s="7" t="n">
        <v>2027</v>
      </c>
      <c r="B3174" s="7" t="n">
        <v>11</v>
      </c>
      <c r="C3174" s="10" t="inlineStr">
        <is>
          <t>Versicherungskosten</t>
        </is>
      </c>
      <c r="D3174" s="10" t="inlineStr">
        <is>
          <t>Verwaltungskosten</t>
        </is>
      </c>
      <c r="E3174" s="7" t="n">
        <v>10789.61</v>
      </c>
      <c r="F3174" s="7" t="n">
        <v>129475.37</v>
      </c>
    </row>
    <row r="3175" ht="21" customHeight="1">
      <c r="A3175" s="7" t="n">
        <v>2031</v>
      </c>
      <c r="B3175" s="7" t="n">
        <v>11</v>
      </c>
      <c r="C3175" s="10" t="inlineStr">
        <is>
          <t>Instandh. BGA</t>
        </is>
      </c>
      <c r="D3175" s="10" t="inlineStr">
        <is>
          <t>Instandh. Betriebsausstattung</t>
        </is>
      </c>
      <c r="E3175" s="7" t="n">
        <v>5124.63</v>
      </c>
      <c r="F3175" s="7" t="n">
        <v>61495.58</v>
      </c>
    </row>
    <row r="3176" ht="21" customHeight="1">
      <c r="A3176" s="7" t="n">
        <v>2029</v>
      </c>
      <c r="B3176" s="7" t="n">
        <v>11</v>
      </c>
      <c r="C3176" s="10" t="inlineStr">
        <is>
          <t>Treibstoffe, Oe</t>
        </is>
      </c>
      <c r="D3176" s="10" t="inlineStr">
        <is>
          <t>Fuhrparkkosten</t>
        </is>
      </c>
      <c r="E3176" s="7" t="n">
        <v>32242.68</v>
      </c>
      <c r="F3176" s="7" t="n">
        <v>386912.19</v>
      </c>
    </row>
    <row r="3177" ht="21" customHeight="1">
      <c r="A3177" s="7" t="n">
        <v>2027</v>
      </c>
      <c r="B3177" s="7" t="n">
        <v>11</v>
      </c>
      <c r="C3177" s="10" t="inlineStr">
        <is>
          <t>Instandh. BGA</t>
        </is>
      </c>
      <c r="D3177" s="10" t="inlineStr">
        <is>
          <t>Instandh. Betriebsausstattung</t>
        </is>
      </c>
      <c r="E3177" s="7" t="n">
        <v>4216.05</v>
      </c>
      <c r="F3177" s="7" t="n">
        <v>50592.58</v>
      </c>
    </row>
    <row r="3178" ht="21" customHeight="1">
      <c r="A3178" s="7" t="n">
        <v>2029</v>
      </c>
      <c r="B3178" s="7" t="n">
        <v>11</v>
      </c>
      <c r="C3178" s="10" t="inlineStr">
        <is>
          <t>Ueb Lohn-Gehalt</t>
        </is>
      </c>
      <c r="D3178" s="10" t="inlineStr">
        <is>
          <t>Personalaufwand</t>
        </is>
      </c>
      <c r="E3178" s="7" t="n">
        <v>37989.9</v>
      </c>
      <c r="F3178" s="7" t="n">
        <v>455878.84</v>
      </c>
    </row>
    <row r="3179" ht="21" customHeight="1">
      <c r="A3179" s="7" t="n">
        <v>2031</v>
      </c>
      <c r="B3179" s="7" t="n">
        <v>11</v>
      </c>
      <c r="C3179" s="10" t="inlineStr">
        <is>
          <t>Erl. Waren Dt.</t>
        </is>
      </c>
      <c r="D3179" s="10" t="inlineStr">
        <is>
          <t>Gesamtleistung</t>
        </is>
      </c>
      <c r="E3179" s="7" t="n">
        <v>50865.59</v>
      </c>
      <c r="F3179" s="7" t="n">
        <v>610387.05</v>
      </c>
    </row>
    <row r="3180" ht="21" customHeight="1">
      <c r="A3180" s="7" t="n">
        <v>2027</v>
      </c>
      <c r="B3180" s="7" t="n">
        <v>11</v>
      </c>
      <c r="C3180" s="10" t="inlineStr">
        <is>
          <t>Fremdl. Persona</t>
        </is>
      </c>
      <c r="D3180" s="10" t="inlineStr">
        <is>
          <t>Vorleistungen</t>
        </is>
      </c>
      <c r="E3180" s="7" t="n">
        <v>61.31</v>
      </c>
      <c r="F3180" s="7" t="n">
        <v>735.66</v>
      </c>
    </row>
    <row r="3181" ht="21" customHeight="1">
      <c r="A3181" s="7" t="n">
        <v>2027</v>
      </c>
      <c r="B3181" s="7" t="n">
        <v>11</v>
      </c>
      <c r="C3181" s="10" t="inlineStr">
        <is>
          <t>Aufwand Umlage</t>
        </is>
      </c>
      <c r="D3181" s="10" t="inlineStr">
        <is>
          <t>Verwaltungskosten</t>
        </is>
      </c>
      <c r="E3181" s="7" t="n">
        <v>3383.24</v>
      </c>
      <c r="F3181" s="7" t="n">
        <v>40598.91</v>
      </c>
    </row>
    <row r="3182" ht="21" customHeight="1">
      <c r="A3182" s="7" t="n">
        <v>2031</v>
      </c>
      <c r="B3182" s="7" t="n">
        <v>11</v>
      </c>
      <c r="C3182" s="10" t="inlineStr">
        <is>
          <t>Ueb Lohn-Gehalt</t>
        </is>
      </c>
      <c r="D3182" s="10" t="inlineStr">
        <is>
          <t>Personalaufwand</t>
        </is>
      </c>
      <c r="E3182" s="7" t="n">
        <v>45675.82</v>
      </c>
      <c r="F3182" s="7" t="n">
        <v>548109.79</v>
      </c>
    </row>
    <row r="3183" ht="21" customHeight="1">
      <c r="A3183" s="7" t="n">
        <v>2027</v>
      </c>
      <c r="B3183" s="7" t="n">
        <v>11</v>
      </c>
      <c r="C3183" s="10" t="inlineStr">
        <is>
          <t>Rechts- u. Beratungs</t>
        </is>
      </c>
      <c r="D3183" s="10" t="inlineStr">
        <is>
          <t>Verwaltungskosten</t>
        </is>
      </c>
      <c r="E3183" s="7" t="n">
        <v>25635.99</v>
      </c>
      <c r="F3183" s="7" t="n">
        <v>307631.89</v>
      </c>
    </row>
    <row r="3184" ht="21" customHeight="1">
      <c r="A3184" s="7" t="n">
        <v>2028</v>
      </c>
      <c r="B3184" s="7" t="n">
        <v>11</v>
      </c>
      <c r="C3184" s="10" t="inlineStr">
        <is>
          <t>Verwaltungskost</t>
        </is>
      </c>
      <c r="D3184" s="10" t="inlineStr">
        <is>
          <t>Verwaltungskosten</t>
        </is>
      </c>
      <c r="E3184" s="7" t="n">
        <v>6892.21</v>
      </c>
      <c r="F3184" s="7" t="n">
        <v>82706.56</v>
      </c>
    </row>
    <row r="3185" ht="21" customHeight="1">
      <c r="A3185" s="7" t="n">
        <v>2028</v>
      </c>
      <c r="B3185" s="7" t="n">
        <v>11</v>
      </c>
      <c r="C3185" s="10" t="inlineStr">
        <is>
          <t>Ueb. bezog.Leis</t>
        </is>
      </c>
      <c r="D3185" s="10" t="inlineStr">
        <is>
          <t>Vorleistungen</t>
        </is>
      </c>
      <c r="E3185" s="7" t="n">
        <v>1342498.67</v>
      </c>
      <c r="F3185" s="7" t="n">
        <v>16109983.99</v>
      </c>
    </row>
    <row r="3186" ht="21" customHeight="1">
      <c r="A3186" s="7" t="n">
        <v>2028</v>
      </c>
      <c r="B3186" s="7" t="n">
        <v>11</v>
      </c>
      <c r="C3186" s="10" t="inlineStr">
        <is>
          <t>Ankauf Rohstoff</t>
        </is>
      </c>
      <c r="D3186" s="10" t="inlineStr">
        <is>
          <t>Vorleistungen</t>
        </is>
      </c>
      <c r="E3186" s="7" t="n">
        <v>1457.38</v>
      </c>
      <c r="F3186" s="7" t="n">
        <v>17488.61</v>
      </c>
    </row>
    <row r="3187" ht="21" customHeight="1">
      <c r="A3187" s="7" t="n">
        <v>2029</v>
      </c>
      <c r="B3187" s="7" t="n">
        <v>11</v>
      </c>
      <c r="C3187" s="10" t="inlineStr">
        <is>
          <t>Erloesschmaeler</t>
        </is>
      </c>
      <c r="D3187" s="10" t="inlineStr">
        <is>
          <t>Gesamtleistung</t>
        </is>
      </c>
      <c r="E3187" s="7" t="n">
        <v>-9048.01</v>
      </c>
      <c r="F3187" s="7" t="n">
        <v>-108576.08</v>
      </c>
    </row>
    <row r="3188" ht="21" customHeight="1">
      <c r="A3188" s="7" t="n">
        <v>2029</v>
      </c>
      <c r="B3188" s="7" t="n">
        <v>11</v>
      </c>
      <c r="C3188" s="10" t="inlineStr">
        <is>
          <t>Leasing PKW</t>
        </is>
      </c>
      <c r="D3188" s="10" t="inlineStr">
        <is>
          <t>Fuhrparkkosten</t>
        </is>
      </c>
      <c r="E3188" s="7" t="n">
        <v>24652.26</v>
      </c>
      <c r="F3188" s="7" t="n">
        <v>295827.14</v>
      </c>
    </row>
    <row r="3189" ht="21" customHeight="1">
      <c r="A3189" s="7" t="n">
        <v>2029</v>
      </c>
      <c r="B3189" s="7" t="n">
        <v>11</v>
      </c>
      <c r="C3189" s="10" t="inlineStr">
        <is>
          <t>Fremdl. Persona</t>
        </is>
      </c>
      <c r="D3189" s="10" t="inlineStr">
        <is>
          <t>Vorleistungen</t>
        </is>
      </c>
      <c r="E3189" s="7" t="n">
        <v>73.3</v>
      </c>
      <c r="F3189" s="7" t="n">
        <v>879.54</v>
      </c>
    </row>
    <row r="3190" ht="21" customHeight="1">
      <c r="A3190" s="7" t="n">
        <v>2028</v>
      </c>
      <c r="B3190" s="7" t="n">
        <v>11</v>
      </c>
      <c r="C3190" s="10" t="inlineStr">
        <is>
          <t>Aufwand Umlage</t>
        </is>
      </c>
      <c r="D3190" s="10" t="inlineStr">
        <is>
          <t>Verwaltungskosten</t>
        </is>
      </c>
      <c r="E3190" s="7" t="n">
        <v>3484.74</v>
      </c>
      <c r="F3190" s="7" t="n">
        <v>41816.88</v>
      </c>
    </row>
    <row r="3191" ht="21" customHeight="1">
      <c r="A3191" s="7" t="n">
        <v>2027</v>
      </c>
      <c r="B3191" s="7" t="n">
        <v>11</v>
      </c>
      <c r="C3191" s="10" t="inlineStr">
        <is>
          <t>Ankauf Rohstoff</t>
        </is>
      </c>
      <c r="D3191" s="10" t="inlineStr">
        <is>
          <t>Vorleistungen</t>
        </is>
      </c>
      <c r="E3191" s="7" t="n">
        <v>1408.24</v>
      </c>
      <c r="F3191" s="7" t="n">
        <v>16898.9</v>
      </c>
    </row>
    <row r="3192" ht="21" customHeight="1">
      <c r="A3192" s="7" t="n">
        <v>2030</v>
      </c>
      <c r="B3192" s="7" t="n">
        <v>11</v>
      </c>
      <c r="C3192" s="10" t="inlineStr">
        <is>
          <t>Erloesschmaeler</t>
        </is>
      </c>
      <c r="D3192" s="10" t="inlineStr">
        <is>
          <t>Gesamtleistung</t>
        </is>
      </c>
      <c r="E3192" s="7" t="n">
        <v>-9690.75</v>
      </c>
      <c r="F3192" s="7" t="n">
        <v>-116289.05</v>
      </c>
    </row>
    <row r="3193" ht="21" customHeight="1">
      <c r="A3193" s="7" t="n">
        <v>2029</v>
      </c>
      <c r="B3193" s="7" t="n">
        <v>11</v>
      </c>
      <c r="C3193" s="10" t="inlineStr">
        <is>
          <t>Sonst Fuhrparkkosten</t>
        </is>
      </c>
      <c r="D3193" s="10" t="inlineStr">
        <is>
          <t>Fuhrparkkosten</t>
        </is>
      </c>
      <c r="E3193" s="7" t="n">
        <v>5605.91</v>
      </c>
      <c r="F3193" s="7" t="n">
        <v>67270.89</v>
      </c>
    </row>
    <row r="3194" ht="21" customHeight="1">
      <c r="A3194" s="7" t="n">
        <v>2027</v>
      </c>
      <c r="B3194" s="7" t="n">
        <v>11</v>
      </c>
      <c r="C3194" s="10" t="inlineStr">
        <is>
          <t>Soziale Abgaben</t>
        </is>
      </c>
      <c r="D3194" s="10" t="inlineStr">
        <is>
          <t>Personalaufwand</t>
        </is>
      </c>
      <c r="E3194" s="7" t="n">
        <v>75903.69</v>
      </c>
      <c r="F3194" s="7" t="n">
        <v>910844.28</v>
      </c>
    </row>
    <row r="3195" ht="21" customHeight="1">
      <c r="A3195" s="7" t="n">
        <v>2031</v>
      </c>
      <c r="B3195" s="7" t="n">
        <v>11</v>
      </c>
      <c r="C3195" s="10" t="inlineStr">
        <is>
          <t>Erloesschmaeler</t>
        </is>
      </c>
      <c r="D3195" s="10" t="inlineStr">
        <is>
          <t>Gesamtleistung</t>
        </is>
      </c>
      <c r="E3195" s="7" t="n">
        <v>-10347.15</v>
      </c>
      <c r="F3195" s="7" t="n">
        <v>-124165.81</v>
      </c>
    </row>
    <row r="3196" ht="21" customHeight="1">
      <c r="A3196" s="7" t="n">
        <v>2029</v>
      </c>
      <c r="B3196" s="7" t="n">
        <v>11</v>
      </c>
      <c r="C3196" s="10" t="inlineStr">
        <is>
          <t>Ertr. weiterber</t>
        </is>
      </c>
      <c r="D3196" s="10" t="inlineStr">
        <is>
          <t>Gesamtleistung</t>
        </is>
      </c>
      <c r="E3196" s="7" t="n">
        <v>1036.39</v>
      </c>
      <c r="F3196" s="7" t="n">
        <v>12436.69</v>
      </c>
    </row>
    <row r="3197" ht="21" customHeight="1">
      <c r="A3197" s="7" t="n">
        <v>2027</v>
      </c>
      <c r="B3197" s="7" t="n">
        <v>11</v>
      </c>
      <c r="C3197" s="10" t="inlineStr">
        <is>
          <t>Sonderz. Prämie</t>
        </is>
      </c>
      <c r="D3197" s="10" t="inlineStr">
        <is>
          <t>Personalaufwand</t>
        </is>
      </c>
      <c r="E3197" s="7" t="n">
        <v>19636.08</v>
      </c>
      <c r="F3197" s="7" t="n">
        <v>235633</v>
      </c>
    </row>
    <row r="3198" ht="21" customHeight="1">
      <c r="A3198" s="7" t="n">
        <v>2027</v>
      </c>
      <c r="B3198" s="7" t="n">
        <v>11</v>
      </c>
      <c r="C3198" s="10" t="inlineStr">
        <is>
          <t>Miete Behälter</t>
        </is>
      </c>
      <c r="D3198" s="10" t="inlineStr">
        <is>
          <t>Instandh. Betriebsausstattung</t>
        </is>
      </c>
      <c r="E3198" s="7" t="n">
        <v>22.94</v>
      </c>
      <c r="F3198" s="7" t="n">
        <v>275.23</v>
      </c>
    </row>
    <row r="3199" ht="21" customHeight="1">
      <c r="A3199" s="7" t="n">
        <v>2031</v>
      </c>
      <c r="B3199" s="7" t="n">
        <v>11</v>
      </c>
      <c r="C3199" s="10" t="inlineStr">
        <is>
          <t>Versicherungskosten</t>
        </is>
      </c>
      <c r="D3199" s="10" t="inlineStr">
        <is>
          <t>Verwaltungskosten</t>
        </is>
      </c>
      <c r="E3199" s="7" t="n">
        <v>12143.81</v>
      </c>
      <c r="F3199" s="7" t="n">
        <v>145725.66</v>
      </c>
    </row>
    <row r="3200" ht="21" customHeight="1">
      <c r="A3200" s="7" t="n">
        <v>2029</v>
      </c>
      <c r="B3200" s="7" t="n">
        <v>11</v>
      </c>
      <c r="C3200" s="10" t="inlineStr">
        <is>
          <t>Rechts- u. Beratungs</t>
        </is>
      </c>
      <c r="D3200" s="10" t="inlineStr">
        <is>
          <t>Verwaltungskosten</t>
        </is>
      </c>
      <c r="E3200" s="7" t="n">
        <v>27197.22</v>
      </c>
      <c r="F3200" s="7" t="n">
        <v>326366.65</v>
      </c>
    </row>
    <row r="3201" ht="21" customHeight="1">
      <c r="A3201" s="7" t="n">
        <v>2028</v>
      </c>
      <c r="B3201" s="7" t="n">
        <v>11</v>
      </c>
      <c r="C3201" s="10" t="inlineStr">
        <is>
          <t>Instandh.Fuhrp</t>
        </is>
      </c>
      <c r="D3201" s="10" t="inlineStr">
        <is>
          <t>Fuhrparkkosten</t>
        </is>
      </c>
      <c r="E3201" s="7" t="n">
        <v>32180.39</v>
      </c>
      <c r="F3201" s="7" t="n">
        <v>386164.66</v>
      </c>
    </row>
    <row r="3202" ht="21" customHeight="1">
      <c r="A3202" s="7" t="n">
        <v>2030</v>
      </c>
      <c r="B3202" s="7" t="n">
        <v>11</v>
      </c>
      <c r="C3202" s="10" t="inlineStr">
        <is>
          <t>Miete Grdst/Gebäud</t>
        </is>
      </c>
      <c r="D3202" s="10" t="inlineStr">
        <is>
          <t>Raumkosten</t>
        </is>
      </c>
      <c r="E3202" s="7" t="n">
        <v>18603.32</v>
      </c>
      <c r="F3202" s="7" t="n">
        <v>223239.88</v>
      </c>
    </row>
    <row r="3203" ht="21" customHeight="1">
      <c r="A3203" s="7" t="n">
        <v>2027</v>
      </c>
      <c r="B3203" s="7" t="n">
        <v>11</v>
      </c>
      <c r="C3203" s="10" t="inlineStr">
        <is>
          <t>Ueb. bezog.Leis</t>
        </is>
      </c>
      <c r="D3203" s="10" t="inlineStr">
        <is>
          <t>Vorleistungen</t>
        </is>
      </c>
      <c r="E3203" s="7" t="n">
        <v>1319862.34</v>
      </c>
      <c r="F3203" s="7" t="n">
        <v>15838348.13</v>
      </c>
    </row>
    <row r="3204" ht="21" customHeight="1">
      <c r="A3204" s="7" t="n">
        <v>2029</v>
      </c>
      <c r="B3204" s="7" t="n">
        <v>11</v>
      </c>
      <c r="C3204" s="10" t="inlineStr">
        <is>
          <t>Erl. Waren Dt.</t>
        </is>
      </c>
      <c r="D3204" s="10" t="inlineStr">
        <is>
          <t>Gesamtleistung</t>
        </is>
      </c>
      <c r="E3204" s="7" t="n">
        <v>47334.08</v>
      </c>
      <c r="F3204" s="7" t="n">
        <v>568008.92</v>
      </c>
    </row>
    <row r="3205" ht="21" customHeight="1">
      <c r="A3205" s="7" t="n">
        <v>2031</v>
      </c>
      <c r="B3205" s="7" t="n">
        <v>11</v>
      </c>
      <c r="C3205" s="10" t="inlineStr">
        <is>
          <t>Treibstoffe, Oe</t>
        </is>
      </c>
      <c r="D3205" s="10" t="inlineStr">
        <is>
          <t>Fuhrparkkosten</t>
        </is>
      </c>
      <c r="E3205" s="7" t="n">
        <v>36227.88</v>
      </c>
      <c r="F3205" s="7" t="n">
        <v>434734.54</v>
      </c>
    </row>
    <row r="3206" ht="21" customHeight="1">
      <c r="A3206" s="7" t="n">
        <v>2029</v>
      </c>
      <c r="B3206" s="7" t="n">
        <v>11</v>
      </c>
      <c r="C3206" s="10" t="inlineStr">
        <is>
          <t>Miete Behälter</t>
        </is>
      </c>
      <c r="D3206" s="10" t="inlineStr">
        <is>
          <t>Instandh. Betriebsausstattung</t>
        </is>
      </c>
      <c r="E3206" s="7" t="n">
        <v>25.29</v>
      </c>
      <c r="F3206" s="7" t="n">
        <v>303.45</v>
      </c>
    </row>
    <row r="3207" ht="21" customHeight="1">
      <c r="A3207" s="7" t="n">
        <v>2030</v>
      </c>
      <c r="B3207" s="7" t="n">
        <v>11</v>
      </c>
      <c r="C3207" s="10" t="inlineStr">
        <is>
          <t>Instandh. BGA</t>
        </is>
      </c>
      <c r="D3207" s="10" t="inlineStr">
        <is>
          <t>Instandh. Betriebsausstattung</t>
        </is>
      </c>
      <c r="E3207" s="7" t="n">
        <v>4880.6</v>
      </c>
      <c r="F3207" s="7" t="n">
        <v>58567.23</v>
      </c>
    </row>
    <row r="3208" ht="21" customHeight="1">
      <c r="A3208" s="7" t="n">
        <v>2030</v>
      </c>
      <c r="B3208" s="7" t="n">
        <v>11</v>
      </c>
      <c r="C3208" s="10" t="inlineStr">
        <is>
          <t>Lohn + Gehalt</t>
        </is>
      </c>
      <c r="D3208" s="10" t="inlineStr">
        <is>
          <t>Personalaufwand</t>
        </is>
      </c>
      <c r="E3208" s="7" t="n">
        <v>392030.8</v>
      </c>
      <c r="F3208" s="7" t="n">
        <v>4704369.59</v>
      </c>
    </row>
    <row r="3209" ht="21" customHeight="1">
      <c r="A3209" s="7" t="n">
        <v>2027</v>
      </c>
      <c r="B3209" s="7" t="n">
        <v>11</v>
      </c>
      <c r="C3209" s="10" t="inlineStr">
        <is>
          <t>Bestandsveraend</t>
        </is>
      </c>
      <c r="D3209" s="10" t="inlineStr">
        <is>
          <t>Gesamtleistung</t>
        </is>
      </c>
      <c r="E3209" s="7" t="n">
        <v>0</v>
      </c>
      <c r="F3209" s="7" t="n">
        <v>0</v>
      </c>
    </row>
    <row r="3210" ht="21" customHeight="1">
      <c r="A3210" s="7" t="n">
        <v>2027</v>
      </c>
      <c r="B3210" s="7" t="n">
        <v>11</v>
      </c>
      <c r="C3210" s="10" t="inlineStr">
        <is>
          <t>Aufw. so. Hilfs</t>
        </is>
      </c>
      <c r="D3210" s="10" t="inlineStr">
        <is>
          <t>Vorleistungen</t>
        </is>
      </c>
      <c r="E3210" s="7" t="n">
        <v>-16362.04</v>
      </c>
      <c r="F3210" s="7" t="n">
        <v>-196344.47</v>
      </c>
    </row>
    <row r="3211" ht="21" customHeight="1">
      <c r="A3211" s="7" t="n">
        <v>2027</v>
      </c>
      <c r="B3211" s="7" t="n">
        <v>11</v>
      </c>
      <c r="C3211" s="10" t="inlineStr">
        <is>
          <t>Aufw. f. Alters</t>
        </is>
      </c>
      <c r="D3211" s="10" t="inlineStr">
        <is>
          <t>Personalaufwand</t>
        </is>
      </c>
      <c r="E3211" s="7" t="n">
        <v>1234.77</v>
      </c>
      <c r="F3211" s="7" t="n">
        <v>14817.29</v>
      </c>
    </row>
    <row r="3212" ht="21" customHeight="1">
      <c r="A3212" s="7" t="n">
        <v>2027</v>
      </c>
      <c r="B3212" s="7" t="n">
        <v>11</v>
      </c>
      <c r="C3212" s="10" t="inlineStr">
        <is>
          <t>Vertriebskosten</t>
        </is>
      </c>
      <c r="D3212" s="10" t="inlineStr">
        <is>
          <t>Vertriebskosten</t>
        </is>
      </c>
      <c r="E3212" s="7" t="n">
        <v>10833.33</v>
      </c>
      <c r="F3212" s="7" t="n">
        <v>130000</v>
      </c>
    </row>
    <row r="3213" ht="21" customHeight="1">
      <c r="A3213" s="7" t="n">
        <v>2027</v>
      </c>
      <c r="B3213" s="7" t="n">
        <v>11</v>
      </c>
      <c r="C3213" s="10" t="inlineStr">
        <is>
          <t>Ertrag KFZ-Nutz</t>
        </is>
      </c>
      <c r="D3213" s="10" t="inlineStr">
        <is>
          <t>Gesamtleistung</t>
        </is>
      </c>
      <c r="E3213" s="7" t="n">
        <v>8029.69</v>
      </c>
      <c r="F3213" s="7" t="n">
        <v>96356.3</v>
      </c>
    </row>
    <row r="3214" ht="21" customHeight="1">
      <c r="A3214" s="7" t="n">
        <v>2031</v>
      </c>
      <c r="B3214" s="7" t="n">
        <v>11</v>
      </c>
      <c r="C3214" s="10" t="inlineStr">
        <is>
          <t>Lohn + Gehalt</t>
        </is>
      </c>
      <c r="D3214" s="10" t="inlineStr">
        <is>
          <t>Personalaufwand</t>
        </is>
      </c>
      <c r="E3214" s="7" t="n">
        <v>428257.62</v>
      </c>
      <c r="F3214" s="7" t="n">
        <v>5139091.39</v>
      </c>
    </row>
    <row r="3215" ht="21" customHeight="1">
      <c r="A3215" s="7" t="n">
        <v>2031</v>
      </c>
      <c r="B3215" s="7" t="n">
        <v>11</v>
      </c>
      <c r="C3215" s="10" t="inlineStr">
        <is>
          <t>Soziale Abgaben</t>
        </is>
      </c>
      <c r="D3215" s="10" t="inlineStr">
        <is>
          <t>Personalaufwand</t>
        </is>
      </c>
      <c r="E3215" s="7" t="n">
        <v>113909.76</v>
      </c>
      <c r="F3215" s="7" t="n">
        <v>1366917.09</v>
      </c>
    </row>
    <row r="3216" ht="21" customHeight="1">
      <c r="A3216" s="7" t="n">
        <v>2031</v>
      </c>
      <c r="B3216" s="7" t="n">
        <v>11</v>
      </c>
      <c r="C3216" s="10" t="inlineStr">
        <is>
          <t>Sonst Fuhrparkkosten</t>
        </is>
      </c>
      <c r="D3216" s="10" t="inlineStr">
        <is>
          <t>Fuhrparkkosten</t>
        </is>
      </c>
      <c r="E3216" s="7" t="n">
        <v>6298.8</v>
      </c>
      <c r="F3216" s="7" t="n">
        <v>75585.56</v>
      </c>
    </row>
    <row r="3217" ht="21" customHeight="1">
      <c r="A3217" s="7" t="n">
        <v>2030</v>
      </c>
      <c r="B3217" s="7" t="n">
        <v>11</v>
      </c>
      <c r="C3217" s="10" t="inlineStr">
        <is>
          <t>Miete Behälter</t>
        </is>
      </c>
      <c r="D3217" s="10" t="inlineStr">
        <is>
          <t>Instandh. Betriebsausstattung</t>
        </is>
      </c>
      <c r="E3217" s="7" t="n">
        <v>26.55</v>
      </c>
      <c r="F3217" s="7" t="n">
        <v>318.62</v>
      </c>
    </row>
    <row r="3218" ht="21" customHeight="1">
      <c r="A3218" s="7" t="n">
        <v>2028</v>
      </c>
      <c r="B3218" s="7" t="n">
        <v>11</v>
      </c>
      <c r="C3218" s="10" t="inlineStr">
        <is>
          <t>Miete PKW</t>
        </is>
      </c>
      <c r="D3218" s="10" t="inlineStr">
        <is>
          <t>Fuhrparkkosten</t>
        </is>
      </c>
      <c r="E3218" s="7" t="n">
        <v>4890.62</v>
      </c>
      <c r="F3218" s="7" t="n">
        <v>58687.43</v>
      </c>
    </row>
    <row r="3219" ht="21" customHeight="1">
      <c r="A3219" s="7" t="n">
        <v>2030</v>
      </c>
      <c r="B3219" s="7" t="n">
        <v>11</v>
      </c>
      <c r="C3219" s="10" t="inlineStr">
        <is>
          <t>Aufwand Umlage</t>
        </is>
      </c>
      <c r="D3219" s="10" t="inlineStr">
        <is>
          <t>Verwaltungskosten</t>
        </is>
      </c>
      <c r="E3219" s="7" t="n">
        <v>3696.96</v>
      </c>
      <c r="F3219" s="7" t="n">
        <v>44363.53</v>
      </c>
    </row>
    <row r="3220" ht="21" customHeight="1">
      <c r="A3220" s="7" t="n">
        <v>2030</v>
      </c>
      <c r="B3220" s="7" t="n">
        <v>11</v>
      </c>
      <c r="C3220" s="10" t="inlineStr">
        <is>
          <t>So. betr. Aufwa</t>
        </is>
      </c>
      <c r="D3220" s="10" t="inlineStr">
        <is>
          <t>Verwaltungskosten</t>
        </is>
      </c>
      <c r="E3220" s="7" t="n">
        <v>714.05</v>
      </c>
      <c r="F3220" s="7" t="n">
        <v>8568.57</v>
      </c>
    </row>
    <row r="3221" ht="21" customHeight="1">
      <c r="A3221" s="7" t="n">
        <v>2029</v>
      </c>
      <c r="B3221" s="7" t="n">
        <v>11</v>
      </c>
      <c r="C3221" s="10" t="inlineStr">
        <is>
          <t>Versicherungskosten</t>
        </is>
      </c>
      <c r="D3221" s="10" t="inlineStr">
        <is>
          <t>Verwaltungskosten</t>
        </is>
      </c>
      <c r="E3221" s="7" t="n">
        <v>11446.7</v>
      </c>
      <c r="F3221" s="7" t="n">
        <v>137360.42</v>
      </c>
    </row>
    <row r="3222" ht="21" customHeight="1">
      <c r="A3222" s="7" t="n">
        <v>2027</v>
      </c>
      <c r="B3222" s="7" t="n">
        <v>11</v>
      </c>
      <c r="C3222" s="10" t="inlineStr">
        <is>
          <t>Sonstige Steuer</t>
        </is>
      </c>
      <c r="D3222" s="10" t="inlineStr">
        <is>
          <t>Fuhrparkkosten</t>
        </is>
      </c>
      <c r="E3222" s="7" t="n">
        <v>1497.31</v>
      </c>
      <c r="F3222" s="7" t="n">
        <v>17967.71</v>
      </c>
    </row>
    <row r="3223" ht="21" customHeight="1">
      <c r="A3223" s="7" t="n">
        <v>2031</v>
      </c>
      <c r="B3223" s="7" t="n">
        <v>11</v>
      </c>
      <c r="C3223" s="10" t="inlineStr">
        <is>
          <t>Leasing LKW</t>
        </is>
      </c>
      <c r="D3223" s="10" t="inlineStr">
        <is>
          <t>Fuhrparkkosten</t>
        </is>
      </c>
      <c r="E3223" s="7" t="n">
        <v>2910.36</v>
      </c>
      <c r="F3223" s="7" t="n">
        <v>34924.28</v>
      </c>
    </row>
    <row r="3224" ht="21" customHeight="1">
      <c r="A3224" s="7" t="n">
        <v>2029</v>
      </c>
      <c r="B3224" s="7" t="n">
        <v>11</v>
      </c>
      <c r="C3224" s="10" t="inlineStr">
        <is>
          <t>Leasing LKW</t>
        </is>
      </c>
      <c r="D3224" s="10" t="inlineStr">
        <is>
          <t>Fuhrparkkosten</t>
        </is>
      </c>
      <c r="E3224" s="7" t="n">
        <v>2590.21</v>
      </c>
      <c r="F3224" s="7" t="n">
        <v>31082.49</v>
      </c>
    </row>
    <row r="3225" ht="21" customHeight="1">
      <c r="A3225" s="7" t="n">
        <v>2027</v>
      </c>
      <c r="B3225" s="7" t="n">
        <v>11</v>
      </c>
      <c r="C3225" s="10" t="inlineStr">
        <is>
          <t>Instandh.Fuhrp</t>
        </is>
      </c>
      <c r="D3225" s="10" t="inlineStr">
        <is>
          <t>Fuhrparkkosten</t>
        </is>
      </c>
      <c r="E3225" s="7" t="n">
        <v>30358.86</v>
      </c>
      <c r="F3225" s="7" t="n">
        <v>364306.28</v>
      </c>
    </row>
    <row r="3226" ht="21" customHeight="1">
      <c r="A3226" s="7" t="n">
        <v>2029</v>
      </c>
      <c r="B3226" s="7" t="n">
        <v>11</v>
      </c>
      <c r="C3226" s="10" t="inlineStr">
        <is>
          <t>Vertriebskosten</t>
        </is>
      </c>
      <c r="D3226" s="10" t="inlineStr">
        <is>
          <t>Vertriebskosten</t>
        </is>
      </c>
      <c r="E3226" s="7" t="n">
        <v>11943.75</v>
      </c>
      <c r="F3226" s="7" t="n">
        <v>143325</v>
      </c>
    </row>
    <row r="3227" ht="21" customHeight="1">
      <c r="A3227" s="7" t="n">
        <v>2031</v>
      </c>
      <c r="B3227" s="7" t="n">
        <v>11</v>
      </c>
      <c r="C3227" s="10" t="inlineStr">
        <is>
          <t>Miete Grdst/Gebäud</t>
        </is>
      </c>
      <c r="D3227" s="10" t="inlineStr">
        <is>
          <t>Raumkosten</t>
        </is>
      </c>
      <c r="E3227" s="7" t="n">
        <v>18975.39</v>
      </c>
      <c r="F3227" s="7" t="n">
        <v>227704.65</v>
      </c>
    </row>
    <row r="3228" ht="21" customHeight="1">
      <c r="A3228" s="7" t="n">
        <v>2029</v>
      </c>
      <c r="B3228" s="7" t="n">
        <v>11</v>
      </c>
      <c r="C3228" s="10" t="inlineStr">
        <is>
          <t>Uebr.neutr. Ert</t>
        </is>
      </c>
      <c r="D3228" s="10" t="inlineStr">
        <is>
          <t>Gesamtleistung</t>
        </is>
      </c>
      <c r="E3228" s="7" t="n">
        <v>189.9</v>
      </c>
      <c r="F3228" s="7" t="n">
        <v>2278.85</v>
      </c>
    </row>
    <row r="3229" ht="21" customHeight="1">
      <c r="A3229" s="7" t="n">
        <v>2030</v>
      </c>
      <c r="B3229" s="7" t="n">
        <v>11</v>
      </c>
      <c r="C3229" s="10" t="inlineStr">
        <is>
          <t>Behaelterkosten</t>
        </is>
      </c>
      <c r="D3229" s="10" t="inlineStr">
        <is>
          <t>Instandh. Betriebsausstattung</t>
        </is>
      </c>
      <c r="E3229" s="7" t="n">
        <v>12.75</v>
      </c>
      <c r="F3229" s="7" t="n">
        <v>153.03</v>
      </c>
    </row>
    <row r="3230" ht="21" customHeight="1">
      <c r="A3230" s="7" t="n">
        <v>2029</v>
      </c>
      <c r="B3230" s="7" t="n">
        <v>11</v>
      </c>
      <c r="C3230" s="10" t="inlineStr">
        <is>
          <t>IT-Aufwendungen</t>
        </is>
      </c>
      <c r="D3230" s="10" t="inlineStr">
        <is>
          <t>Verwaltungskosten</t>
        </is>
      </c>
      <c r="E3230" s="7" t="n">
        <v>12302.44</v>
      </c>
      <c r="F3230" s="7" t="n">
        <v>147629.28</v>
      </c>
    </row>
    <row r="3231" ht="21" customHeight="1">
      <c r="A3231" s="7" t="n">
        <v>2028</v>
      </c>
      <c r="B3231" s="7" t="n">
        <v>11</v>
      </c>
      <c r="C3231" s="10" t="inlineStr">
        <is>
          <t>Instandh. BGA</t>
        </is>
      </c>
      <c r="D3231" s="10" t="inlineStr">
        <is>
          <t>Instandh. Betriebsausstattung</t>
        </is>
      </c>
      <c r="E3231" s="7" t="n">
        <v>4426.85</v>
      </c>
      <c r="F3231" s="7" t="n">
        <v>53122.2</v>
      </c>
    </row>
    <row r="3232" ht="21" customHeight="1">
      <c r="A3232" s="7" t="n">
        <v>2029</v>
      </c>
      <c r="B3232" s="7" t="n">
        <v>11</v>
      </c>
      <c r="C3232" s="10" t="inlineStr">
        <is>
          <t>Instandh.Fuhrp</t>
        </is>
      </c>
      <c r="D3232" s="10" t="inlineStr">
        <is>
          <t>Fuhrparkkosten</t>
        </is>
      </c>
      <c r="E3232" s="7" t="n">
        <v>34111.21</v>
      </c>
      <c r="F3232" s="7" t="n">
        <v>409334.56</v>
      </c>
    </row>
    <row r="3233" ht="21" customHeight="1">
      <c r="A3233" s="7" t="n">
        <v>2031</v>
      </c>
      <c r="B3233" s="7" t="n">
        <v>11</v>
      </c>
      <c r="C3233" s="10" t="inlineStr">
        <is>
          <t>Rechts- u. Beratungs</t>
        </is>
      </c>
      <c r="D3233" s="10" t="inlineStr">
        <is>
          <t>Verwaltungskosten</t>
        </is>
      </c>
      <c r="E3233" s="7" t="n">
        <v>28853.53</v>
      </c>
      <c r="F3233" s="7" t="n">
        <v>346242.38</v>
      </c>
    </row>
    <row r="3234" ht="21" customHeight="1">
      <c r="A3234" s="7" t="n">
        <v>2029</v>
      </c>
      <c r="B3234" s="7" t="n">
        <v>11</v>
      </c>
      <c r="C3234" s="10" t="inlineStr">
        <is>
          <t>Ertrag KFZ-Nutz</t>
        </is>
      </c>
      <c r="D3234" s="10" t="inlineStr">
        <is>
          <t>Gesamtleistung</t>
        </is>
      </c>
      <c r="E3234" s="7" t="n">
        <v>8815.82</v>
      </c>
      <c r="F3234" s="7" t="n">
        <v>105789.86</v>
      </c>
    </row>
    <row r="3235" ht="21" customHeight="1">
      <c r="A3235" s="7" t="n">
        <v>2030</v>
      </c>
      <c r="B3235" s="7" t="n">
        <v>11</v>
      </c>
      <c r="C3235" s="10" t="inlineStr">
        <is>
          <t>Ertr. weiterber</t>
        </is>
      </c>
      <c r="D3235" s="10" t="inlineStr">
        <is>
          <t>Gesamtleistung</t>
        </is>
      </c>
      <c r="E3235" s="7" t="n">
        <v>1104.47</v>
      </c>
      <c r="F3235" s="7" t="n">
        <v>13253.67</v>
      </c>
    </row>
    <row r="3236" ht="21" customHeight="1">
      <c r="A3236" s="7" t="n">
        <v>2028</v>
      </c>
      <c r="B3236" s="7" t="n">
        <v>11</v>
      </c>
      <c r="C3236" s="10" t="inlineStr">
        <is>
          <t>Leasing PKW</t>
        </is>
      </c>
      <c r="D3236" s="10" t="inlineStr">
        <is>
          <t>Fuhrparkkosten</t>
        </is>
      </c>
      <c r="E3236" s="7" t="n">
        <v>23256.85</v>
      </c>
      <c r="F3236" s="7" t="n">
        <v>279082.22</v>
      </c>
    </row>
    <row r="3237" ht="21" customHeight="1">
      <c r="A3237" s="7" t="n">
        <v>2028</v>
      </c>
      <c r="B3237" s="7" t="n">
        <v>11</v>
      </c>
      <c r="C3237" s="10" t="inlineStr">
        <is>
          <t>Treibstoffe, Oe</t>
        </is>
      </c>
      <c r="D3237" s="10" t="inlineStr">
        <is>
          <t>Fuhrparkkosten</t>
        </is>
      </c>
      <c r="E3237" s="7" t="n">
        <v>30417.62</v>
      </c>
      <c r="F3237" s="7" t="n">
        <v>365011.49</v>
      </c>
    </row>
    <row r="3238" ht="21" customHeight="1">
      <c r="A3238" s="7" t="n">
        <v>2029</v>
      </c>
      <c r="B3238" s="7" t="n">
        <v>11</v>
      </c>
      <c r="C3238" s="10" t="inlineStr">
        <is>
          <t>Miete PKW</t>
        </is>
      </c>
      <c r="D3238" s="10" t="inlineStr">
        <is>
          <t>Fuhrparkkosten</t>
        </is>
      </c>
      <c r="E3238" s="7" t="n">
        <v>5184.06</v>
      </c>
      <c r="F3238" s="7" t="n">
        <v>62208.67</v>
      </c>
    </row>
    <row r="3239" ht="21" customHeight="1">
      <c r="A3239" s="7" t="n">
        <v>2028</v>
      </c>
      <c r="B3239" s="7" t="n">
        <v>11</v>
      </c>
      <c r="C3239" s="10" t="inlineStr">
        <is>
          <t>Ertr. weiterber</t>
        </is>
      </c>
      <c r="D3239" s="10" t="inlineStr">
        <is>
          <t>Gesamtleistung</t>
        </is>
      </c>
      <c r="E3239" s="7" t="n">
        <v>980.91</v>
      </c>
      <c r="F3239" s="7" t="n">
        <v>11770.87</v>
      </c>
    </row>
    <row r="3240" ht="21" customHeight="1">
      <c r="A3240" s="7" t="n">
        <v>2029</v>
      </c>
      <c r="B3240" s="7" t="n">
        <v>11</v>
      </c>
      <c r="C3240" s="10" t="inlineStr">
        <is>
          <t>Instandh. BGA</t>
        </is>
      </c>
      <c r="D3240" s="10" t="inlineStr">
        <is>
          <t>Instandh. Betriebsausstattung</t>
        </is>
      </c>
      <c r="E3240" s="7" t="n">
        <v>4648.19</v>
      </c>
      <c r="F3240" s="7" t="n">
        <v>55778.31</v>
      </c>
    </row>
    <row r="3241" ht="21" customHeight="1">
      <c r="A3241" s="7" t="n">
        <v>2028</v>
      </c>
      <c r="B3241" s="7" t="n">
        <v>11</v>
      </c>
      <c r="C3241" s="10" t="inlineStr">
        <is>
          <t>Erl. so. DL Dt.</t>
        </is>
      </c>
      <c r="D3241" s="10" t="inlineStr">
        <is>
          <t>Gesamtleistung</t>
        </is>
      </c>
      <c r="E3241" s="7" t="n">
        <v>2095866.37</v>
      </c>
      <c r="F3241" s="7" t="n">
        <v>25150396.49</v>
      </c>
    </row>
    <row r="3242" ht="21" customHeight="1">
      <c r="A3242" s="7" t="n">
        <v>2028</v>
      </c>
      <c r="B3242" s="7" t="n">
        <v>11</v>
      </c>
      <c r="C3242" s="10" t="inlineStr">
        <is>
          <t>IT-Aufwendungen</t>
        </is>
      </c>
      <c r="D3242" s="10" t="inlineStr">
        <is>
          <t>Verwaltungskosten</t>
        </is>
      </c>
      <c r="E3242" s="7" t="n">
        <v>11944.12</v>
      </c>
      <c r="F3242" s="7" t="n">
        <v>143329.39</v>
      </c>
    </row>
    <row r="3243" ht="21" customHeight="1">
      <c r="A3243" s="7" t="n">
        <v>2029</v>
      </c>
      <c r="B3243" s="7" t="n">
        <v>11</v>
      </c>
      <c r="C3243" s="10" t="inlineStr">
        <is>
          <t>Ueb. bezog.Leis</t>
        </is>
      </c>
      <c r="D3243" s="10" t="inlineStr">
        <is>
          <t>Vorleistungen</t>
        </is>
      </c>
      <c r="E3243" s="7" t="n">
        <v>1364260.58</v>
      </c>
      <c r="F3243" s="7" t="n">
        <v>16371126.93</v>
      </c>
    </row>
    <row r="3244" ht="21" customHeight="1">
      <c r="A3244" s="7" t="n">
        <v>2031</v>
      </c>
      <c r="B3244" s="7" t="n">
        <v>11</v>
      </c>
      <c r="C3244" s="10" t="inlineStr">
        <is>
          <t>Sonderz. Prämie</t>
        </is>
      </c>
      <c r="D3244" s="10" t="inlineStr">
        <is>
          <t>Personalaufwand</t>
        </is>
      </c>
      <c r="E3244" s="7" t="n">
        <v>26838.18</v>
      </c>
      <c r="F3244" s="7" t="n">
        <v>322058.2</v>
      </c>
    </row>
    <row r="3245" ht="21" customHeight="1">
      <c r="A3245" s="7" t="n">
        <v>2029</v>
      </c>
      <c r="B3245" s="7" t="n">
        <v>11</v>
      </c>
      <c r="C3245" s="10" t="inlineStr">
        <is>
          <t>Verwaltungskost</t>
        </is>
      </c>
      <c r="D3245" s="10" t="inlineStr">
        <is>
          <t>Verwaltungskosten</t>
        </is>
      </c>
      <c r="E3245" s="7" t="n">
        <v>7098.98</v>
      </c>
      <c r="F3245" s="7" t="n">
        <v>85187.74000000001</v>
      </c>
    </row>
    <row r="3246" ht="21" customHeight="1">
      <c r="A3246" s="7" t="n">
        <v>2028</v>
      </c>
      <c r="B3246" s="7" t="n">
        <v>11</v>
      </c>
      <c r="C3246" s="10" t="inlineStr">
        <is>
          <t>Ertrag KFZ-Nutz</t>
        </is>
      </c>
      <c r="D3246" s="10" t="inlineStr">
        <is>
          <t>Gesamtleistung</t>
        </is>
      </c>
      <c r="E3246" s="7" t="n">
        <v>8405.780000000001</v>
      </c>
      <c r="F3246" s="7" t="n">
        <v>100869.3</v>
      </c>
    </row>
    <row r="3247" ht="21" customHeight="1">
      <c r="A3247" s="7" t="n">
        <v>2030</v>
      </c>
      <c r="B3247" s="7" t="n">
        <v>11</v>
      </c>
      <c r="C3247" s="10" t="inlineStr">
        <is>
          <t>Sonst Fuhrparkkosten</t>
        </is>
      </c>
      <c r="D3247" s="10" t="inlineStr">
        <is>
          <t>Fuhrparkkosten</t>
        </is>
      </c>
      <c r="E3247" s="7" t="n">
        <v>5942.26</v>
      </c>
      <c r="F3247" s="7" t="n">
        <v>71307.13</v>
      </c>
    </row>
    <row r="3248" ht="21" customHeight="1">
      <c r="A3248" s="7" t="n">
        <v>2028</v>
      </c>
      <c r="B3248" s="7" t="n">
        <v>11</v>
      </c>
      <c r="C3248" s="10" t="inlineStr">
        <is>
          <t>Rechts- u. Beratungs</t>
        </is>
      </c>
      <c r="D3248" s="10" t="inlineStr">
        <is>
          <t>Verwaltungskosten</t>
        </is>
      </c>
      <c r="E3248" s="7" t="n">
        <v>26405.07</v>
      </c>
      <c r="F3248" s="7" t="n">
        <v>316860.83</v>
      </c>
    </row>
    <row r="3249" ht="21" customHeight="1">
      <c r="A3249" s="7" t="n">
        <v>2027</v>
      </c>
      <c r="B3249" s="7" t="n">
        <v>11</v>
      </c>
      <c r="C3249" s="10" t="inlineStr">
        <is>
          <t>Leasing LKW</t>
        </is>
      </c>
      <c r="D3249" s="10" t="inlineStr">
        <is>
          <t>Fuhrparkkosten</t>
        </is>
      </c>
      <c r="E3249" s="7" t="n">
        <v>2305.28</v>
      </c>
      <c r="F3249" s="7" t="n">
        <v>27663.3</v>
      </c>
    </row>
    <row r="3250" ht="21" customHeight="1">
      <c r="A3250" s="7" t="n">
        <v>2031</v>
      </c>
      <c r="B3250" s="7" t="n">
        <v>11</v>
      </c>
      <c r="C3250" s="10" t="inlineStr">
        <is>
          <t>Fremdl. Fuhrlei</t>
        </is>
      </c>
      <c r="D3250" s="10" t="inlineStr">
        <is>
          <t>Vorleistungen</t>
        </is>
      </c>
      <c r="E3250" s="7" t="n">
        <v>374.24</v>
      </c>
      <c r="F3250" s="7" t="n">
        <v>4490.84</v>
      </c>
    </row>
    <row r="3251" ht="21" customHeight="1">
      <c r="A3251" s="7" t="n">
        <v>2029</v>
      </c>
      <c r="B3251" s="7" t="n">
        <v>11</v>
      </c>
      <c r="C3251" s="10" t="inlineStr">
        <is>
          <t>Fremdl. Fuhrlei</t>
        </is>
      </c>
      <c r="D3251" s="10" t="inlineStr">
        <is>
          <t>Vorleistungen</t>
        </is>
      </c>
      <c r="E3251" s="7" t="n">
        <v>362.07</v>
      </c>
      <c r="F3251" s="7" t="n">
        <v>4344.88</v>
      </c>
    </row>
    <row r="3252" ht="21" customHeight="1">
      <c r="A3252" s="7" t="n">
        <v>2028</v>
      </c>
      <c r="B3252" s="7" t="n">
        <v>11</v>
      </c>
      <c r="C3252" s="10" t="inlineStr">
        <is>
          <t>Vertriebskosten</t>
        </is>
      </c>
      <c r="D3252" s="10" t="inlineStr">
        <is>
          <t>Vertriebskosten</t>
        </is>
      </c>
      <c r="E3252" s="7" t="n">
        <v>11375</v>
      </c>
      <c r="F3252" s="7" t="n">
        <v>136500</v>
      </c>
    </row>
    <row r="3253" ht="21" customHeight="1">
      <c r="A3253" s="7" t="n">
        <v>2031</v>
      </c>
      <c r="B3253" s="7" t="n">
        <v>11</v>
      </c>
      <c r="C3253" s="10" t="inlineStr">
        <is>
          <t>Aufw. so. Hilfs</t>
        </is>
      </c>
      <c r="D3253" s="10" t="inlineStr">
        <is>
          <t>Vorleistungen</t>
        </is>
      </c>
      <c r="E3253" s="7" t="n">
        <v>-17544.22</v>
      </c>
      <c r="F3253" s="7" t="n">
        <v>-210530.6</v>
      </c>
    </row>
    <row r="3254" ht="21" customHeight="1">
      <c r="A3254" s="7" t="n">
        <v>2029</v>
      </c>
      <c r="B3254" s="7" t="n">
        <v>11</v>
      </c>
      <c r="C3254" s="10" t="inlineStr">
        <is>
          <t>Ankauf Rohstoff</t>
        </is>
      </c>
      <c r="D3254" s="10" t="inlineStr">
        <is>
          <t>Vorleistungen</t>
        </is>
      </c>
      <c r="E3254" s="7" t="n">
        <v>1473.64</v>
      </c>
      <c r="F3254" s="7" t="n">
        <v>17683.65</v>
      </c>
    </row>
    <row r="3255" ht="21" customHeight="1">
      <c r="A3255" s="7" t="n">
        <v>2028</v>
      </c>
      <c r="B3255" s="7" t="n">
        <v>11</v>
      </c>
      <c r="C3255" s="10" t="inlineStr">
        <is>
          <t>Sonstige Steuer</t>
        </is>
      </c>
      <c r="D3255" s="10" t="inlineStr">
        <is>
          <t>Fuhrparkkosten</t>
        </is>
      </c>
      <c r="E3255" s="7" t="n">
        <v>1587.15</v>
      </c>
      <c r="F3255" s="7" t="n">
        <v>19045.76</v>
      </c>
    </row>
    <row r="3256" ht="21" customHeight="1">
      <c r="A3256" s="7" t="n">
        <v>2030</v>
      </c>
      <c r="B3256" s="7" t="n">
        <v>11</v>
      </c>
      <c r="C3256" s="10" t="inlineStr">
        <is>
          <t>Weiterber. Frem</t>
        </is>
      </c>
      <c r="D3256" s="10" t="inlineStr">
        <is>
          <t>Vorleistungen</t>
        </is>
      </c>
      <c r="E3256" s="7" t="n">
        <v>0</v>
      </c>
      <c r="F3256" s="7" t="n">
        <v>0</v>
      </c>
    </row>
    <row r="3257" ht="21" customHeight="1">
      <c r="A3257" s="7" t="n">
        <v>2031</v>
      </c>
      <c r="B3257" s="7" t="n">
        <v>11</v>
      </c>
      <c r="C3257" s="10" t="inlineStr">
        <is>
          <t>Miete Behälter</t>
        </is>
      </c>
      <c r="D3257" s="10" t="inlineStr">
        <is>
          <t>Instandh. Betriebsausstattung</t>
        </is>
      </c>
      <c r="E3257" s="7" t="n">
        <v>27.88</v>
      </c>
      <c r="F3257" s="7" t="n">
        <v>334.55</v>
      </c>
    </row>
    <row r="3258" ht="21" customHeight="1">
      <c r="A3258" s="7" t="n">
        <v>2027</v>
      </c>
      <c r="B3258" s="7" t="n">
        <v>11</v>
      </c>
      <c r="C3258" s="10" t="inlineStr">
        <is>
          <t>Miete Grdst/Gebäud</t>
        </is>
      </c>
      <c r="D3258" s="10" t="inlineStr">
        <is>
          <t>Raumkosten</t>
        </is>
      </c>
      <c r="E3258" s="7" t="n">
        <v>15284.77</v>
      </c>
      <c r="F3258" s="7" t="n">
        <v>183417.26</v>
      </c>
    </row>
    <row r="3259" ht="21" customHeight="1">
      <c r="A3259" s="7" t="n">
        <v>2028</v>
      </c>
      <c r="B3259" s="7" t="n">
        <v>11</v>
      </c>
      <c r="C3259" s="10" t="inlineStr">
        <is>
          <t>Aufw. f. Alters</t>
        </is>
      </c>
      <c r="D3259" s="10" t="inlineStr">
        <is>
          <t>Personalaufwand</t>
        </is>
      </c>
      <c r="E3259" s="7" t="n">
        <v>1290.05</v>
      </c>
      <c r="F3259" s="7" t="n">
        <v>15480.56</v>
      </c>
    </row>
    <row r="3260" ht="21" customHeight="1">
      <c r="A3260" s="7" t="n">
        <v>2028</v>
      </c>
      <c r="B3260" s="7" t="n">
        <v>11</v>
      </c>
      <c r="C3260" s="10" t="inlineStr">
        <is>
          <t>Fremdl. Persona</t>
        </is>
      </c>
      <c r="D3260" s="10" t="inlineStr">
        <is>
          <t>Vorleistungen</t>
        </is>
      </c>
      <c r="E3260" s="7" t="n">
        <v>69.04000000000001</v>
      </c>
      <c r="F3260" s="7" t="n">
        <v>828.42</v>
      </c>
    </row>
    <row r="3261" ht="21" customHeight="1">
      <c r="A3261" s="7" t="n">
        <v>2030</v>
      </c>
      <c r="B3261" s="7" t="n">
        <v>11</v>
      </c>
      <c r="C3261" s="10" t="inlineStr">
        <is>
          <t>Vertriebskosten</t>
        </is>
      </c>
      <c r="D3261" s="10" t="inlineStr">
        <is>
          <t>Vertriebskosten</t>
        </is>
      </c>
      <c r="E3261" s="7" t="n">
        <v>12540.94</v>
      </c>
      <c r="F3261" s="7" t="n">
        <v>150491.26</v>
      </c>
    </row>
    <row r="3262" ht="21" customHeight="1">
      <c r="A3262" s="7" t="n">
        <v>2030</v>
      </c>
      <c r="B3262" s="7" t="n">
        <v>11</v>
      </c>
      <c r="C3262" s="10" t="inlineStr">
        <is>
          <t>Aufw. so. Hilfs</t>
        </is>
      </c>
      <c r="D3262" s="10" t="inlineStr">
        <is>
          <t>Vorleistungen</t>
        </is>
      </c>
      <c r="E3262" s="7" t="n">
        <v>-17197.35</v>
      </c>
      <c r="F3262" s="7" t="n">
        <v>-206368.2</v>
      </c>
    </row>
    <row r="3263" ht="21" customHeight="1">
      <c r="A3263" s="7" t="n">
        <v>2029</v>
      </c>
      <c r="B3263" s="7" t="n">
        <v>11</v>
      </c>
      <c r="C3263" s="10" t="inlineStr">
        <is>
          <t>Aufw. so. Hilfs</t>
        </is>
      </c>
      <c r="D3263" s="10" t="inlineStr">
        <is>
          <t>Vorleistungen</t>
        </is>
      </c>
      <c r="E3263" s="7" t="n">
        <v>-16834.66</v>
      </c>
      <c r="F3263" s="7" t="n">
        <v>-202015.88</v>
      </c>
    </row>
    <row r="3264" ht="21" customHeight="1">
      <c r="A3264" s="7" t="n">
        <v>2027</v>
      </c>
      <c r="B3264" s="7" t="n">
        <v>11</v>
      </c>
      <c r="C3264" s="10" t="inlineStr">
        <is>
          <t>Miete PKW</t>
        </is>
      </c>
      <c r="D3264" s="10" t="inlineStr">
        <is>
          <t>Fuhrparkkosten</t>
        </is>
      </c>
      <c r="E3264" s="7" t="n">
        <v>4613.79</v>
      </c>
      <c r="F3264" s="7" t="n">
        <v>55365.51</v>
      </c>
    </row>
    <row r="3265" ht="21" customHeight="1">
      <c r="A3265" s="7" t="n">
        <v>2030</v>
      </c>
      <c r="B3265" s="7" t="n">
        <v>11</v>
      </c>
      <c r="C3265" s="10" t="inlineStr">
        <is>
          <t>Fremdl. Fuhrlei</t>
        </is>
      </c>
      <c r="D3265" s="10" t="inlineStr">
        <is>
          <t>Vorleistungen</t>
        </is>
      </c>
      <c r="E3265" s="7" t="n">
        <v>368.3</v>
      </c>
      <c r="F3265" s="7" t="n">
        <v>4419.56</v>
      </c>
    </row>
    <row r="3266" ht="21" customHeight="1">
      <c r="A3266" s="7" t="n">
        <v>2030</v>
      </c>
      <c r="B3266" s="7" t="n">
        <v>11</v>
      </c>
      <c r="C3266" s="10" t="inlineStr">
        <is>
          <t>Miete PKW</t>
        </is>
      </c>
      <c r="D3266" s="10" t="inlineStr">
        <is>
          <t>Fuhrparkkosten</t>
        </is>
      </c>
      <c r="E3266" s="7" t="n">
        <v>5495.1</v>
      </c>
      <c r="F3266" s="7" t="n">
        <v>65941.19</v>
      </c>
    </row>
    <row r="3267" ht="21" customHeight="1">
      <c r="A3267" s="7" t="n">
        <v>2027</v>
      </c>
      <c r="B3267" s="7" t="n">
        <v>11</v>
      </c>
      <c r="C3267" s="10" t="inlineStr">
        <is>
          <t>Erl. Waren Dt.</t>
        </is>
      </c>
      <c r="D3267" s="10" t="inlineStr">
        <is>
          <t>Gesamtleistung</t>
        </is>
      </c>
      <c r="E3267" s="7" t="n">
        <v>42246.46</v>
      </c>
      <c r="F3267" s="7" t="n">
        <v>506957.51</v>
      </c>
    </row>
    <row r="3268" ht="21" customHeight="1">
      <c r="A3268" s="7" t="n">
        <v>2029</v>
      </c>
      <c r="B3268" s="7" t="n">
        <v>11</v>
      </c>
      <c r="C3268" s="10" t="inlineStr">
        <is>
          <t>Bestandsveraend</t>
        </is>
      </c>
      <c r="D3268" s="10" t="inlineStr">
        <is>
          <t>Gesamtleistung</t>
        </is>
      </c>
      <c r="E3268" s="7" t="n">
        <v>0</v>
      </c>
      <c r="F3268" s="7" t="n">
        <v>0</v>
      </c>
    </row>
    <row r="3269" ht="21" customHeight="1">
      <c r="A3269" s="7" t="n">
        <v>2031</v>
      </c>
      <c r="B3269" s="7" t="n">
        <v>11</v>
      </c>
      <c r="C3269" s="10" t="inlineStr">
        <is>
          <t>Leasing PKW</t>
        </is>
      </c>
      <c r="D3269" s="10" t="inlineStr">
        <is>
          <t>Fuhrparkkosten</t>
        </is>
      </c>
      <c r="E3269" s="7" t="n">
        <v>27699.28</v>
      </c>
      <c r="F3269" s="7" t="n">
        <v>332391.4</v>
      </c>
    </row>
    <row r="3270" ht="21" customHeight="1">
      <c r="A3270" s="7" t="n">
        <v>2029</v>
      </c>
      <c r="B3270" s="7" t="n">
        <v>11</v>
      </c>
      <c r="C3270" s="10" t="inlineStr">
        <is>
          <t>Behaelterkosten</t>
        </is>
      </c>
      <c r="D3270" s="10" t="inlineStr">
        <is>
          <t>Instandh. Betriebsausstattung</t>
        </is>
      </c>
      <c r="E3270" s="7" t="n">
        <v>12.15</v>
      </c>
      <c r="F3270" s="7" t="n">
        <v>145.74</v>
      </c>
    </row>
    <row r="3271" ht="21" customHeight="1">
      <c r="A3271" s="7" t="n">
        <v>2029</v>
      </c>
      <c r="B3271" s="7" t="n">
        <v>11</v>
      </c>
      <c r="C3271" s="10" t="inlineStr">
        <is>
          <t>Aufwand Umlage</t>
        </is>
      </c>
      <c r="D3271" s="10" t="inlineStr">
        <is>
          <t>Verwaltungskosten</t>
        </is>
      </c>
      <c r="E3271" s="7" t="n">
        <v>3589.28</v>
      </c>
      <c r="F3271" s="7" t="n">
        <v>43071.39</v>
      </c>
    </row>
    <row r="3272" ht="21" customHeight="1">
      <c r="A3272" s="7" t="n">
        <v>2030</v>
      </c>
      <c r="B3272" s="7" t="n">
        <v>11</v>
      </c>
      <c r="C3272" s="10" t="inlineStr">
        <is>
          <t>Instandh.Fuhrp</t>
        </is>
      </c>
      <c r="D3272" s="10" t="inlineStr">
        <is>
          <t>Fuhrparkkosten</t>
        </is>
      </c>
      <c r="E3272" s="7" t="n">
        <v>36157.89</v>
      </c>
      <c r="F3272" s="7" t="n">
        <v>433894.62</v>
      </c>
    </row>
    <row r="3273" ht="21" customHeight="1">
      <c r="A3273" s="7" t="n">
        <v>2028</v>
      </c>
      <c r="B3273" s="7" t="n">
        <v>11</v>
      </c>
      <c r="C3273" s="10" t="inlineStr">
        <is>
          <t>Sonderz. Prämie</t>
        </is>
      </c>
      <c r="D3273" s="10" t="inlineStr">
        <is>
          <t>Personalaufwand</t>
        </is>
      </c>
      <c r="E3273" s="7" t="n">
        <v>21386.26</v>
      </c>
      <c r="F3273" s="7" t="n">
        <v>256635.15</v>
      </c>
    </row>
    <row r="3274" ht="21" customHeight="1">
      <c r="A3274" s="7" t="n">
        <v>2029</v>
      </c>
      <c r="B3274" s="7" t="n">
        <v>11</v>
      </c>
      <c r="C3274" s="10" t="inlineStr">
        <is>
          <t>Aufw. f. Alters</t>
        </is>
      </c>
      <c r="D3274" s="10" t="inlineStr">
        <is>
          <t>Personalaufwand</t>
        </is>
      </c>
      <c r="E3274" s="7" t="n">
        <v>1366.43</v>
      </c>
      <c r="F3274" s="7" t="n">
        <v>16397.15</v>
      </c>
    </row>
    <row r="3275" ht="21" customHeight="1">
      <c r="A3275" s="7" t="n">
        <v>2027</v>
      </c>
      <c r="B3275" s="7" t="n">
        <v>11</v>
      </c>
      <c r="C3275" s="10" t="inlineStr">
        <is>
          <t>Ertr. weiterber</t>
        </is>
      </c>
      <c r="D3275" s="10" t="inlineStr">
        <is>
          <t>Gesamtleistung</t>
        </is>
      </c>
      <c r="E3275" s="7" t="n">
        <v>919.41</v>
      </c>
      <c r="F3275" s="7" t="n">
        <v>11032.96</v>
      </c>
    </row>
    <row r="3276" ht="21" customHeight="1">
      <c r="A3276" s="7" t="n">
        <v>2029</v>
      </c>
      <c r="B3276" s="7" t="n">
        <v>11</v>
      </c>
      <c r="C3276" s="10" t="inlineStr">
        <is>
          <t>So. betr. Aufwa</t>
        </is>
      </c>
      <c r="D3276" s="10" t="inlineStr">
        <is>
          <t>Verwaltungskosten</t>
        </is>
      </c>
      <c r="E3276" s="7" t="n">
        <v>693.25</v>
      </c>
      <c r="F3276" s="7" t="n">
        <v>8319.02</v>
      </c>
    </row>
    <row r="3277" ht="21" customHeight="1">
      <c r="A3277" s="7" t="n">
        <v>2031</v>
      </c>
      <c r="B3277" s="7" t="n">
        <v>11</v>
      </c>
      <c r="C3277" s="10" t="inlineStr">
        <is>
          <t>Ertr. weiterber</t>
        </is>
      </c>
      <c r="D3277" s="10" t="inlineStr">
        <is>
          <t>Gesamtleistung</t>
        </is>
      </c>
      <c r="E3277" s="7" t="n">
        <v>1173.93</v>
      </c>
      <c r="F3277" s="7" t="n">
        <v>14087.11</v>
      </c>
    </row>
    <row r="3278" ht="21" customHeight="1">
      <c r="A3278" s="7" t="n">
        <v>2031</v>
      </c>
      <c r="B3278" s="7" t="n">
        <v>11</v>
      </c>
      <c r="C3278" s="10" t="inlineStr">
        <is>
          <t>Ueb. bezog.Leis</t>
        </is>
      </c>
      <c r="D3278" s="10" t="inlineStr">
        <is>
          <t>Vorleistungen</t>
        </is>
      </c>
      <c r="E3278" s="7" t="n">
        <v>1404446.73</v>
      </c>
      <c r="F3278" s="7" t="n">
        <v>16853360.74</v>
      </c>
    </row>
    <row r="3279" ht="21" customHeight="1">
      <c r="A3279" s="7" t="n">
        <v>2027</v>
      </c>
      <c r="B3279" s="7" t="n">
        <v>11</v>
      </c>
      <c r="C3279" s="10" t="inlineStr">
        <is>
          <t>Fremdl. Fuhrlei</t>
        </is>
      </c>
      <c r="D3279" s="10" t="inlineStr">
        <is>
          <t>Vorleistungen</t>
        </is>
      </c>
      <c r="E3279" s="7" t="n">
        <v>371.09</v>
      </c>
      <c r="F3279" s="7" t="n">
        <v>4453.13</v>
      </c>
    </row>
    <row r="3280" ht="21" customHeight="1">
      <c r="A3280" s="7" t="n">
        <v>2027</v>
      </c>
      <c r="B3280" s="7" t="n">
        <v>11</v>
      </c>
      <c r="C3280" s="10" t="inlineStr">
        <is>
          <t>Behaelterkosten</t>
        </is>
      </c>
      <c r="D3280" s="10" t="inlineStr">
        <is>
          <t>Instandh. Betriebsausstattung</t>
        </is>
      </c>
      <c r="E3280" s="7" t="n">
        <v>11.02</v>
      </c>
      <c r="F3280" s="7" t="n">
        <v>132.19</v>
      </c>
    </row>
    <row r="3281" ht="21" customHeight="1">
      <c r="A3281" s="7" t="n">
        <v>2027</v>
      </c>
      <c r="B3281" s="7" t="n">
        <v>11</v>
      </c>
      <c r="C3281" s="10" t="inlineStr">
        <is>
          <t>Ueb Lohn-Gehalt</t>
        </is>
      </c>
      <c r="D3281" s="10" t="inlineStr">
        <is>
          <t>Personalaufwand</t>
        </is>
      </c>
      <c r="E3281" s="7" t="n">
        <v>30579.25</v>
      </c>
      <c r="F3281" s="7" t="n">
        <v>366951</v>
      </c>
    </row>
    <row r="3282" ht="21" customHeight="1">
      <c r="A3282" s="7" t="n">
        <v>2028</v>
      </c>
      <c r="B3282" s="7" t="n">
        <v>11</v>
      </c>
      <c r="C3282" s="10" t="inlineStr">
        <is>
          <t>Raumkosten</t>
        </is>
      </c>
      <c r="D3282" s="10" t="inlineStr">
        <is>
          <t>Raumkosten</t>
        </is>
      </c>
      <c r="E3282" s="7" t="n">
        <v>7023.98</v>
      </c>
      <c r="F3282" s="7" t="n">
        <v>84287.78</v>
      </c>
    </row>
    <row r="3283" ht="21" customHeight="1">
      <c r="A3283" s="7" t="n">
        <v>2031</v>
      </c>
      <c r="B3283" s="7" t="n">
        <v>11</v>
      </c>
      <c r="C3283" s="10" t="inlineStr">
        <is>
          <t>Bestandsveraend</t>
        </is>
      </c>
      <c r="D3283" s="10" t="inlineStr">
        <is>
          <t>Gesamtleistung</t>
        </is>
      </c>
      <c r="E3283" s="7" t="n">
        <v>0</v>
      </c>
      <c r="F3283" s="7" t="n">
        <v>0</v>
      </c>
    </row>
    <row r="3284" ht="21" customHeight="1">
      <c r="A3284" s="7" t="n">
        <v>2029</v>
      </c>
      <c r="B3284" s="7" t="n">
        <v>11</v>
      </c>
      <c r="C3284" s="10" t="inlineStr">
        <is>
          <t>Lohn + Gehalt</t>
        </is>
      </c>
      <c r="D3284" s="10" t="inlineStr">
        <is>
          <t>Personalaufwand</t>
        </is>
      </c>
      <c r="E3284" s="7" t="n">
        <v>356250.11</v>
      </c>
      <c r="F3284" s="7" t="n">
        <v>4275001.35</v>
      </c>
    </row>
    <row r="3285" ht="21" customHeight="1">
      <c r="A3285" s="7" t="n">
        <v>2029</v>
      </c>
      <c r="B3285" s="7" t="n">
        <v>11</v>
      </c>
      <c r="C3285" s="10" t="inlineStr">
        <is>
          <t>Aufw. Heizmat.</t>
        </is>
      </c>
      <c r="D3285" s="10" t="inlineStr">
        <is>
          <t>Vorleistungen</t>
        </is>
      </c>
      <c r="E3285" s="7" t="n">
        <v>245.07</v>
      </c>
      <c r="F3285" s="7" t="n">
        <v>2940.88</v>
      </c>
    </row>
    <row r="3286" ht="21" customHeight="1">
      <c r="A3286" s="7" t="n">
        <v>2031</v>
      </c>
      <c r="B3286" s="7" t="n">
        <v>11</v>
      </c>
      <c r="C3286" s="10" t="inlineStr">
        <is>
          <t>Verwaltungskost</t>
        </is>
      </c>
      <c r="D3286" s="10" t="inlineStr">
        <is>
          <t>Verwaltungskosten</t>
        </is>
      </c>
      <c r="E3286" s="7" t="n">
        <v>7531.31</v>
      </c>
      <c r="F3286" s="7" t="n">
        <v>90375.69</v>
      </c>
    </row>
    <row r="3287" ht="21" customHeight="1">
      <c r="A3287" s="7" t="n">
        <v>2028</v>
      </c>
      <c r="B3287" s="7" t="n">
        <v>11</v>
      </c>
      <c r="C3287" s="10" t="inlineStr">
        <is>
          <t>Erl. Waren Dt.</t>
        </is>
      </c>
      <c r="D3287" s="10" t="inlineStr">
        <is>
          <t>Gesamtleistung</t>
        </is>
      </c>
      <c r="E3287" s="7" t="n">
        <v>44950.49</v>
      </c>
      <c r="F3287" s="7" t="n">
        <v>539405.87</v>
      </c>
    </row>
    <row r="3288" ht="21" customHeight="1">
      <c r="A3288" s="7" t="n">
        <v>2030</v>
      </c>
      <c r="B3288" s="7" t="n">
        <v>11</v>
      </c>
      <c r="C3288" s="10" t="inlineStr">
        <is>
          <t>Uebr.neutr. Ert</t>
        </is>
      </c>
      <c r="D3288" s="10" t="inlineStr">
        <is>
          <t>Gesamtleistung</t>
        </is>
      </c>
      <c r="E3288" s="7" t="n">
        <v>207.38</v>
      </c>
      <c r="F3288" s="7" t="n">
        <v>2488.5</v>
      </c>
    </row>
    <row r="3289" ht="21" customHeight="1">
      <c r="A3289" s="7" t="n">
        <v>2030</v>
      </c>
      <c r="B3289" s="7" t="n">
        <v>11</v>
      </c>
      <c r="C3289" s="10" t="inlineStr">
        <is>
          <t>Raumkosten</t>
        </is>
      </c>
      <c r="D3289" s="10" t="inlineStr">
        <is>
          <t>Raumkosten</t>
        </is>
      </c>
      <c r="E3289" s="7" t="n">
        <v>7307.75</v>
      </c>
      <c r="F3289" s="7" t="n">
        <v>87693</v>
      </c>
    </row>
    <row r="3290" ht="21" customHeight="1">
      <c r="A3290" s="7" t="n">
        <v>2030</v>
      </c>
      <c r="B3290" s="7" t="n">
        <v>11</v>
      </c>
      <c r="C3290" s="10" t="inlineStr">
        <is>
          <t>Fremdl. Persona</t>
        </is>
      </c>
      <c r="D3290" s="10" t="inlineStr">
        <is>
          <t>Vorleistungen</t>
        </is>
      </c>
      <c r="E3290" s="7" t="n">
        <v>76.56999999999999</v>
      </c>
      <c r="F3290" s="7" t="n">
        <v>918.79</v>
      </c>
    </row>
    <row r="3291" ht="21" customHeight="1">
      <c r="A3291" s="7" t="n">
        <v>2027</v>
      </c>
      <c r="B3291" s="7" t="n">
        <v>11</v>
      </c>
      <c r="C3291" s="10" t="inlineStr">
        <is>
          <t>Leasing PKW</t>
        </is>
      </c>
      <c r="D3291" s="10" t="inlineStr">
        <is>
          <t>Fuhrparkkosten</t>
        </is>
      </c>
      <c r="E3291" s="7" t="n">
        <v>21940.43</v>
      </c>
      <c r="F3291" s="7" t="n">
        <v>263285.11</v>
      </c>
    </row>
    <row r="3292" ht="21" customHeight="1">
      <c r="A3292" s="7" t="n">
        <v>2030</v>
      </c>
      <c r="B3292" s="7" t="n">
        <v>11</v>
      </c>
      <c r="C3292" s="10" t="inlineStr">
        <is>
          <t>Ertrag KFZ-Nutz</t>
        </is>
      </c>
      <c r="D3292" s="10" t="inlineStr">
        <is>
          <t>Gesamtleistung</t>
        </is>
      </c>
      <c r="E3292" s="7" t="n">
        <v>9193.41</v>
      </c>
      <c r="F3292" s="7" t="n">
        <v>110320.94</v>
      </c>
    </row>
    <row r="3293" ht="21" customHeight="1">
      <c r="A3293" s="7" t="n">
        <v>2028</v>
      </c>
      <c r="B3293" s="7" t="n">
        <v>11</v>
      </c>
      <c r="C3293" s="10" t="inlineStr">
        <is>
          <t>Uebr.neutr. Ert</t>
        </is>
      </c>
      <c r="D3293" s="10" t="inlineStr">
        <is>
          <t>Gesamtleistung</t>
        </is>
      </c>
      <c r="E3293" s="7" t="n">
        <v>151.92</v>
      </c>
      <c r="F3293" s="7" t="n">
        <v>1823.08</v>
      </c>
    </row>
    <row r="3294" ht="21" customHeight="1">
      <c r="A3294" s="7" t="n">
        <v>2030</v>
      </c>
      <c r="B3294" s="7" t="n">
        <v>11</v>
      </c>
      <c r="C3294" s="10" t="inlineStr">
        <is>
          <t>Soziale Abgaben</t>
        </is>
      </c>
      <c r="D3294" s="10" t="inlineStr">
        <is>
          <t>Personalaufwand</t>
        </is>
      </c>
      <c r="E3294" s="7" t="n">
        <v>104141.87</v>
      </c>
      <c r="F3294" s="7" t="n">
        <v>1249702.47</v>
      </c>
    </row>
    <row r="3295" ht="21" customHeight="1">
      <c r="A3295" s="7" t="n">
        <v>2030</v>
      </c>
      <c r="B3295" s="7" t="n">
        <v>11</v>
      </c>
      <c r="C3295" s="10" t="inlineStr">
        <is>
          <t>Ankauf Rohstoff</t>
        </is>
      </c>
      <c r="D3295" s="10" t="inlineStr">
        <is>
          <t>Vorleistungen</t>
        </is>
      </c>
      <c r="E3295" s="7" t="n">
        <v>1483.55</v>
      </c>
      <c r="F3295" s="7" t="n">
        <v>17802.65</v>
      </c>
    </row>
    <row r="3296" ht="21" customHeight="1">
      <c r="A3296" s="7" t="n">
        <v>2031</v>
      </c>
      <c r="B3296" s="7" t="n">
        <v>11</v>
      </c>
      <c r="C3296" s="10" t="inlineStr">
        <is>
          <t>Aufw. Heizmat.</t>
        </is>
      </c>
      <c r="D3296" s="10" t="inlineStr">
        <is>
          <t>Vorleistungen</t>
        </is>
      </c>
      <c r="E3296" s="7" t="n">
        <v>216.16</v>
      </c>
      <c r="F3296" s="7" t="n">
        <v>2593.97</v>
      </c>
    </row>
    <row r="3297" ht="21" customHeight="1">
      <c r="A3297" s="7" t="n">
        <v>2030</v>
      </c>
      <c r="B3297" s="7" t="n">
        <v>11</v>
      </c>
      <c r="C3297" s="10" t="inlineStr">
        <is>
          <t>IT-Aufwendungen</t>
        </is>
      </c>
      <c r="D3297" s="10" t="inlineStr">
        <is>
          <t>Verwaltungskosten</t>
        </is>
      </c>
      <c r="E3297" s="7" t="n">
        <v>12671.51</v>
      </c>
      <c r="F3297" s="7" t="n">
        <v>152058.16</v>
      </c>
    </row>
    <row r="3298" ht="21" customHeight="1">
      <c r="A3298" s="7" t="n">
        <v>2027</v>
      </c>
      <c r="B3298" s="7" t="n">
        <v>11</v>
      </c>
      <c r="C3298" s="10" t="inlineStr">
        <is>
          <t>Treibstoffe, Oe</t>
        </is>
      </c>
      <c r="D3298" s="10" t="inlineStr">
        <is>
          <t>Fuhrparkkosten</t>
        </is>
      </c>
      <c r="E3298" s="7" t="n">
        <v>28695.87</v>
      </c>
      <c r="F3298" s="7" t="n">
        <v>344350.48</v>
      </c>
    </row>
    <row r="3299" ht="21" customHeight="1">
      <c r="A3299" s="7" t="n">
        <v>2028</v>
      </c>
      <c r="B3299" s="7" t="n">
        <v>11</v>
      </c>
      <c r="C3299" s="10" t="inlineStr">
        <is>
          <t>Aufw. Heizmat.</t>
        </is>
      </c>
      <c r="D3299" s="10" t="inlineStr">
        <is>
          <t>Vorleistungen</t>
        </is>
      </c>
      <c r="E3299" s="7" t="n">
        <v>260.43</v>
      </c>
      <c r="F3299" s="7" t="n">
        <v>3125.13</v>
      </c>
    </row>
    <row r="3300" ht="21" customHeight="1">
      <c r="A3300" s="7" t="n">
        <v>2031</v>
      </c>
      <c r="B3300" s="7" t="n">
        <v>11</v>
      </c>
      <c r="C3300" s="10" t="inlineStr">
        <is>
          <t>Ertrag KFZ-Nutz</t>
        </is>
      </c>
      <c r="D3300" s="10" t="inlineStr">
        <is>
          <t>Gesamtleistung</t>
        </is>
      </c>
      <c r="E3300" s="7" t="n">
        <v>9597.290000000001</v>
      </c>
      <c r="F3300" s="7" t="n">
        <v>115167.5</v>
      </c>
    </row>
    <row r="3301" ht="21" customHeight="1">
      <c r="A3301" s="7" t="n">
        <v>2027</v>
      </c>
      <c r="B3301" s="7" t="n">
        <v>11</v>
      </c>
      <c r="C3301" s="10" t="inlineStr">
        <is>
          <t>Raumkosten</t>
        </is>
      </c>
      <c r="D3301" s="10" t="inlineStr">
        <is>
          <t>Raumkosten</t>
        </is>
      </c>
      <c r="E3301" s="7" t="n">
        <v>5046.85</v>
      </c>
      <c r="F3301" s="7" t="n">
        <v>60562.14</v>
      </c>
    </row>
    <row r="3302" ht="21" customHeight="1">
      <c r="A3302" s="7" t="n">
        <v>2028</v>
      </c>
      <c r="B3302" s="7" t="n">
        <v>11</v>
      </c>
      <c r="C3302" s="10" t="inlineStr">
        <is>
          <t>Soziale Abgaben</t>
        </is>
      </c>
      <c r="D3302" s="10" t="inlineStr">
        <is>
          <t>Personalaufwand</t>
        </is>
      </c>
      <c r="E3302" s="7" t="n">
        <v>85007.57000000001</v>
      </c>
      <c r="F3302" s="7" t="n">
        <v>1020090.84</v>
      </c>
    </row>
    <row r="3303" ht="21" customHeight="1">
      <c r="A3303" s="7" t="n">
        <v>2029</v>
      </c>
      <c r="B3303" s="7" t="n">
        <v>11</v>
      </c>
      <c r="C3303" s="10" t="inlineStr">
        <is>
          <t>Miete Grdst/Gebäud</t>
        </is>
      </c>
      <c r="D3303" s="10" t="inlineStr">
        <is>
          <t>Raumkosten</t>
        </is>
      </c>
      <c r="E3303" s="7" t="n">
        <v>18238.55</v>
      </c>
      <c r="F3303" s="7" t="n">
        <v>218862.64</v>
      </c>
    </row>
    <row r="3304" ht="21" customHeight="1">
      <c r="A3304" s="7" t="n">
        <v>2031</v>
      </c>
      <c r="B3304" s="7" t="n">
        <v>11</v>
      </c>
      <c r="C3304" s="10" t="inlineStr">
        <is>
          <t>Raumkosten</t>
        </is>
      </c>
      <c r="D3304" s="10" t="inlineStr">
        <is>
          <t>Raumkosten</t>
        </is>
      </c>
      <c r="E3304" s="7" t="n">
        <v>7453.91</v>
      </c>
      <c r="F3304" s="7" t="n">
        <v>89446.89</v>
      </c>
    </row>
    <row r="3305" ht="21" customHeight="1">
      <c r="A3305" s="7" t="n">
        <v>2031</v>
      </c>
      <c r="B3305" s="7" t="n">
        <v>11</v>
      </c>
      <c r="C3305" s="10" t="inlineStr">
        <is>
          <t>Behaelterkosten</t>
        </is>
      </c>
      <c r="D3305" s="10" t="inlineStr">
        <is>
          <t>Instandh. Betriebsausstattung</t>
        </is>
      </c>
      <c r="E3305" s="7" t="n">
        <v>13.39</v>
      </c>
      <c r="F3305" s="7" t="n">
        <v>160.68</v>
      </c>
    </row>
    <row r="3306" ht="21" customHeight="1">
      <c r="A3306" s="7" t="n">
        <v>2031</v>
      </c>
      <c r="B3306" s="7" t="n">
        <v>11</v>
      </c>
      <c r="C3306" s="10" t="inlineStr">
        <is>
          <t>Instandh.Fuhrp</t>
        </is>
      </c>
      <c r="D3306" s="10" t="inlineStr">
        <is>
          <t>Fuhrparkkosten</t>
        </is>
      </c>
      <c r="E3306" s="7" t="n">
        <v>38327.36</v>
      </c>
      <c r="F3306" s="7" t="n">
        <v>459928.28</v>
      </c>
    </row>
    <row r="3307" ht="21" customHeight="1">
      <c r="A3307" s="7" t="n">
        <v>2030</v>
      </c>
      <c r="B3307" s="7" t="n">
        <v>11</v>
      </c>
      <c r="C3307" s="10" t="inlineStr">
        <is>
          <t>Ueb. bezog.Leis</t>
        </is>
      </c>
      <c r="D3307" s="10" t="inlineStr">
        <is>
          <t>Vorleistungen</t>
        </is>
      </c>
      <c r="E3307" s="7" t="n">
        <v>1385029.28</v>
      </c>
      <c r="F3307" s="7" t="n">
        <v>16620351.38</v>
      </c>
    </row>
    <row r="3308" ht="21" customHeight="1">
      <c r="A3308" s="7" t="n">
        <v>2027</v>
      </c>
      <c r="B3308" s="7" t="n">
        <v>11</v>
      </c>
      <c r="C3308" s="10" t="inlineStr">
        <is>
          <t>Miete LKW,Schiffe</t>
        </is>
      </c>
      <c r="D3308" s="10" t="inlineStr">
        <is>
          <t>Fuhrparkkosten</t>
        </is>
      </c>
      <c r="E3308" s="7" t="n">
        <v>36751.61</v>
      </c>
      <c r="F3308" s="7" t="n">
        <v>441019.28</v>
      </c>
    </row>
    <row r="3309" ht="21" customHeight="1">
      <c r="A3309" s="7" t="n">
        <v>2030</v>
      </c>
      <c r="B3309" s="7" t="n">
        <v>11</v>
      </c>
      <c r="C3309" s="10" t="inlineStr">
        <is>
          <t>Leasing LKW</t>
        </is>
      </c>
      <c r="D3309" s="10" t="inlineStr">
        <is>
          <t>Fuhrparkkosten</t>
        </is>
      </c>
      <c r="E3309" s="7" t="n">
        <v>2745.62</v>
      </c>
      <c r="F3309" s="7" t="n">
        <v>32947.44</v>
      </c>
    </row>
    <row r="3310" ht="21" customHeight="1">
      <c r="A3310" s="7" t="n">
        <v>2031</v>
      </c>
      <c r="B3310" s="7" t="n">
        <v>11</v>
      </c>
      <c r="C3310" s="10" t="inlineStr">
        <is>
          <t>Vertriebskosten</t>
        </is>
      </c>
      <c r="D3310" s="10" t="inlineStr">
        <is>
          <t>Vertriebskosten</t>
        </is>
      </c>
      <c r="E3310" s="7" t="n">
        <v>13167.99</v>
      </c>
      <c r="F3310" s="7" t="n">
        <v>158015.82</v>
      </c>
    </row>
    <row r="3311" ht="21" customHeight="1">
      <c r="A3311" s="7" t="n">
        <v>2028</v>
      </c>
      <c r="B3311" s="7" t="n">
        <v>11</v>
      </c>
      <c r="C3311" s="10" t="inlineStr">
        <is>
          <t>Behaelterkosten</t>
        </is>
      </c>
      <c r="D3311" s="10" t="inlineStr">
        <is>
          <t>Instandh. Betriebsausstattung</t>
        </is>
      </c>
      <c r="E3311" s="7" t="n">
        <v>11.57</v>
      </c>
      <c r="F3311" s="7" t="n">
        <v>138.8</v>
      </c>
    </row>
    <row r="3312" ht="21" customHeight="1">
      <c r="A3312" s="7" t="n">
        <v>2030</v>
      </c>
      <c r="B3312" s="7" t="n">
        <v>11</v>
      </c>
      <c r="C3312" s="10" t="inlineStr">
        <is>
          <t>Verwaltungskost</t>
        </is>
      </c>
      <c r="D3312" s="10" t="inlineStr">
        <is>
          <t>Verwaltungskosten</t>
        </is>
      </c>
      <c r="E3312" s="7" t="n">
        <v>7311.95</v>
      </c>
      <c r="F3312" s="7" t="n">
        <v>87743.38</v>
      </c>
    </row>
    <row r="3313" ht="21" customHeight="1">
      <c r="A3313" s="7" t="n">
        <v>2030</v>
      </c>
      <c r="B3313" s="7" t="n">
        <v>11</v>
      </c>
      <c r="C3313" s="10" t="inlineStr">
        <is>
          <t>Rechts- u. Beratungs</t>
        </is>
      </c>
      <c r="D3313" s="10" t="inlineStr">
        <is>
          <t>Verwaltungskosten</t>
        </is>
      </c>
      <c r="E3313" s="7" t="n">
        <v>28013.14</v>
      </c>
      <c r="F3313" s="7" t="n">
        <v>336157.66</v>
      </c>
    </row>
    <row r="3314" ht="21" customHeight="1">
      <c r="A3314" s="7" t="n">
        <v>2028</v>
      </c>
      <c r="B3314" s="7" t="n">
        <v>11</v>
      </c>
      <c r="C3314" s="10" t="inlineStr">
        <is>
          <t>Sonst Fuhrparkkosten</t>
        </is>
      </c>
      <c r="D3314" s="10" t="inlineStr">
        <is>
          <t>Fuhrparkkosten</t>
        </is>
      </c>
      <c r="E3314" s="7" t="n">
        <v>5288.59</v>
      </c>
      <c r="F3314" s="7" t="n">
        <v>63463.1</v>
      </c>
    </row>
    <row r="3315" ht="21" customHeight="1">
      <c r="A3315" s="7" t="n">
        <v>2029</v>
      </c>
      <c r="B3315" s="7" t="n">
        <v>11</v>
      </c>
      <c r="C3315" s="10" t="inlineStr">
        <is>
          <t>Erl. so. DL Dt.</t>
        </is>
      </c>
      <c r="D3315" s="10" t="inlineStr">
        <is>
          <t>Gesamtleistung</t>
        </is>
      </c>
      <c r="E3315" s="7" t="n">
        <v>2200755.15</v>
      </c>
      <c r="F3315" s="7" t="n">
        <v>26409061.76</v>
      </c>
    </row>
    <row r="3316" ht="21" customHeight="1">
      <c r="A3316" s="7" t="n">
        <v>2031</v>
      </c>
      <c r="B3316" s="7" t="n">
        <v>11</v>
      </c>
      <c r="C3316" s="10" t="inlineStr">
        <is>
          <t>Uebr.neutr. Ert</t>
        </is>
      </c>
      <c r="D3316" s="10" t="inlineStr">
        <is>
          <t>Gesamtleistung</t>
        </is>
      </c>
      <c r="E3316" s="7" t="n">
        <v>227.28</v>
      </c>
      <c r="F3316" s="7" t="n">
        <v>2727.33</v>
      </c>
    </row>
    <row r="3317" ht="21" customHeight="1">
      <c r="A3317" s="7" t="n">
        <v>2030</v>
      </c>
      <c r="B3317" s="7" t="n">
        <v>11</v>
      </c>
      <c r="C3317" s="10" t="inlineStr">
        <is>
          <t>Erl. Waren Dt.</t>
        </is>
      </c>
      <c r="D3317" s="10" t="inlineStr">
        <is>
          <t>Gesamtleistung</t>
        </is>
      </c>
      <c r="E3317" s="7" t="n">
        <v>49038.99</v>
      </c>
      <c r="F3317" s="7" t="n">
        <v>588467.85</v>
      </c>
    </row>
    <row r="3318" ht="21" customHeight="1">
      <c r="A3318" s="7" t="n">
        <v>2028</v>
      </c>
      <c r="B3318" s="7" t="n">
        <v>11</v>
      </c>
      <c r="C3318" s="10" t="inlineStr">
        <is>
          <t>Weiterber. Frem</t>
        </is>
      </c>
      <c r="D3318" s="10" t="inlineStr">
        <is>
          <t>Vorleistungen</t>
        </is>
      </c>
      <c r="E3318" s="7" t="n">
        <v>0</v>
      </c>
      <c r="F3318" s="7" t="n">
        <v>0</v>
      </c>
    </row>
    <row r="3319" ht="21" customHeight="1">
      <c r="A3319" s="7" t="n">
        <v>2027</v>
      </c>
      <c r="B3319" s="7" t="n">
        <v>11</v>
      </c>
      <c r="C3319" s="10" t="inlineStr">
        <is>
          <t>IT-Aufwendungen</t>
        </is>
      </c>
      <c r="D3319" s="10" t="inlineStr">
        <is>
          <t>Verwaltungskosten</t>
        </is>
      </c>
      <c r="E3319" s="7" t="n">
        <v>11596.23</v>
      </c>
      <c r="F3319" s="7" t="n">
        <v>139154.76</v>
      </c>
    </row>
    <row r="3320" ht="21" customHeight="1">
      <c r="A3320" s="7" t="n">
        <v>2028</v>
      </c>
      <c r="B3320" s="7" t="n">
        <v>11</v>
      </c>
      <c r="C3320" s="10" t="inlineStr">
        <is>
          <t>Leasing LKW</t>
        </is>
      </c>
      <c r="D3320" s="10" t="inlineStr">
        <is>
          <t>Fuhrparkkosten</t>
        </is>
      </c>
      <c r="E3320" s="7" t="n">
        <v>2443.59</v>
      </c>
      <c r="F3320" s="7" t="n">
        <v>29323.11</v>
      </c>
    </row>
    <row r="3321" ht="21" customHeight="1">
      <c r="A3321" s="7" t="n">
        <v>2031</v>
      </c>
      <c r="B3321" s="7" t="n">
        <v>11</v>
      </c>
      <c r="C3321" s="10" t="inlineStr">
        <is>
          <t>Weiterber. Frem</t>
        </is>
      </c>
      <c r="D3321" s="10" t="inlineStr">
        <is>
          <t>Vorleistungen</t>
        </is>
      </c>
      <c r="E3321" s="7" t="n">
        <v>0</v>
      </c>
      <c r="F3321" s="7" t="n">
        <v>0</v>
      </c>
    </row>
    <row r="3322" ht="21" customHeight="1">
      <c r="A3322" s="7" t="n">
        <v>2028</v>
      </c>
      <c r="B3322" s="7" t="n">
        <v>11</v>
      </c>
      <c r="C3322" s="10" t="inlineStr">
        <is>
          <t>Lohn + Gehalt</t>
        </is>
      </c>
      <c r="D3322" s="10" t="inlineStr">
        <is>
          <t>Personalaufwand</t>
        </is>
      </c>
      <c r="E3322" s="7" t="n">
        <v>321097.26</v>
      </c>
      <c r="F3322" s="7" t="n">
        <v>3853167.13</v>
      </c>
    </row>
    <row r="3323" ht="21" customHeight="1">
      <c r="A3323" s="7" t="n">
        <v>2029</v>
      </c>
      <c r="B3323" s="7" t="n">
        <v>11</v>
      </c>
      <c r="C3323" s="10" t="inlineStr">
        <is>
          <t>Miete LKW,Schiffe</t>
        </is>
      </c>
      <c r="D3323" s="10" t="inlineStr">
        <is>
          <t>Fuhrparkkosten</t>
        </is>
      </c>
      <c r="E3323" s="7" t="n">
        <v>41294.11</v>
      </c>
      <c r="F3323" s="7" t="n">
        <v>495529.28</v>
      </c>
    </row>
    <row r="3324" ht="21" customHeight="1">
      <c r="A3324" s="7" t="n">
        <v>2030</v>
      </c>
      <c r="B3324" s="7" t="n">
        <v>11</v>
      </c>
      <c r="C3324" s="10" t="inlineStr">
        <is>
          <t>Erl. so. DL Dt.</t>
        </is>
      </c>
      <c r="D3324" s="10" t="inlineStr">
        <is>
          <t>Gesamtleistung</t>
        </is>
      </c>
      <c r="E3324" s="7" t="n">
        <v>2311684.01</v>
      </c>
      <c r="F3324" s="7" t="n">
        <v>27740208.09</v>
      </c>
    </row>
    <row r="3325" ht="21" customHeight="1">
      <c r="A3325" s="7" t="n">
        <v>2030</v>
      </c>
      <c r="B3325" s="7" t="n">
        <v>11</v>
      </c>
      <c r="C3325" s="10" t="inlineStr">
        <is>
          <t>Versicherungskosten</t>
        </is>
      </c>
      <c r="D3325" s="10" t="inlineStr">
        <is>
          <t>Verwaltungskosten</t>
        </is>
      </c>
      <c r="E3325" s="7" t="n">
        <v>11790.1</v>
      </c>
      <c r="F3325" s="7" t="n">
        <v>141481.23</v>
      </c>
    </row>
    <row r="3326" ht="21" customHeight="1">
      <c r="A3326" s="7" t="n">
        <v>2029</v>
      </c>
      <c r="B3326" s="7" t="n">
        <v>11</v>
      </c>
      <c r="C3326" s="10" t="inlineStr">
        <is>
          <t>Sonstige Steuer</t>
        </is>
      </c>
      <c r="D3326" s="10" t="inlineStr">
        <is>
          <t>Fuhrparkkosten</t>
        </is>
      </c>
      <c r="E3326" s="7" t="n">
        <v>1682.38</v>
      </c>
      <c r="F3326" s="7" t="n">
        <v>20188.51</v>
      </c>
    </row>
    <row r="3327" ht="21" customHeight="1">
      <c r="A3327" s="7" t="n">
        <v>2027</v>
      </c>
      <c r="B3327" s="7" t="n">
        <v>11</v>
      </c>
      <c r="C3327" s="10" t="inlineStr">
        <is>
          <t>Sonst Fuhrparkkosten</t>
        </is>
      </c>
      <c r="D3327" s="10" t="inlineStr">
        <is>
          <t>Fuhrparkkosten</t>
        </is>
      </c>
      <c r="E3327" s="7" t="n">
        <v>4989.24</v>
      </c>
      <c r="F3327" s="7" t="n">
        <v>59870.86</v>
      </c>
    </row>
    <row r="3328" ht="21" customHeight="1">
      <c r="A3328" s="7" t="n">
        <v>2028</v>
      </c>
      <c r="B3328" s="7" t="n">
        <v>11</v>
      </c>
      <c r="C3328" s="10" t="inlineStr">
        <is>
          <t>Bestandsveraend</t>
        </is>
      </c>
      <c r="D3328" s="10" t="inlineStr">
        <is>
          <t>Gesamtleistung</t>
        </is>
      </c>
      <c r="E3328" s="7" t="n">
        <v>0</v>
      </c>
      <c r="F3328" s="7" t="n">
        <v>0</v>
      </c>
    </row>
    <row r="3329" ht="21" customHeight="1">
      <c r="A3329" s="7" t="n">
        <v>2028</v>
      </c>
      <c r="B3329" s="7" t="n">
        <v>11</v>
      </c>
      <c r="C3329" s="10" t="inlineStr">
        <is>
          <t>So. betr. Aufwa</t>
        </is>
      </c>
      <c r="D3329" s="10" t="inlineStr">
        <is>
          <t>Verwaltungskosten</t>
        </is>
      </c>
      <c r="E3329" s="7" t="n">
        <v>673.0599999999999</v>
      </c>
      <c r="F3329" s="7" t="n">
        <v>8076.71</v>
      </c>
    </row>
    <row r="3330" ht="21" customHeight="1">
      <c r="A3330" s="7" t="n">
        <v>2030</v>
      </c>
      <c r="B3330" s="7" t="n">
        <v>11</v>
      </c>
      <c r="C3330" s="10" t="inlineStr">
        <is>
          <t>Miete LKW,Schiffe</t>
        </is>
      </c>
      <c r="D3330" s="10" t="inlineStr">
        <is>
          <t>Fuhrparkkosten</t>
        </is>
      </c>
      <c r="E3330" s="7" t="n">
        <v>43771.75</v>
      </c>
      <c r="F3330" s="7" t="n">
        <v>525261.04</v>
      </c>
    </row>
    <row r="3331" ht="21" customHeight="1">
      <c r="A3331" s="7" t="n">
        <v>2028</v>
      </c>
      <c r="B3331" s="7" t="n">
        <v>11</v>
      </c>
      <c r="C3331" s="10" t="inlineStr">
        <is>
          <t>Miete LKW,Schiffe</t>
        </is>
      </c>
      <c r="D3331" s="10" t="inlineStr">
        <is>
          <t>Fuhrparkkosten</t>
        </is>
      </c>
      <c r="E3331" s="7" t="n">
        <v>38956.71</v>
      </c>
      <c r="F3331" s="7" t="n">
        <v>467480.47</v>
      </c>
    </row>
    <row r="3332" ht="21" customHeight="1">
      <c r="A3332" s="7" t="n">
        <v>2028</v>
      </c>
      <c r="B3332" s="7" t="n">
        <v>11</v>
      </c>
      <c r="C3332" s="10" t="inlineStr">
        <is>
          <t>sonst Personalk</t>
        </is>
      </c>
      <c r="D3332" s="10" t="inlineStr">
        <is>
          <t>Personalaufwand</t>
        </is>
      </c>
      <c r="E3332" s="7" t="n">
        <v>12597.51</v>
      </c>
      <c r="F3332" s="7" t="n">
        <v>151170.09</v>
      </c>
    </row>
    <row r="3333" ht="21" customHeight="1">
      <c r="A3333" s="7" t="n">
        <v>2030</v>
      </c>
      <c r="B3333" s="7" t="n">
        <v>11</v>
      </c>
      <c r="C3333" s="10" t="inlineStr">
        <is>
          <t>Leasing PKW</t>
        </is>
      </c>
      <c r="D3333" s="10" t="inlineStr">
        <is>
          <t>Fuhrparkkosten</t>
        </is>
      </c>
      <c r="E3333" s="7" t="n">
        <v>26131.4</v>
      </c>
      <c r="F3333" s="7" t="n">
        <v>313576.76</v>
      </c>
    </row>
    <row r="3334" ht="21" customHeight="1">
      <c r="A3334" s="7" t="n">
        <v>2031</v>
      </c>
      <c r="B3334" s="7" t="n">
        <v>11</v>
      </c>
      <c r="C3334" s="10" t="inlineStr">
        <is>
          <t>Aufwand Umlage</t>
        </is>
      </c>
      <c r="D3334" s="10" t="inlineStr">
        <is>
          <t>Verwaltungskosten</t>
        </is>
      </c>
      <c r="E3334" s="7" t="n">
        <v>3807.87</v>
      </c>
      <c r="F3334" s="7" t="n">
        <v>45694.43</v>
      </c>
    </row>
    <row r="3335" ht="21" customHeight="1">
      <c r="A3335" s="7" t="n">
        <v>2031</v>
      </c>
      <c r="B3335" s="7" t="n">
        <v>11</v>
      </c>
      <c r="C3335" s="10" t="inlineStr">
        <is>
          <t>sonst Personalk</t>
        </is>
      </c>
      <c r="D3335" s="10" t="inlineStr">
        <is>
          <t>Personalaufwand</t>
        </is>
      </c>
      <c r="E3335" s="7" t="n">
        <v>17070.54</v>
      </c>
      <c r="F3335" s="7" t="n">
        <v>204846.51</v>
      </c>
    </row>
    <row r="3336" ht="21" customHeight="1">
      <c r="A3336" s="7" t="n">
        <v>2027</v>
      </c>
      <c r="B3336" s="7" t="n">
        <v>11</v>
      </c>
      <c r="C3336" s="10" t="inlineStr">
        <is>
          <t>sonst Personalk</t>
        </is>
      </c>
      <c r="D3336" s="10" t="inlineStr">
        <is>
          <t>Personalaufwand</t>
        </is>
      </c>
      <c r="E3336" s="7" t="n">
        <v>10949.84</v>
      </c>
      <c r="F3336" s="7" t="n">
        <v>131398.1</v>
      </c>
    </row>
    <row r="3337" ht="21" customHeight="1">
      <c r="A3337" s="7" t="n">
        <v>2031</v>
      </c>
      <c r="B3337" s="7" t="n">
        <v>11</v>
      </c>
      <c r="C3337" s="10" t="inlineStr">
        <is>
          <t>Miete PKW</t>
        </is>
      </c>
      <c r="D3337" s="10" t="inlineStr">
        <is>
          <t>Fuhrparkkosten</t>
        </is>
      </c>
      <c r="E3337" s="7" t="n">
        <v>5824.81</v>
      </c>
      <c r="F3337" s="7" t="n">
        <v>69897.67</v>
      </c>
    </row>
    <row r="3338" ht="21" customHeight="1">
      <c r="A3338" s="7" t="n">
        <v>2029</v>
      </c>
      <c r="B3338" s="7" t="n">
        <v>11</v>
      </c>
      <c r="C3338" s="10" t="inlineStr">
        <is>
          <t>Raumkosten</t>
        </is>
      </c>
      <c r="D3338" s="10" t="inlineStr">
        <is>
          <t>Raumkosten</t>
        </is>
      </c>
      <c r="E3338" s="7" t="n">
        <v>7164.46</v>
      </c>
      <c r="F3338" s="7" t="n">
        <v>85973.53</v>
      </c>
    </row>
    <row r="3339" ht="21" customHeight="1">
      <c r="A3339" s="7" t="n">
        <v>2031</v>
      </c>
      <c r="B3339" s="7" t="n">
        <v>11</v>
      </c>
      <c r="C3339" s="10" t="inlineStr">
        <is>
          <t>Aufw. f. Alters</t>
        </is>
      </c>
      <c r="D3339" s="10" t="inlineStr">
        <is>
          <t>Personalaufwand</t>
        </is>
      </c>
      <c r="E3339" s="7" t="n">
        <v>1434.03</v>
      </c>
      <c r="F3339" s="7" t="n">
        <v>17208.41</v>
      </c>
    </row>
    <row r="3340" ht="21" customHeight="1">
      <c r="A3340" s="7" t="n">
        <v>2031</v>
      </c>
      <c r="B3340" s="7" t="n">
        <v>11</v>
      </c>
      <c r="C3340" s="10" t="inlineStr">
        <is>
          <t>IT-Aufwendungen</t>
        </is>
      </c>
      <c r="D3340" s="10" t="inlineStr">
        <is>
          <t>Verwaltungskosten</t>
        </is>
      </c>
      <c r="E3340" s="7" t="n">
        <v>13051.66</v>
      </c>
      <c r="F3340" s="7" t="n">
        <v>156619.9</v>
      </c>
    </row>
    <row r="3341" ht="21" customHeight="1">
      <c r="A3341" s="7" t="n">
        <v>2028</v>
      </c>
      <c r="B3341" s="7" t="n">
        <v>11</v>
      </c>
      <c r="C3341" s="10" t="inlineStr">
        <is>
          <t>Miete Grdst/Gebäud</t>
        </is>
      </c>
      <c r="D3341" s="10" t="inlineStr">
        <is>
          <t>Raumkosten</t>
        </is>
      </c>
      <c r="E3341" s="7" t="n">
        <v>17880.93</v>
      </c>
      <c r="F3341" s="7" t="n">
        <v>214571.21</v>
      </c>
    </row>
    <row r="3342" ht="21" customHeight="1">
      <c r="A3342" s="7" t="n">
        <v>2027</v>
      </c>
      <c r="B3342" s="7" t="n">
        <v>11</v>
      </c>
      <c r="C3342" s="10" t="inlineStr">
        <is>
          <t>Erloesschmaeler</t>
        </is>
      </c>
      <c r="D3342" s="10" t="inlineStr">
        <is>
          <t>Gesamtleistung</t>
        </is>
      </c>
      <c r="E3342" s="7" t="n">
        <v>-7483.88</v>
      </c>
      <c r="F3342" s="7" t="n">
        <v>-89806.53</v>
      </c>
    </row>
    <row r="3343" ht="21" customHeight="1">
      <c r="A3343" s="7" t="n">
        <v>2029</v>
      </c>
      <c r="B3343" s="7" t="n">
        <v>11</v>
      </c>
      <c r="C3343" s="10" t="inlineStr">
        <is>
          <t>sonst Personalk</t>
        </is>
      </c>
      <c r="D3343" s="10" t="inlineStr">
        <is>
          <t>Personalaufwand</t>
        </is>
      </c>
      <c r="E3343" s="7" t="n">
        <v>13957.15</v>
      </c>
      <c r="F3343" s="7" t="n">
        <v>167485.78</v>
      </c>
    </row>
    <row r="3344" ht="21" customHeight="1">
      <c r="A3344" s="7" t="n">
        <v>2028</v>
      </c>
      <c r="B3344" s="7" t="n">
        <v>11</v>
      </c>
      <c r="C3344" s="10" t="inlineStr">
        <is>
          <t>Fremdl. Fuhrlei</t>
        </is>
      </c>
      <c r="D3344" s="10" t="inlineStr">
        <is>
          <t>Vorleistungen</t>
        </is>
      </c>
      <c r="E3344" s="7" t="n">
        <v>363.29</v>
      </c>
      <c r="F3344" s="7" t="n">
        <v>4359.52</v>
      </c>
    </row>
    <row r="3345" ht="21" customHeight="1">
      <c r="A3345" s="7" t="n">
        <v>2027</v>
      </c>
      <c r="B3345" s="7" t="n">
        <v>11</v>
      </c>
      <c r="C3345" s="10" t="inlineStr">
        <is>
          <t>Erl. so. DL Dt.</t>
        </is>
      </c>
      <c r="D3345" s="10" t="inlineStr">
        <is>
          <t>Gesamtleistung</t>
        </is>
      </c>
      <c r="E3345" s="7" t="n">
        <v>1996174.37</v>
      </c>
      <c r="F3345" s="7" t="n">
        <v>23954092.45</v>
      </c>
    </row>
    <row r="3346" ht="21" customHeight="1">
      <c r="A3346" s="7" t="n">
        <v>2027</v>
      </c>
      <c r="B3346" s="7" t="n">
        <v>11</v>
      </c>
      <c r="C3346" s="10" t="inlineStr">
        <is>
          <t>Aufw. Heizmat.</t>
        </is>
      </c>
      <c r="D3346" s="10" t="inlineStr">
        <is>
          <t>Vorleistungen</t>
        </is>
      </c>
      <c r="E3346" s="7" t="n">
        <v>275.72</v>
      </c>
      <c r="F3346" s="7" t="n">
        <v>3308.65</v>
      </c>
    </row>
    <row r="3347" ht="21" customHeight="1">
      <c r="A3347" s="7" t="n">
        <v>2028</v>
      </c>
      <c r="B3347" s="7" t="n">
        <v>11</v>
      </c>
      <c r="C3347" s="10" t="inlineStr">
        <is>
          <t>Versicherungskosten</t>
        </is>
      </c>
      <c r="D3347" s="10" t="inlineStr">
        <is>
          <t>Verwaltungskosten</t>
        </is>
      </c>
      <c r="E3347" s="7" t="n">
        <v>11113.3</v>
      </c>
      <c r="F3347" s="7" t="n">
        <v>133359.63</v>
      </c>
    </row>
    <row r="3348" ht="21" customHeight="1">
      <c r="A3348" s="7" t="n">
        <v>2031</v>
      </c>
      <c r="B3348" s="7" t="n">
        <v>11</v>
      </c>
      <c r="C3348" s="10" t="inlineStr">
        <is>
          <t>Miete LKW,Schiffe</t>
        </is>
      </c>
      <c r="D3348" s="10" t="inlineStr">
        <is>
          <t>Fuhrparkkosten</t>
        </is>
      </c>
      <c r="E3348" s="7" t="n">
        <v>46398.06</v>
      </c>
      <c r="F3348" s="7" t="n">
        <v>556776.71</v>
      </c>
    </row>
    <row r="3349" ht="21" customHeight="1">
      <c r="A3349" s="7" t="n">
        <v>2027</v>
      </c>
      <c r="B3349" s="7" t="n">
        <v>11</v>
      </c>
      <c r="C3349" s="10" t="inlineStr">
        <is>
          <t>Weiterber. Frem</t>
        </is>
      </c>
      <c r="D3349" s="10" t="inlineStr">
        <is>
          <t>Vorleistungen</t>
        </is>
      </c>
      <c r="E3349" s="7" t="n">
        <v>0</v>
      </c>
      <c r="F3349" s="7" t="n">
        <v>0</v>
      </c>
    </row>
    <row r="3350" ht="21" customHeight="1">
      <c r="A3350" s="7" t="n">
        <v>2028</v>
      </c>
      <c r="B3350" s="7" t="n">
        <v>11</v>
      </c>
      <c r="C3350" s="10" t="inlineStr">
        <is>
          <t>Erloesschmaeler</t>
        </is>
      </c>
      <c r="D3350" s="10" t="inlineStr">
        <is>
          <t>Gesamtleistung</t>
        </is>
      </c>
      <c r="E3350" s="7" t="n">
        <v>-8355.469999999999</v>
      </c>
      <c r="F3350" s="7" t="n">
        <v>-100265.61</v>
      </c>
    </row>
    <row r="3351" ht="21" customHeight="1">
      <c r="A3351" s="7" t="n">
        <v>2027</v>
      </c>
      <c r="B3351" s="7" t="n">
        <v>11</v>
      </c>
      <c r="C3351" s="10" t="inlineStr">
        <is>
          <t>Uebr.neutr. Ert</t>
        </is>
      </c>
      <c r="D3351" s="10" t="inlineStr">
        <is>
          <t>Gesamtleistung</t>
        </is>
      </c>
      <c r="E3351" s="7" t="n">
        <v>113.94</v>
      </c>
      <c r="F3351" s="7" t="n">
        <v>1367.31</v>
      </c>
    </row>
    <row r="3352" ht="21" customHeight="1">
      <c r="A3352" s="7" t="n">
        <v>2028</v>
      </c>
      <c r="B3352" s="7" t="n">
        <v>11</v>
      </c>
      <c r="C3352" s="10" t="inlineStr">
        <is>
          <t>Miete Behälter</t>
        </is>
      </c>
      <c r="D3352" s="10" t="inlineStr">
        <is>
          <t>Instandh. Betriebsausstattung</t>
        </is>
      </c>
      <c r="E3352" s="7" t="n">
        <v>24.08</v>
      </c>
      <c r="F3352" s="7" t="n">
        <v>289</v>
      </c>
    </row>
    <row r="3353" ht="21" customHeight="1">
      <c r="A3353" s="7" t="n">
        <v>2028</v>
      </c>
      <c r="B3353" s="7" t="n">
        <v>11</v>
      </c>
      <c r="C3353" s="10" t="inlineStr">
        <is>
          <t>Aufw. so. Hilfs</t>
        </is>
      </c>
      <c r="D3353" s="10" t="inlineStr">
        <is>
          <t>Vorleistungen</t>
        </is>
      </c>
      <c r="E3353" s="7" t="n">
        <v>-16546.31</v>
      </c>
      <c r="F3353" s="7" t="n">
        <v>-198555.67</v>
      </c>
    </row>
    <row r="3354" ht="21" customHeight="1">
      <c r="A3354" s="7" t="n">
        <v>2030</v>
      </c>
      <c r="B3354" s="7" t="n">
        <v>11</v>
      </c>
      <c r="C3354" s="10" t="inlineStr">
        <is>
          <t>Treibstoffe, Oe</t>
        </is>
      </c>
      <c r="D3354" s="10" t="inlineStr">
        <is>
          <t>Fuhrparkkosten</t>
        </is>
      </c>
      <c r="E3354" s="7" t="n">
        <v>34177.25</v>
      </c>
      <c r="F3354" s="7" t="n">
        <v>410126.96</v>
      </c>
    </row>
    <row r="3355" ht="21" customHeight="1">
      <c r="A3355" s="7" t="n">
        <v>2030</v>
      </c>
      <c r="B3355" s="7" t="n">
        <v>11</v>
      </c>
      <c r="C3355" s="10" t="inlineStr">
        <is>
          <t>Ueb Lohn-Gehalt</t>
        </is>
      </c>
      <c r="D3355" s="10" t="inlineStr">
        <is>
          <t>Personalaufwand</t>
        </is>
      </c>
      <c r="E3355" s="7" t="n">
        <v>41842.02</v>
      </c>
      <c r="F3355" s="7" t="n">
        <v>502104.18</v>
      </c>
    </row>
    <row r="3356" ht="21" customHeight="1">
      <c r="A3356" s="7" t="n">
        <v>2030</v>
      </c>
      <c r="B3356" s="7" t="n">
        <v>11</v>
      </c>
      <c r="C3356" s="10" t="inlineStr">
        <is>
          <t>Aufw. f. Alters</t>
        </is>
      </c>
      <c r="D3356" s="10" t="inlineStr">
        <is>
          <t>Personalaufwand</t>
        </is>
      </c>
      <c r="E3356" s="7" t="n">
        <v>1387.56</v>
      </c>
      <c r="F3356" s="7" t="n">
        <v>16650.69</v>
      </c>
    </row>
    <row r="3357" ht="21" customHeight="1">
      <c r="A3357" s="7" t="n">
        <v>2031</v>
      </c>
      <c r="B3357" s="7" t="n">
        <v>11</v>
      </c>
      <c r="C3357" s="10" t="inlineStr">
        <is>
          <t>Fremdl. Persona</t>
        </is>
      </c>
      <c r="D3357" s="10" t="inlineStr">
        <is>
          <t>Vorleistungen</t>
        </is>
      </c>
      <c r="E3357" s="7" t="n">
        <v>79.40000000000001</v>
      </c>
      <c r="F3357" s="7" t="n">
        <v>952.79</v>
      </c>
    </row>
    <row r="3358" ht="21" customHeight="1">
      <c r="A3358" s="7" t="n">
        <v>2029</v>
      </c>
      <c r="B3358" s="7" t="n">
        <v>12</v>
      </c>
      <c r="C3358" s="10" t="inlineStr">
        <is>
          <t>Sonderz. Prämie</t>
        </is>
      </c>
      <c r="D3358" s="10" t="inlineStr">
        <is>
          <t>Personalaufwand</t>
        </is>
      </c>
      <c r="E3358" s="7" t="n">
        <v>23292.21</v>
      </c>
      <c r="F3358" s="7" t="n">
        <v>279506.56</v>
      </c>
    </row>
    <row r="3359" ht="21" customHeight="1">
      <c r="A3359" s="7" t="n">
        <v>2030</v>
      </c>
      <c r="B3359" s="7" t="n">
        <v>12</v>
      </c>
      <c r="C3359" s="10" t="inlineStr">
        <is>
          <t>sonst Personalk</t>
        </is>
      </c>
      <c r="D3359" s="10" t="inlineStr">
        <is>
          <t>Personalaufwand</t>
        </is>
      </c>
      <c r="E3359" s="7" t="n">
        <v>15558.93</v>
      </c>
      <c r="F3359" s="7" t="n">
        <v>186707.19</v>
      </c>
    </row>
    <row r="3360" ht="21" customHeight="1">
      <c r="A3360" s="7" t="n">
        <v>2031</v>
      </c>
      <c r="B3360" s="7" t="n">
        <v>12</v>
      </c>
      <c r="C3360" s="10" t="inlineStr">
        <is>
          <t>Ankauf Rohstoff</t>
        </is>
      </c>
      <c r="D3360" s="10" t="inlineStr">
        <is>
          <t>Vorleistungen</t>
        </is>
      </c>
      <c r="E3360" s="7" t="n">
        <v>1489.65</v>
      </c>
      <c r="F3360" s="7" t="n">
        <v>17875.76</v>
      </c>
    </row>
    <row r="3361" ht="21" customHeight="1">
      <c r="A3361" s="7" t="n">
        <v>2029</v>
      </c>
      <c r="B3361" s="7" t="n">
        <v>12</v>
      </c>
      <c r="C3361" s="10" t="inlineStr">
        <is>
          <t>Weiterber. Frem</t>
        </is>
      </c>
      <c r="D3361" s="10" t="inlineStr">
        <is>
          <t>Vorleistungen</t>
        </is>
      </c>
      <c r="E3361" s="7" t="n">
        <v>0</v>
      </c>
      <c r="F3361" s="7" t="n">
        <v>0</v>
      </c>
    </row>
    <row r="3362" ht="21" customHeight="1">
      <c r="A3362" s="7" t="n">
        <v>2031</v>
      </c>
      <c r="B3362" s="7" t="n">
        <v>12</v>
      </c>
      <c r="C3362" s="10" t="inlineStr">
        <is>
          <t>Sonstige Steuer</t>
        </is>
      </c>
      <c r="D3362" s="10" t="inlineStr">
        <is>
          <t>Fuhrparkkosten</t>
        </is>
      </c>
      <c r="E3362" s="7" t="n">
        <v>1890.32</v>
      </c>
      <c r="F3362" s="7" t="n">
        <v>22683.81</v>
      </c>
    </row>
    <row r="3363" ht="21" customHeight="1">
      <c r="A3363" s="7" t="n">
        <v>2030</v>
      </c>
      <c r="B3363" s="7" t="n">
        <v>12</v>
      </c>
      <c r="C3363" s="10" t="inlineStr">
        <is>
          <t>Bestandsveraend</t>
        </is>
      </c>
      <c r="D3363" s="10" t="inlineStr">
        <is>
          <t>Gesamtleistung</t>
        </is>
      </c>
      <c r="E3363" s="7" t="n">
        <v>0</v>
      </c>
      <c r="F3363" s="7" t="n">
        <v>0</v>
      </c>
    </row>
    <row r="3364" ht="21" customHeight="1">
      <c r="A3364" s="7" t="n">
        <v>2031</v>
      </c>
      <c r="B3364" s="7" t="n">
        <v>12</v>
      </c>
      <c r="C3364" s="10" t="inlineStr">
        <is>
          <t>Erl. so. DL Dt.</t>
        </is>
      </c>
      <c r="D3364" s="10" t="inlineStr">
        <is>
          <t>Gesamtleistung</t>
        </is>
      </c>
      <c r="E3364" s="7" t="n">
        <v>2428139.11</v>
      </c>
      <c r="F3364" s="7" t="n">
        <v>29137669.32</v>
      </c>
    </row>
    <row r="3365" ht="21" customHeight="1">
      <c r="A3365" s="7" t="n">
        <v>2030</v>
      </c>
      <c r="B3365" s="7" t="n">
        <v>12</v>
      </c>
      <c r="C3365" s="10" t="inlineStr">
        <is>
          <t>Sonstige Steuer</t>
        </is>
      </c>
      <c r="D3365" s="10" t="inlineStr">
        <is>
          <t>Fuhrparkkosten</t>
        </is>
      </c>
      <c r="E3365" s="7" t="n">
        <v>1783.32</v>
      </c>
      <c r="F3365" s="7" t="n">
        <v>21399.82</v>
      </c>
    </row>
    <row r="3366" ht="21" customHeight="1">
      <c r="A3366" s="7" t="n">
        <v>2030</v>
      </c>
      <c r="B3366" s="7" t="n">
        <v>12</v>
      </c>
      <c r="C3366" s="10" t="inlineStr">
        <is>
          <t>Sonderz. Prämie</t>
        </is>
      </c>
      <c r="D3366" s="10" t="inlineStr">
        <is>
          <t>Personalaufwand</t>
        </is>
      </c>
      <c r="E3366" s="7" t="n">
        <v>25004.1</v>
      </c>
      <c r="F3366" s="7" t="n">
        <v>300049.14</v>
      </c>
    </row>
    <row r="3367" ht="21" customHeight="1">
      <c r="A3367" s="7" t="n">
        <v>2029</v>
      </c>
      <c r="B3367" s="7" t="n">
        <v>12</v>
      </c>
      <c r="C3367" s="10" t="inlineStr">
        <is>
          <t>Soziale Abgaben</t>
        </is>
      </c>
      <c r="D3367" s="10" t="inlineStr">
        <is>
          <t>Personalaufwand</t>
        </is>
      </c>
      <c r="E3367" s="7" t="n">
        <v>94488.11</v>
      </c>
      <c r="F3367" s="7" t="n">
        <v>1133857.35</v>
      </c>
    </row>
    <row r="3368" ht="21" customHeight="1">
      <c r="A3368" s="7" t="n">
        <v>2031</v>
      </c>
      <c r="B3368" s="7" t="n">
        <v>12</v>
      </c>
      <c r="C3368" s="10" t="inlineStr">
        <is>
          <t>So. betr. Aufwa</t>
        </is>
      </c>
      <c r="D3368" s="10" t="inlineStr">
        <is>
          <t>Verwaltungskosten</t>
        </is>
      </c>
      <c r="E3368" s="7" t="n">
        <v>735.47</v>
      </c>
      <c r="F3368" s="7" t="n">
        <v>8825.639999999999</v>
      </c>
    </row>
    <row r="3369" ht="21" customHeight="1">
      <c r="A3369" s="7" t="n">
        <v>2027</v>
      </c>
      <c r="B3369" s="7" t="n">
        <v>12</v>
      </c>
      <c r="C3369" s="10" t="inlineStr">
        <is>
          <t>Lohn + Gehalt</t>
        </is>
      </c>
      <c r="D3369" s="10" t="inlineStr">
        <is>
          <t>Personalaufwand</t>
        </is>
      </c>
      <c r="E3369" s="7" t="n">
        <v>287946.36</v>
      </c>
      <c r="F3369" s="7" t="n">
        <v>3455356.33</v>
      </c>
    </row>
    <row r="3370" ht="21" customHeight="1">
      <c r="A3370" s="7" t="n">
        <v>2027</v>
      </c>
      <c r="B3370" s="7" t="n">
        <v>12</v>
      </c>
      <c r="C3370" s="10" t="inlineStr">
        <is>
          <t>So. betr. Aufwa</t>
        </is>
      </c>
      <c r="D3370" s="10" t="inlineStr">
        <is>
          <t>Verwaltungskosten</t>
        </is>
      </c>
      <c r="E3370" s="7" t="n">
        <v>653.45</v>
      </c>
      <c r="F3370" s="7" t="n">
        <v>7841.45</v>
      </c>
    </row>
    <row r="3371" ht="21" customHeight="1">
      <c r="A3371" s="7" t="n">
        <v>2028</v>
      </c>
      <c r="B3371" s="7" t="n">
        <v>12</v>
      </c>
      <c r="C3371" s="10" t="inlineStr">
        <is>
          <t>Ueb Lohn-Gehalt</t>
        </is>
      </c>
      <c r="D3371" s="10" t="inlineStr">
        <is>
          <t>Personalaufwand</t>
        </is>
      </c>
      <c r="E3371" s="7" t="n">
        <v>34332.83</v>
      </c>
      <c r="F3371" s="7" t="n">
        <v>411993.96</v>
      </c>
    </row>
    <row r="3372" ht="21" customHeight="1">
      <c r="A3372" s="7" t="n">
        <v>2027</v>
      </c>
      <c r="B3372" s="7" t="n">
        <v>12</v>
      </c>
      <c r="C3372" s="10" t="inlineStr">
        <is>
          <t>Verwaltungskost</t>
        </is>
      </c>
      <c r="D3372" s="10" t="inlineStr">
        <is>
          <t>Verwaltungskosten</t>
        </is>
      </c>
      <c r="E3372" s="7" t="n">
        <v>6691.47</v>
      </c>
      <c r="F3372" s="7" t="n">
        <v>80297.62</v>
      </c>
    </row>
    <row r="3373" ht="21" customHeight="1">
      <c r="A3373" s="7" t="n">
        <v>2030</v>
      </c>
      <c r="B3373" s="7" t="n">
        <v>12</v>
      </c>
      <c r="C3373" s="10" t="inlineStr">
        <is>
          <t>Aufw. Heizmat.</t>
        </is>
      </c>
      <c r="D3373" s="10" t="inlineStr">
        <is>
          <t>Vorleistungen</t>
        </is>
      </c>
      <c r="E3373" s="7" t="n">
        <v>230.4</v>
      </c>
      <c r="F3373" s="7" t="n">
        <v>2764.82</v>
      </c>
    </row>
    <row r="3374" ht="21" customHeight="1">
      <c r="A3374" s="7" t="n">
        <v>2027</v>
      </c>
      <c r="B3374" s="7" t="n">
        <v>12</v>
      </c>
      <c r="C3374" s="10" t="inlineStr">
        <is>
          <t>Versicherungskosten</t>
        </is>
      </c>
      <c r="D3374" s="10" t="inlineStr">
        <is>
          <t>Verwaltungskosten</t>
        </is>
      </c>
      <c r="E3374" s="7" t="n">
        <v>10789.61</v>
      </c>
      <c r="F3374" s="7" t="n">
        <v>129475.37</v>
      </c>
    </row>
    <row r="3375" ht="21" customHeight="1">
      <c r="A3375" s="7" t="n">
        <v>2031</v>
      </c>
      <c r="B3375" s="7" t="n">
        <v>12</v>
      </c>
      <c r="C3375" s="10" t="inlineStr">
        <is>
          <t>Instandh. BGA</t>
        </is>
      </c>
      <c r="D3375" s="10" t="inlineStr">
        <is>
          <t>Instandh. Betriebsausstattung</t>
        </is>
      </c>
      <c r="E3375" s="7" t="n">
        <v>5124.63</v>
      </c>
      <c r="F3375" s="7" t="n">
        <v>61495.58</v>
      </c>
    </row>
    <row r="3376" ht="21" customHeight="1">
      <c r="A3376" s="7" t="n">
        <v>2029</v>
      </c>
      <c r="B3376" s="7" t="n">
        <v>12</v>
      </c>
      <c r="C3376" s="10" t="inlineStr">
        <is>
          <t>Treibstoffe, Oe</t>
        </is>
      </c>
      <c r="D3376" s="10" t="inlineStr">
        <is>
          <t>Fuhrparkkosten</t>
        </is>
      </c>
      <c r="E3376" s="7" t="n">
        <v>32242.68</v>
      </c>
      <c r="F3376" s="7" t="n">
        <v>386912.19</v>
      </c>
    </row>
    <row r="3377" ht="21" customHeight="1">
      <c r="A3377" s="7" t="n">
        <v>2027</v>
      </c>
      <c r="B3377" s="7" t="n">
        <v>12</v>
      </c>
      <c r="C3377" s="10" t="inlineStr">
        <is>
          <t>Instandh. BGA</t>
        </is>
      </c>
      <c r="D3377" s="10" t="inlineStr">
        <is>
          <t>Instandh. Betriebsausstattung</t>
        </is>
      </c>
      <c r="E3377" s="7" t="n">
        <v>4216.05</v>
      </c>
      <c r="F3377" s="7" t="n">
        <v>50592.58</v>
      </c>
    </row>
    <row r="3378" ht="21" customHeight="1">
      <c r="A3378" s="7" t="n">
        <v>2029</v>
      </c>
      <c r="B3378" s="7" t="n">
        <v>12</v>
      </c>
      <c r="C3378" s="10" t="inlineStr">
        <is>
          <t>Ueb Lohn-Gehalt</t>
        </is>
      </c>
      <c r="D3378" s="10" t="inlineStr">
        <is>
          <t>Personalaufwand</t>
        </is>
      </c>
      <c r="E3378" s="7" t="n">
        <v>37989.9</v>
      </c>
      <c r="F3378" s="7" t="n">
        <v>455878.84</v>
      </c>
    </row>
    <row r="3379" ht="21" customHeight="1">
      <c r="A3379" s="7" t="n">
        <v>2031</v>
      </c>
      <c r="B3379" s="7" t="n">
        <v>12</v>
      </c>
      <c r="C3379" s="10" t="inlineStr">
        <is>
          <t>Erl. Waren Dt.</t>
        </is>
      </c>
      <c r="D3379" s="10" t="inlineStr">
        <is>
          <t>Gesamtleistung</t>
        </is>
      </c>
      <c r="E3379" s="7" t="n">
        <v>50865.59</v>
      </c>
      <c r="F3379" s="7" t="n">
        <v>610387.05</v>
      </c>
    </row>
    <row r="3380" ht="21" customHeight="1">
      <c r="A3380" s="7" t="n">
        <v>2027</v>
      </c>
      <c r="B3380" s="7" t="n">
        <v>12</v>
      </c>
      <c r="C3380" s="10" t="inlineStr">
        <is>
          <t>Fremdl. Persona</t>
        </is>
      </c>
      <c r="D3380" s="10" t="inlineStr">
        <is>
          <t>Vorleistungen</t>
        </is>
      </c>
      <c r="E3380" s="7" t="n">
        <v>61.31</v>
      </c>
      <c r="F3380" s="7" t="n">
        <v>735.66</v>
      </c>
    </row>
    <row r="3381" ht="21" customHeight="1">
      <c r="A3381" s="7" t="n">
        <v>2027</v>
      </c>
      <c r="B3381" s="7" t="n">
        <v>12</v>
      </c>
      <c r="C3381" s="10" t="inlineStr">
        <is>
          <t>Aufwand Umlage</t>
        </is>
      </c>
      <c r="D3381" s="10" t="inlineStr">
        <is>
          <t>Verwaltungskosten</t>
        </is>
      </c>
      <c r="E3381" s="7" t="n">
        <v>3383.24</v>
      </c>
      <c r="F3381" s="7" t="n">
        <v>40598.91</v>
      </c>
    </row>
    <row r="3382" ht="21" customHeight="1">
      <c r="A3382" s="7" t="n">
        <v>2031</v>
      </c>
      <c r="B3382" s="7" t="n">
        <v>12</v>
      </c>
      <c r="C3382" s="10" t="inlineStr">
        <is>
          <t>Ueb Lohn-Gehalt</t>
        </is>
      </c>
      <c r="D3382" s="10" t="inlineStr">
        <is>
          <t>Personalaufwand</t>
        </is>
      </c>
      <c r="E3382" s="7" t="n">
        <v>45675.82</v>
      </c>
      <c r="F3382" s="7" t="n">
        <v>548109.79</v>
      </c>
    </row>
    <row r="3383" ht="21" customHeight="1">
      <c r="A3383" s="7" t="n">
        <v>2027</v>
      </c>
      <c r="B3383" s="7" t="n">
        <v>12</v>
      </c>
      <c r="C3383" s="10" t="inlineStr">
        <is>
          <t>Rechts- u. Beratungs</t>
        </is>
      </c>
      <c r="D3383" s="10" t="inlineStr">
        <is>
          <t>Verwaltungskosten</t>
        </is>
      </c>
      <c r="E3383" s="7" t="n">
        <v>25635.99</v>
      </c>
      <c r="F3383" s="7" t="n">
        <v>307631.89</v>
      </c>
    </row>
    <row r="3384" ht="21" customHeight="1">
      <c r="A3384" s="7" t="n">
        <v>2028</v>
      </c>
      <c r="B3384" s="7" t="n">
        <v>12</v>
      </c>
      <c r="C3384" s="10" t="inlineStr">
        <is>
          <t>Verwaltungskost</t>
        </is>
      </c>
      <c r="D3384" s="10" t="inlineStr">
        <is>
          <t>Verwaltungskosten</t>
        </is>
      </c>
      <c r="E3384" s="7" t="n">
        <v>6892.21</v>
      </c>
      <c r="F3384" s="7" t="n">
        <v>82706.56</v>
      </c>
    </row>
    <row r="3385" ht="21" customHeight="1">
      <c r="A3385" s="7" t="n">
        <v>2028</v>
      </c>
      <c r="B3385" s="7" t="n">
        <v>12</v>
      </c>
      <c r="C3385" s="10" t="inlineStr">
        <is>
          <t>Ueb. bezog.Leis</t>
        </is>
      </c>
      <c r="D3385" s="10" t="inlineStr">
        <is>
          <t>Vorleistungen</t>
        </is>
      </c>
      <c r="E3385" s="7" t="n">
        <v>1342498.67</v>
      </c>
      <c r="F3385" s="7" t="n">
        <v>16109983.99</v>
      </c>
    </row>
    <row r="3386" ht="21" customHeight="1">
      <c r="A3386" s="7" t="n">
        <v>2028</v>
      </c>
      <c r="B3386" s="7" t="n">
        <v>12</v>
      </c>
      <c r="C3386" s="10" t="inlineStr">
        <is>
          <t>Ankauf Rohstoff</t>
        </is>
      </c>
      <c r="D3386" s="10" t="inlineStr">
        <is>
          <t>Vorleistungen</t>
        </is>
      </c>
      <c r="E3386" s="7" t="n">
        <v>1457.38</v>
      </c>
      <c r="F3386" s="7" t="n">
        <v>17488.61</v>
      </c>
    </row>
    <row r="3387" ht="21" customHeight="1">
      <c r="A3387" s="7" t="n">
        <v>2029</v>
      </c>
      <c r="B3387" s="7" t="n">
        <v>12</v>
      </c>
      <c r="C3387" s="10" t="inlineStr">
        <is>
          <t>Erloesschmaeler</t>
        </is>
      </c>
      <c r="D3387" s="10" t="inlineStr">
        <is>
          <t>Gesamtleistung</t>
        </is>
      </c>
      <c r="E3387" s="7" t="n">
        <v>-9048.01</v>
      </c>
      <c r="F3387" s="7" t="n">
        <v>-108576.08</v>
      </c>
    </row>
    <row r="3388" ht="21" customHeight="1">
      <c r="A3388" s="7" t="n">
        <v>2029</v>
      </c>
      <c r="B3388" s="7" t="n">
        <v>12</v>
      </c>
      <c r="C3388" s="10" t="inlineStr">
        <is>
          <t>Leasing PKW</t>
        </is>
      </c>
      <c r="D3388" s="10" t="inlineStr">
        <is>
          <t>Fuhrparkkosten</t>
        </is>
      </c>
      <c r="E3388" s="7" t="n">
        <v>24652.26</v>
      </c>
      <c r="F3388" s="7" t="n">
        <v>295827.14</v>
      </c>
    </row>
    <row r="3389" ht="21" customHeight="1">
      <c r="A3389" s="7" t="n">
        <v>2029</v>
      </c>
      <c r="B3389" s="7" t="n">
        <v>12</v>
      </c>
      <c r="C3389" s="10" t="inlineStr">
        <is>
          <t>Fremdl. Persona</t>
        </is>
      </c>
      <c r="D3389" s="10" t="inlineStr">
        <is>
          <t>Vorleistungen</t>
        </is>
      </c>
      <c r="E3389" s="7" t="n">
        <v>73.3</v>
      </c>
      <c r="F3389" s="7" t="n">
        <v>879.54</v>
      </c>
    </row>
    <row r="3390" ht="21" customHeight="1">
      <c r="A3390" s="7" t="n">
        <v>2028</v>
      </c>
      <c r="B3390" s="7" t="n">
        <v>12</v>
      </c>
      <c r="C3390" s="10" t="inlineStr">
        <is>
          <t>Aufwand Umlage</t>
        </is>
      </c>
      <c r="D3390" s="10" t="inlineStr">
        <is>
          <t>Verwaltungskosten</t>
        </is>
      </c>
      <c r="E3390" s="7" t="n">
        <v>3484.74</v>
      </c>
      <c r="F3390" s="7" t="n">
        <v>41816.88</v>
      </c>
    </row>
    <row r="3391" ht="21" customHeight="1">
      <c r="A3391" s="7" t="n">
        <v>2027</v>
      </c>
      <c r="B3391" s="7" t="n">
        <v>12</v>
      </c>
      <c r="C3391" s="10" t="inlineStr">
        <is>
          <t>Ankauf Rohstoff</t>
        </is>
      </c>
      <c r="D3391" s="10" t="inlineStr">
        <is>
          <t>Vorleistungen</t>
        </is>
      </c>
      <c r="E3391" s="7" t="n">
        <v>1408.24</v>
      </c>
      <c r="F3391" s="7" t="n">
        <v>16898.9</v>
      </c>
    </row>
    <row r="3392" ht="21" customHeight="1">
      <c r="A3392" s="7" t="n">
        <v>2030</v>
      </c>
      <c r="B3392" s="7" t="n">
        <v>12</v>
      </c>
      <c r="C3392" s="10" t="inlineStr">
        <is>
          <t>Erloesschmaeler</t>
        </is>
      </c>
      <c r="D3392" s="10" t="inlineStr">
        <is>
          <t>Gesamtleistung</t>
        </is>
      </c>
      <c r="E3392" s="7" t="n">
        <v>-9690.75</v>
      </c>
      <c r="F3392" s="7" t="n">
        <v>-116289.05</v>
      </c>
    </row>
    <row r="3393" ht="21" customHeight="1">
      <c r="A3393" s="7" t="n">
        <v>2029</v>
      </c>
      <c r="B3393" s="7" t="n">
        <v>12</v>
      </c>
      <c r="C3393" s="10" t="inlineStr">
        <is>
          <t>Sonst Fuhrparkkosten</t>
        </is>
      </c>
      <c r="D3393" s="10" t="inlineStr">
        <is>
          <t>Fuhrparkkosten</t>
        </is>
      </c>
      <c r="E3393" s="7" t="n">
        <v>5605.91</v>
      </c>
      <c r="F3393" s="7" t="n">
        <v>67270.89</v>
      </c>
    </row>
    <row r="3394" ht="21" customHeight="1">
      <c r="A3394" s="7" t="n">
        <v>2027</v>
      </c>
      <c r="B3394" s="7" t="n">
        <v>12</v>
      </c>
      <c r="C3394" s="10" t="inlineStr">
        <is>
          <t>Soziale Abgaben</t>
        </is>
      </c>
      <c r="D3394" s="10" t="inlineStr">
        <is>
          <t>Personalaufwand</t>
        </is>
      </c>
      <c r="E3394" s="7" t="n">
        <v>75903.69</v>
      </c>
      <c r="F3394" s="7" t="n">
        <v>910844.28</v>
      </c>
    </row>
    <row r="3395" ht="21" customHeight="1">
      <c r="A3395" s="7" t="n">
        <v>2031</v>
      </c>
      <c r="B3395" s="7" t="n">
        <v>12</v>
      </c>
      <c r="C3395" s="10" t="inlineStr">
        <is>
          <t>Erloesschmaeler</t>
        </is>
      </c>
      <c r="D3395" s="10" t="inlineStr">
        <is>
          <t>Gesamtleistung</t>
        </is>
      </c>
      <c r="E3395" s="7" t="n">
        <v>-10347.15</v>
      </c>
      <c r="F3395" s="7" t="n">
        <v>-124165.81</v>
      </c>
    </row>
    <row r="3396" ht="21" customHeight="1">
      <c r="A3396" s="7" t="n">
        <v>2029</v>
      </c>
      <c r="B3396" s="7" t="n">
        <v>12</v>
      </c>
      <c r="C3396" s="10" t="inlineStr">
        <is>
          <t>Ertr. weiterber</t>
        </is>
      </c>
      <c r="D3396" s="10" t="inlineStr">
        <is>
          <t>Gesamtleistung</t>
        </is>
      </c>
      <c r="E3396" s="7" t="n">
        <v>1036.39</v>
      </c>
      <c r="F3396" s="7" t="n">
        <v>12436.69</v>
      </c>
    </row>
    <row r="3397" ht="21" customHeight="1">
      <c r="A3397" s="7" t="n">
        <v>2027</v>
      </c>
      <c r="B3397" s="7" t="n">
        <v>12</v>
      </c>
      <c r="C3397" s="10" t="inlineStr">
        <is>
          <t>Sonderz. Prämie</t>
        </is>
      </c>
      <c r="D3397" s="10" t="inlineStr">
        <is>
          <t>Personalaufwand</t>
        </is>
      </c>
      <c r="E3397" s="7" t="n">
        <v>19636.08</v>
      </c>
      <c r="F3397" s="7" t="n">
        <v>235633</v>
      </c>
    </row>
    <row r="3398" ht="21" customHeight="1">
      <c r="A3398" s="7" t="n">
        <v>2027</v>
      </c>
      <c r="B3398" s="7" t="n">
        <v>12</v>
      </c>
      <c r="C3398" s="10" t="inlineStr">
        <is>
          <t>Miete Behälter</t>
        </is>
      </c>
      <c r="D3398" s="10" t="inlineStr">
        <is>
          <t>Instandh. Betriebsausstattung</t>
        </is>
      </c>
      <c r="E3398" s="7" t="n">
        <v>22.94</v>
      </c>
      <c r="F3398" s="7" t="n">
        <v>275.23</v>
      </c>
    </row>
    <row r="3399" ht="21" customHeight="1">
      <c r="A3399" s="7" t="n">
        <v>2031</v>
      </c>
      <c r="B3399" s="7" t="n">
        <v>12</v>
      </c>
      <c r="C3399" s="10" t="inlineStr">
        <is>
          <t>Versicherungskosten</t>
        </is>
      </c>
      <c r="D3399" s="10" t="inlineStr">
        <is>
          <t>Verwaltungskosten</t>
        </is>
      </c>
      <c r="E3399" s="7" t="n">
        <v>12143.81</v>
      </c>
      <c r="F3399" s="7" t="n">
        <v>145725.66</v>
      </c>
    </row>
    <row r="3400" ht="21" customHeight="1">
      <c r="A3400" s="7" t="n">
        <v>2029</v>
      </c>
      <c r="B3400" s="7" t="n">
        <v>12</v>
      </c>
      <c r="C3400" s="10" t="inlineStr">
        <is>
          <t>Rechts- u. Beratungs</t>
        </is>
      </c>
      <c r="D3400" s="10" t="inlineStr">
        <is>
          <t>Verwaltungskosten</t>
        </is>
      </c>
      <c r="E3400" s="7" t="n">
        <v>27197.22</v>
      </c>
      <c r="F3400" s="7" t="n">
        <v>326366.65</v>
      </c>
    </row>
    <row r="3401" ht="21" customHeight="1">
      <c r="A3401" s="7" t="n">
        <v>2028</v>
      </c>
      <c r="B3401" s="7" t="n">
        <v>12</v>
      </c>
      <c r="C3401" s="10" t="inlineStr">
        <is>
          <t>Instandh.Fuhrp</t>
        </is>
      </c>
      <c r="D3401" s="10" t="inlineStr">
        <is>
          <t>Fuhrparkkosten</t>
        </is>
      </c>
      <c r="E3401" s="7" t="n">
        <v>32180.39</v>
      </c>
      <c r="F3401" s="7" t="n">
        <v>386164.66</v>
      </c>
    </row>
    <row r="3402" ht="21" customHeight="1">
      <c r="A3402" s="7" t="n">
        <v>2030</v>
      </c>
      <c r="B3402" s="7" t="n">
        <v>12</v>
      </c>
      <c r="C3402" s="10" t="inlineStr">
        <is>
          <t>Miete Grdst/Gebäud</t>
        </is>
      </c>
      <c r="D3402" s="10" t="inlineStr">
        <is>
          <t>Raumkosten</t>
        </is>
      </c>
      <c r="E3402" s="7" t="n">
        <v>18603.32</v>
      </c>
      <c r="F3402" s="7" t="n">
        <v>223239.88</v>
      </c>
    </row>
    <row r="3403" ht="21" customHeight="1">
      <c r="A3403" s="7" t="n">
        <v>2027</v>
      </c>
      <c r="B3403" s="7" t="n">
        <v>12</v>
      </c>
      <c r="C3403" s="10" t="inlineStr">
        <is>
          <t>Ueb. bezog.Leis</t>
        </is>
      </c>
      <c r="D3403" s="10" t="inlineStr">
        <is>
          <t>Vorleistungen</t>
        </is>
      </c>
      <c r="E3403" s="7" t="n">
        <v>1319862.34</v>
      </c>
      <c r="F3403" s="7" t="n">
        <v>15838348.13</v>
      </c>
    </row>
    <row r="3404" ht="21" customHeight="1">
      <c r="A3404" s="7" t="n">
        <v>2029</v>
      </c>
      <c r="B3404" s="7" t="n">
        <v>12</v>
      </c>
      <c r="C3404" s="10" t="inlineStr">
        <is>
          <t>Erl. Waren Dt.</t>
        </is>
      </c>
      <c r="D3404" s="10" t="inlineStr">
        <is>
          <t>Gesamtleistung</t>
        </is>
      </c>
      <c r="E3404" s="7" t="n">
        <v>47334.08</v>
      </c>
      <c r="F3404" s="7" t="n">
        <v>568008.92</v>
      </c>
    </row>
    <row r="3405" ht="21" customHeight="1">
      <c r="A3405" s="7" t="n">
        <v>2031</v>
      </c>
      <c r="B3405" s="7" t="n">
        <v>12</v>
      </c>
      <c r="C3405" s="10" t="inlineStr">
        <is>
          <t>Treibstoffe, Oe</t>
        </is>
      </c>
      <c r="D3405" s="10" t="inlineStr">
        <is>
          <t>Fuhrparkkosten</t>
        </is>
      </c>
      <c r="E3405" s="7" t="n">
        <v>36227.88</v>
      </c>
      <c r="F3405" s="7" t="n">
        <v>434734.54</v>
      </c>
    </row>
    <row r="3406" ht="21" customHeight="1">
      <c r="A3406" s="7" t="n">
        <v>2029</v>
      </c>
      <c r="B3406" s="7" t="n">
        <v>12</v>
      </c>
      <c r="C3406" s="10" t="inlineStr">
        <is>
          <t>Miete Behälter</t>
        </is>
      </c>
      <c r="D3406" s="10" t="inlineStr">
        <is>
          <t>Instandh. Betriebsausstattung</t>
        </is>
      </c>
      <c r="E3406" s="7" t="n">
        <v>25.29</v>
      </c>
      <c r="F3406" s="7" t="n">
        <v>303.45</v>
      </c>
    </row>
    <row r="3407" ht="21" customHeight="1">
      <c r="A3407" s="7" t="n">
        <v>2030</v>
      </c>
      <c r="B3407" s="7" t="n">
        <v>12</v>
      </c>
      <c r="C3407" s="10" t="inlineStr">
        <is>
          <t>Instandh. BGA</t>
        </is>
      </c>
      <c r="D3407" s="10" t="inlineStr">
        <is>
          <t>Instandh. Betriebsausstattung</t>
        </is>
      </c>
      <c r="E3407" s="7" t="n">
        <v>4880.6</v>
      </c>
      <c r="F3407" s="7" t="n">
        <v>58567.23</v>
      </c>
    </row>
    <row r="3408" ht="21" customHeight="1">
      <c r="A3408" s="7" t="n">
        <v>2030</v>
      </c>
      <c r="B3408" s="7" t="n">
        <v>12</v>
      </c>
      <c r="C3408" s="10" t="inlineStr">
        <is>
          <t>Lohn + Gehalt</t>
        </is>
      </c>
      <c r="D3408" s="10" t="inlineStr">
        <is>
          <t>Personalaufwand</t>
        </is>
      </c>
      <c r="E3408" s="7" t="n">
        <v>392030.8</v>
      </c>
      <c r="F3408" s="7" t="n">
        <v>4704369.59</v>
      </c>
    </row>
    <row r="3409" ht="21" customHeight="1">
      <c r="A3409" s="7" t="n">
        <v>2027</v>
      </c>
      <c r="B3409" s="7" t="n">
        <v>12</v>
      </c>
      <c r="C3409" s="10" t="inlineStr">
        <is>
          <t>Bestandsveraend</t>
        </is>
      </c>
      <c r="D3409" s="10" t="inlineStr">
        <is>
          <t>Gesamtleistung</t>
        </is>
      </c>
      <c r="E3409" s="7" t="n">
        <v>0</v>
      </c>
      <c r="F3409" s="7" t="n">
        <v>0</v>
      </c>
    </row>
    <row r="3410" ht="21" customHeight="1">
      <c r="A3410" s="7" t="n">
        <v>2027</v>
      </c>
      <c r="B3410" s="7" t="n">
        <v>12</v>
      </c>
      <c r="C3410" s="10" t="inlineStr">
        <is>
          <t>Aufw. so. Hilfs</t>
        </is>
      </c>
      <c r="D3410" s="10" t="inlineStr">
        <is>
          <t>Vorleistungen</t>
        </is>
      </c>
      <c r="E3410" s="7" t="n">
        <v>-16362.04</v>
      </c>
      <c r="F3410" s="7" t="n">
        <v>-196344.47</v>
      </c>
    </row>
    <row r="3411" ht="21" customHeight="1">
      <c r="A3411" s="7" t="n">
        <v>2027</v>
      </c>
      <c r="B3411" s="7" t="n">
        <v>12</v>
      </c>
      <c r="C3411" s="10" t="inlineStr">
        <is>
          <t>Aufw. f. Alters</t>
        </is>
      </c>
      <c r="D3411" s="10" t="inlineStr">
        <is>
          <t>Personalaufwand</t>
        </is>
      </c>
      <c r="E3411" s="7" t="n">
        <v>1234.77</v>
      </c>
      <c r="F3411" s="7" t="n">
        <v>14817.29</v>
      </c>
    </row>
    <row r="3412" ht="21" customHeight="1">
      <c r="A3412" s="7" t="n">
        <v>2027</v>
      </c>
      <c r="B3412" s="7" t="n">
        <v>12</v>
      </c>
      <c r="C3412" s="10" t="inlineStr">
        <is>
          <t>Vertriebskosten</t>
        </is>
      </c>
      <c r="D3412" s="10" t="inlineStr">
        <is>
          <t>Vertriebskosten</t>
        </is>
      </c>
      <c r="E3412" s="7" t="n">
        <v>10833.33</v>
      </c>
      <c r="F3412" s="7" t="n">
        <v>130000</v>
      </c>
    </row>
    <row r="3413" ht="21" customHeight="1">
      <c r="A3413" s="7" t="n">
        <v>2027</v>
      </c>
      <c r="B3413" s="7" t="n">
        <v>12</v>
      </c>
      <c r="C3413" s="10" t="inlineStr">
        <is>
          <t>Ertrag KFZ-Nutz</t>
        </is>
      </c>
      <c r="D3413" s="10" t="inlineStr">
        <is>
          <t>Gesamtleistung</t>
        </is>
      </c>
      <c r="E3413" s="7" t="n">
        <v>8029.69</v>
      </c>
      <c r="F3413" s="7" t="n">
        <v>96356.3</v>
      </c>
    </row>
    <row r="3414" ht="21" customHeight="1">
      <c r="A3414" s="7" t="n">
        <v>2031</v>
      </c>
      <c r="B3414" s="7" t="n">
        <v>12</v>
      </c>
      <c r="C3414" s="10" t="inlineStr">
        <is>
          <t>Lohn + Gehalt</t>
        </is>
      </c>
      <c r="D3414" s="10" t="inlineStr">
        <is>
          <t>Personalaufwand</t>
        </is>
      </c>
      <c r="E3414" s="7" t="n">
        <v>428257.62</v>
      </c>
      <c r="F3414" s="7" t="n">
        <v>5139091.39</v>
      </c>
    </row>
    <row r="3415" ht="21" customHeight="1">
      <c r="A3415" s="7" t="n">
        <v>2031</v>
      </c>
      <c r="B3415" s="7" t="n">
        <v>12</v>
      </c>
      <c r="C3415" s="10" t="inlineStr">
        <is>
          <t>Soziale Abgaben</t>
        </is>
      </c>
      <c r="D3415" s="10" t="inlineStr">
        <is>
          <t>Personalaufwand</t>
        </is>
      </c>
      <c r="E3415" s="7" t="n">
        <v>113909.76</v>
      </c>
      <c r="F3415" s="7" t="n">
        <v>1366917.09</v>
      </c>
    </row>
    <row r="3416" ht="21" customHeight="1">
      <c r="A3416" s="7" t="n">
        <v>2031</v>
      </c>
      <c r="B3416" s="7" t="n">
        <v>12</v>
      </c>
      <c r="C3416" s="10" t="inlineStr">
        <is>
          <t>Sonst Fuhrparkkosten</t>
        </is>
      </c>
      <c r="D3416" s="10" t="inlineStr">
        <is>
          <t>Fuhrparkkosten</t>
        </is>
      </c>
      <c r="E3416" s="7" t="n">
        <v>6298.8</v>
      </c>
      <c r="F3416" s="7" t="n">
        <v>75585.56</v>
      </c>
    </row>
    <row r="3417" ht="21" customHeight="1">
      <c r="A3417" s="7" t="n">
        <v>2030</v>
      </c>
      <c r="B3417" s="7" t="n">
        <v>12</v>
      </c>
      <c r="C3417" s="10" t="inlineStr">
        <is>
          <t>Miete Behälter</t>
        </is>
      </c>
      <c r="D3417" s="10" t="inlineStr">
        <is>
          <t>Instandh. Betriebsausstattung</t>
        </is>
      </c>
      <c r="E3417" s="7" t="n">
        <v>26.55</v>
      </c>
      <c r="F3417" s="7" t="n">
        <v>318.62</v>
      </c>
    </row>
    <row r="3418" ht="21" customHeight="1">
      <c r="A3418" s="7" t="n">
        <v>2028</v>
      </c>
      <c r="B3418" s="7" t="n">
        <v>12</v>
      </c>
      <c r="C3418" s="10" t="inlineStr">
        <is>
          <t>Miete PKW</t>
        </is>
      </c>
      <c r="D3418" s="10" t="inlineStr">
        <is>
          <t>Fuhrparkkosten</t>
        </is>
      </c>
      <c r="E3418" s="7" t="n">
        <v>4890.62</v>
      </c>
      <c r="F3418" s="7" t="n">
        <v>58687.43</v>
      </c>
    </row>
    <row r="3419" ht="21" customHeight="1">
      <c r="A3419" s="7" t="n">
        <v>2030</v>
      </c>
      <c r="B3419" s="7" t="n">
        <v>12</v>
      </c>
      <c r="C3419" s="10" t="inlineStr">
        <is>
          <t>Aufwand Umlage</t>
        </is>
      </c>
      <c r="D3419" s="10" t="inlineStr">
        <is>
          <t>Verwaltungskosten</t>
        </is>
      </c>
      <c r="E3419" s="7" t="n">
        <v>3696.96</v>
      </c>
      <c r="F3419" s="7" t="n">
        <v>44363.53</v>
      </c>
    </row>
    <row r="3420" ht="21" customHeight="1">
      <c r="A3420" s="7" t="n">
        <v>2030</v>
      </c>
      <c r="B3420" s="7" t="n">
        <v>12</v>
      </c>
      <c r="C3420" s="10" t="inlineStr">
        <is>
          <t>So. betr. Aufwa</t>
        </is>
      </c>
      <c r="D3420" s="10" t="inlineStr">
        <is>
          <t>Verwaltungskosten</t>
        </is>
      </c>
      <c r="E3420" s="7" t="n">
        <v>714.05</v>
      </c>
      <c r="F3420" s="7" t="n">
        <v>8568.57</v>
      </c>
    </row>
    <row r="3421" ht="21" customHeight="1">
      <c r="A3421" s="7" t="n">
        <v>2029</v>
      </c>
      <c r="B3421" s="7" t="n">
        <v>12</v>
      </c>
      <c r="C3421" s="10" t="inlineStr">
        <is>
          <t>Versicherungskosten</t>
        </is>
      </c>
      <c r="D3421" s="10" t="inlineStr">
        <is>
          <t>Verwaltungskosten</t>
        </is>
      </c>
      <c r="E3421" s="7" t="n">
        <v>11446.7</v>
      </c>
      <c r="F3421" s="7" t="n">
        <v>137360.42</v>
      </c>
    </row>
    <row r="3422" ht="21" customHeight="1">
      <c r="A3422" s="7" t="n">
        <v>2027</v>
      </c>
      <c r="B3422" s="7" t="n">
        <v>12</v>
      </c>
      <c r="C3422" s="10" t="inlineStr">
        <is>
          <t>Sonstige Steuer</t>
        </is>
      </c>
      <c r="D3422" s="10" t="inlineStr">
        <is>
          <t>Fuhrparkkosten</t>
        </is>
      </c>
      <c r="E3422" s="7" t="n">
        <v>1497.31</v>
      </c>
      <c r="F3422" s="7" t="n">
        <v>17967.71</v>
      </c>
    </row>
    <row r="3423" ht="21" customHeight="1">
      <c r="A3423" s="7" t="n">
        <v>2031</v>
      </c>
      <c r="B3423" s="7" t="n">
        <v>12</v>
      </c>
      <c r="C3423" s="10" t="inlineStr">
        <is>
          <t>Leasing LKW</t>
        </is>
      </c>
      <c r="D3423" s="10" t="inlineStr">
        <is>
          <t>Fuhrparkkosten</t>
        </is>
      </c>
      <c r="E3423" s="7" t="n">
        <v>2910.36</v>
      </c>
      <c r="F3423" s="7" t="n">
        <v>34924.28</v>
      </c>
    </row>
    <row r="3424" ht="21" customHeight="1">
      <c r="A3424" s="7" t="n">
        <v>2029</v>
      </c>
      <c r="B3424" s="7" t="n">
        <v>12</v>
      </c>
      <c r="C3424" s="10" t="inlineStr">
        <is>
          <t>Leasing LKW</t>
        </is>
      </c>
      <c r="D3424" s="10" t="inlineStr">
        <is>
          <t>Fuhrparkkosten</t>
        </is>
      </c>
      <c r="E3424" s="7" t="n">
        <v>2590.21</v>
      </c>
      <c r="F3424" s="7" t="n">
        <v>31082.49</v>
      </c>
    </row>
    <row r="3425" ht="21" customHeight="1">
      <c r="A3425" s="7" t="n">
        <v>2027</v>
      </c>
      <c r="B3425" s="7" t="n">
        <v>12</v>
      </c>
      <c r="C3425" s="10" t="inlineStr">
        <is>
          <t>Instandh.Fuhrp</t>
        </is>
      </c>
      <c r="D3425" s="10" t="inlineStr">
        <is>
          <t>Fuhrparkkosten</t>
        </is>
      </c>
      <c r="E3425" s="7" t="n">
        <v>30358.86</v>
      </c>
      <c r="F3425" s="7" t="n">
        <v>364306.28</v>
      </c>
    </row>
    <row r="3426" ht="21" customHeight="1">
      <c r="A3426" s="7" t="n">
        <v>2029</v>
      </c>
      <c r="B3426" s="7" t="n">
        <v>12</v>
      </c>
      <c r="C3426" s="10" t="inlineStr">
        <is>
          <t>Vertriebskosten</t>
        </is>
      </c>
      <c r="D3426" s="10" t="inlineStr">
        <is>
          <t>Vertriebskosten</t>
        </is>
      </c>
      <c r="E3426" s="7" t="n">
        <v>11943.75</v>
      </c>
      <c r="F3426" s="7" t="n">
        <v>143325</v>
      </c>
    </row>
    <row r="3427" ht="21" customHeight="1">
      <c r="A3427" s="7" t="n">
        <v>2031</v>
      </c>
      <c r="B3427" s="7" t="n">
        <v>12</v>
      </c>
      <c r="C3427" s="10" t="inlineStr">
        <is>
          <t>Miete Grdst/Gebäud</t>
        </is>
      </c>
      <c r="D3427" s="10" t="inlineStr">
        <is>
          <t>Raumkosten</t>
        </is>
      </c>
      <c r="E3427" s="7" t="n">
        <v>18975.39</v>
      </c>
      <c r="F3427" s="7" t="n">
        <v>227704.65</v>
      </c>
    </row>
    <row r="3428" ht="21" customHeight="1">
      <c r="A3428" s="7" t="n">
        <v>2029</v>
      </c>
      <c r="B3428" s="7" t="n">
        <v>12</v>
      </c>
      <c r="C3428" s="10" t="inlineStr">
        <is>
          <t>Uebr.neutr. Ert</t>
        </is>
      </c>
      <c r="D3428" s="10" t="inlineStr">
        <is>
          <t>Gesamtleistung</t>
        </is>
      </c>
      <c r="E3428" s="7" t="n">
        <v>189.9</v>
      </c>
      <c r="F3428" s="7" t="n">
        <v>2278.85</v>
      </c>
    </row>
    <row r="3429" ht="21" customHeight="1">
      <c r="A3429" s="7" t="n">
        <v>2030</v>
      </c>
      <c r="B3429" s="7" t="n">
        <v>12</v>
      </c>
      <c r="C3429" s="10" t="inlineStr">
        <is>
          <t>Behaelterkosten</t>
        </is>
      </c>
      <c r="D3429" s="10" t="inlineStr">
        <is>
          <t>Instandh. Betriebsausstattung</t>
        </is>
      </c>
      <c r="E3429" s="7" t="n">
        <v>12.75</v>
      </c>
      <c r="F3429" s="7" t="n">
        <v>153.03</v>
      </c>
    </row>
    <row r="3430" ht="21" customHeight="1">
      <c r="A3430" s="7" t="n">
        <v>2029</v>
      </c>
      <c r="B3430" s="7" t="n">
        <v>12</v>
      </c>
      <c r="C3430" s="10" t="inlineStr">
        <is>
          <t>IT-Aufwendungen</t>
        </is>
      </c>
      <c r="D3430" s="10" t="inlineStr">
        <is>
          <t>Verwaltungskosten</t>
        </is>
      </c>
      <c r="E3430" s="7" t="n">
        <v>12302.44</v>
      </c>
      <c r="F3430" s="7" t="n">
        <v>147629.28</v>
      </c>
    </row>
    <row r="3431" ht="21" customHeight="1">
      <c r="A3431" s="7" t="n">
        <v>2028</v>
      </c>
      <c r="B3431" s="7" t="n">
        <v>12</v>
      </c>
      <c r="C3431" s="10" t="inlineStr">
        <is>
          <t>Instandh. BGA</t>
        </is>
      </c>
      <c r="D3431" s="10" t="inlineStr">
        <is>
          <t>Instandh. Betriebsausstattung</t>
        </is>
      </c>
      <c r="E3431" s="7" t="n">
        <v>4426.85</v>
      </c>
      <c r="F3431" s="7" t="n">
        <v>53122.2</v>
      </c>
    </row>
    <row r="3432" ht="21" customHeight="1">
      <c r="A3432" s="7" t="n">
        <v>2029</v>
      </c>
      <c r="B3432" s="7" t="n">
        <v>12</v>
      </c>
      <c r="C3432" s="10" t="inlineStr">
        <is>
          <t>Instandh.Fuhrp</t>
        </is>
      </c>
      <c r="D3432" s="10" t="inlineStr">
        <is>
          <t>Fuhrparkkosten</t>
        </is>
      </c>
      <c r="E3432" s="7" t="n">
        <v>34111.21</v>
      </c>
      <c r="F3432" s="7" t="n">
        <v>409334.56</v>
      </c>
    </row>
    <row r="3433" ht="21" customHeight="1">
      <c r="A3433" s="7" t="n">
        <v>2031</v>
      </c>
      <c r="B3433" s="7" t="n">
        <v>12</v>
      </c>
      <c r="C3433" s="10" t="inlineStr">
        <is>
          <t>Rechts- u. Beratungs</t>
        </is>
      </c>
      <c r="D3433" s="10" t="inlineStr">
        <is>
          <t>Verwaltungskosten</t>
        </is>
      </c>
      <c r="E3433" s="7" t="n">
        <v>28853.53</v>
      </c>
      <c r="F3433" s="7" t="n">
        <v>346242.38</v>
      </c>
    </row>
    <row r="3434" ht="21" customHeight="1">
      <c r="A3434" s="7" t="n">
        <v>2029</v>
      </c>
      <c r="B3434" s="7" t="n">
        <v>12</v>
      </c>
      <c r="C3434" s="10" t="inlineStr">
        <is>
          <t>Ertrag KFZ-Nutz</t>
        </is>
      </c>
      <c r="D3434" s="10" t="inlineStr">
        <is>
          <t>Gesamtleistung</t>
        </is>
      </c>
      <c r="E3434" s="7" t="n">
        <v>8815.82</v>
      </c>
      <c r="F3434" s="7" t="n">
        <v>105789.86</v>
      </c>
    </row>
    <row r="3435" ht="21" customHeight="1">
      <c r="A3435" s="7" t="n">
        <v>2030</v>
      </c>
      <c r="B3435" s="7" t="n">
        <v>12</v>
      </c>
      <c r="C3435" s="10" t="inlineStr">
        <is>
          <t>Ertr. weiterber</t>
        </is>
      </c>
      <c r="D3435" s="10" t="inlineStr">
        <is>
          <t>Gesamtleistung</t>
        </is>
      </c>
      <c r="E3435" s="7" t="n">
        <v>1104.47</v>
      </c>
      <c r="F3435" s="7" t="n">
        <v>13253.67</v>
      </c>
    </row>
    <row r="3436" ht="21" customHeight="1">
      <c r="A3436" s="7" t="n">
        <v>2028</v>
      </c>
      <c r="B3436" s="7" t="n">
        <v>12</v>
      </c>
      <c r="C3436" s="10" t="inlineStr">
        <is>
          <t>Leasing PKW</t>
        </is>
      </c>
      <c r="D3436" s="10" t="inlineStr">
        <is>
          <t>Fuhrparkkosten</t>
        </is>
      </c>
      <c r="E3436" s="7" t="n">
        <v>23256.85</v>
      </c>
      <c r="F3436" s="7" t="n">
        <v>279082.22</v>
      </c>
    </row>
    <row r="3437" ht="21" customHeight="1">
      <c r="A3437" s="7" t="n">
        <v>2028</v>
      </c>
      <c r="B3437" s="7" t="n">
        <v>12</v>
      </c>
      <c r="C3437" s="10" t="inlineStr">
        <is>
          <t>Treibstoffe, Oe</t>
        </is>
      </c>
      <c r="D3437" s="10" t="inlineStr">
        <is>
          <t>Fuhrparkkosten</t>
        </is>
      </c>
      <c r="E3437" s="7" t="n">
        <v>30417.62</v>
      </c>
      <c r="F3437" s="7" t="n">
        <v>365011.49</v>
      </c>
    </row>
    <row r="3438" ht="21" customHeight="1">
      <c r="A3438" s="7" t="n">
        <v>2029</v>
      </c>
      <c r="B3438" s="7" t="n">
        <v>12</v>
      </c>
      <c r="C3438" s="10" t="inlineStr">
        <is>
          <t>Miete PKW</t>
        </is>
      </c>
      <c r="D3438" s="10" t="inlineStr">
        <is>
          <t>Fuhrparkkosten</t>
        </is>
      </c>
      <c r="E3438" s="7" t="n">
        <v>5184.06</v>
      </c>
      <c r="F3438" s="7" t="n">
        <v>62208.67</v>
      </c>
    </row>
    <row r="3439" ht="21" customHeight="1">
      <c r="A3439" s="7" t="n">
        <v>2028</v>
      </c>
      <c r="B3439" s="7" t="n">
        <v>12</v>
      </c>
      <c r="C3439" s="10" t="inlineStr">
        <is>
          <t>Ertr. weiterber</t>
        </is>
      </c>
      <c r="D3439" s="10" t="inlineStr">
        <is>
          <t>Gesamtleistung</t>
        </is>
      </c>
      <c r="E3439" s="7" t="n">
        <v>980.91</v>
      </c>
      <c r="F3439" s="7" t="n">
        <v>11770.87</v>
      </c>
    </row>
    <row r="3440" ht="21" customHeight="1">
      <c r="A3440" s="7" t="n">
        <v>2029</v>
      </c>
      <c r="B3440" s="7" t="n">
        <v>12</v>
      </c>
      <c r="C3440" s="10" t="inlineStr">
        <is>
          <t>Instandh. BGA</t>
        </is>
      </c>
      <c r="D3440" s="10" t="inlineStr">
        <is>
          <t>Instandh. Betriebsausstattung</t>
        </is>
      </c>
      <c r="E3440" s="7" t="n">
        <v>4648.19</v>
      </c>
      <c r="F3440" s="7" t="n">
        <v>55778.31</v>
      </c>
    </row>
    <row r="3441" ht="21" customHeight="1">
      <c r="A3441" s="7" t="n">
        <v>2028</v>
      </c>
      <c r="B3441" s="7" t="n">
        <v>12</v>
      </c>
      <c r="C3441" s="10" t="inlineStr">
        <is>
          <t>Erl. so. DL Dt.</t>
        </is>
      </c>
      <c r="D3441" s="10" t="inlineStr">
        <is>
          <t>Gesamtleistung</t>
        </is>
      </c>
      <c r="E3441" s="7" t="n">
        <v>2095866.37</v>
      </c>
      <c r="F3441" s="7" t="n">
        <v>25150396.49</v>
      </c>
    </row>
    <row r="3442" ht="21" customHeight="1">
      <c r="A3442" s="7" t="n">
        <v>2028</v>
      </c>
      <c r="B3442" s="7" t="n">
        <v>12</v>
      </c>
      <c r="C3442" s="10" t="inlineStr">
        <is>
          <t>IT-Aufwendungen</t>
        </is>
      </c>
      <c r="D3442" s="10" t="inlineStr">
        <is>
          <t>Verwaltungskosten</t>
        </is>
      </c>
      <c r="E3442" s="7" t="n">
        <v>11944.12</v>
      </c>
      <c r="F3442" s="7" t="n">
        <v>143329.39</v>
      </c>
    </row>
    <row r="3443" ht="21" customHeight="1">
      <c r="A3443" s="7" t="n">
        <v>2029</v>
      </c>
      <c r="B3443" s="7" t="n">
        <v>12</v>
      </c>
      <c r="C3443" s="10" t="inlineStr">
        <is>
          <t>Ueb. bezog.Leis</t>
        </is>
      </c>
      <c r="D3443" s="10" t="inlineStr">
        <is>
          <t>Vorleistungen</t>
        </is>
      </c>
      <c r="E3443" s="7" t="n">
        <v>1364260.58</v>
      </c>
      <c r="F3443" s="7" t="n">
        <v>16371126.93</v>
      </c>
    </row>
    <row r="3444" ht="21" customHeight="1">
      <c r="A3444" s="7" t="n">
        <v>2031</v>
      </c>
      <c r="B3444" s="7" t="n">
        <v>12</v>
      </c>
      <c r="C3444" s="10" t="inlineStr">
        <is>
          <t>Sonderz. Prämie</t>
        </is>
      </c>
      <c r="D3444" s="10" t="inlineStr">
        <is>
          <t>Personalaufwand</t>
        </is>
      </c>
      <c r="E3444" s="7" t="n">
        <v>26838.18</v>
      </c>
      <c r="F3444" s="7" t="n">
        <v>322058.2</v>
      </c>
    </row>
    <row r="3445" ht="21" customHeight="1">
      <c r="A3445" s="7" t="n">
        <v>2029</v>
      </c>
      <c r="B3445" s="7" t="n">
        <v>12</v>
      </c>
      <c r="C3445" s="10" t="inlineStr">
        <is>
          <t>Verwaltungskost</t>
        </is>
      </c>
      <c r="D3445" s="10" t="inlineStr">
        <is>
          <t>Verwaltungskosten</t>
        </is>
      </c>
      <c r="E3445" s="7" t="n">
        <v>7098.98</v>
      </c>
      <c r="F3445" s="7" t="n">
        <v>85187.74000000001</v>
      </c>
    </row>
    <row r="3446" ht="21" customHeight="1">
      <c r="A3446" s="7" t="n">
        <v>2028</v>
      </c>
      <c r="B3446" s="7" t="n">
        <v>12</v>
      </c>
      <c r="C3446" s="10" t="inlineStr">
        <is>
          <t>Ertrag KFZ-Nutz</t>
        </is>
      </c>
      <c r="D3446" s="10" t="inlineStr">
        <is>
          <t>Gesamtleistung</t>
        </is>
      </c>
      <c r="E3446" s="7" t="n">
        <v>8405.780000000001</v>
      </c>
      <c r="F3446" s="7" t="n">
        <v>100869.3</v>
      </c>
    </row>
    <row r="3447" ht="21" customHeight="1">
      <c r="A3447" s="7" t="n">
        <v>2030</v>
      </c>
      <c r="B3447" s="7" t="n">
        <v>12</v>
      </c>
      <c r="C3447" s="10" t="inlineStr">
        <is>
          <t>Sonst Fuhrparkkosten</t>
        </is>
      </c>
      <c r="D3447" s="10" t="inlineStr">
        <is>
          <t>Fuhrparkkosten</t>
        </is>
      </c>
      <c r="E3447" s="7" t="n">
        <v>5942.26</v>
      </c>
      <c r="F3447" s="7" t="n">
        <v>71307.13</v>
      </c>
    </row>
    <row r="3448" ht="21" customHeight="1">
      <c r="A3448" s="7" t="n">
        <v>2028</v>
      </c>
      <c r="B3448" s="7" t="n">
        <v>12</v>
      </c>
      <c r="C3448" s="10" t="inlineStr">
        <is>
          <t>Rechts- u. Beratungs</t>
        </is>
      </c>
      <c r="D3448" s="10" t="inlineStr">
        <is>
          <t>Verwaltungskosten</t>
        </is>
      </c>
      <c r="E3448" s="7" t="n">
        <v>26405.07</v>
      </c>
      <c r="F3448" s="7" t="n">
        <v>316860.83</v>
      </c>
    </row>
    <row r="3449" ht="21" customHeight="1">
      <c r="A3449" s="7" t="n">
        <v>2027</v>
      </c>
      <c r="B3449" s="7" t="n">
        <v>12</v>
      </c>
      <c r="C3449" s="10" t="inlineStr">
        <is>
          <t>Leasing LKW</t>
        </is>
      </c>
      <c r="D3449" s="10" t="inlineStr">
        <is>
          <t>Fuhrparkkosten</t>
        </is>
      </c>
      <c r="E3449" s="7" t="n">
        <v>2305.28</v>
      </c>
      <c r="F3449" s="7" t="n">
        <v>27663.3</v>
      </c>
    </row>
    <row r="3450" ht="21" customHeight="1">
      <c r="A3450" s="7" t="n">
        <v>2031</v>
      </c>
      <c r="B3450" s="7" t="n">
        <v>12</v>
      </c>
      <c r="C3450" s="10" t="inlineStr">
        <is>
          <t>Fremdl. Fuhrlei</t>
        </is>
      </c>
      <c r="D3450" s="10" t="inlineStr">
        <is>
          <t>Vorleistungen</t>
        </is>
      </c>
      <c r="E3450" s="7" t="n">
        <v>374.24</v>
      </c>
      <c r="F3450" s="7" t="n">
        <v>4490.84</v>
      </c>
    </row>
    <row r="3451" ht="21" customHeight="1">
      <c r="A3451" s="7" t="n">
        <v>2029</v>
      </c>
      <c r="B3451" s="7" t="n">
        <v>12</v>
      </c>
      <c r="C3451" s="10" t="inlineStr">
        <is>
          <t>Fremdl. Fuhrlei</t>
        </is>
      </c>
      <c r="D3451" s="10" t="inlineStr">
        <is>
          <t>Vorleistungen</t>
        </is>
      </c>
      <c r="E3451" s="7" t="n">
        <v>362.07</v>
      </c>
      <c r="F3451" s="7" t="n">
        <v>4344.88</v>
      </c>
    </row>
    <row r="3452" ht="21" customHeight="1">
      <c r="A3452" s="7" t="n">
        <v>2028</v>
      </c>
      <c r="B3452" s="7" t="n">
        <v>12</v>
      </c>
      <c r="C3452" s="10" t="inlineStr">
        <is>
          <t>Vertriebskosten</t>
        </is>
      </c>
      <c r="D3452" s="10" t="inlineStr">
        <is>
          <t>Vertriebskosten</t>
        </is>
      </c>
      <c r="E3452" s="7" t="n">
        <v>11375</v>
      </c>
      <c r="F3452" s="7" t="n">
        <v>136500</v>
      </c>
    </row>
    <row r="3453" ht="21" customHeight="1">
      <c r="A3453" s="7" t="n">
        <v>2031</v>
      </c>
      <c r="B3453" s="7" t="n">
        <v>12</v>
      </c>
      <c r="C3453" s="10" t="inlineStr">
        <is>
          <t>Aufw. so. Hilfs</t>
        </is>
      </c>
      <c r="D3453" s="10" t="inlineStr">
        <is>
          <t>Vorleistungen</t>
        </is>
      </c>
      <c r="E3453" s="7" t="n">
        <v>-17544.22</v>
      </c>
      <c r="F3453" s="7" t="n">
        <v>-210530.6</v>
      </c>
    </row>
    <row r="3454" ht="21" customHeight="1">
      <c r="A3454" s="7" t="n">
        <v>2029</v>
      </c>
      <c r="B3454" s="7" t="n">
        <v>12</v>
      </c>
      <c r="C3454" s="10" t="inlineStr">
        <is>
          <t>Ankauf Rohstoff</t>
        </is>
      </c>
      <c r="D3454" s="10" t="inlineStr">
        <is>
          <t>Vorleistungen</t>
        </is>
      </c>
      <c r="E3454" s="7" t="n">
        <v>1473.64</v>
      </c>
      <c r="F3454" s="7" t="n">
        <v>17683.65</v>
      </c>
    </row>
    <row r="3455" ht="21" customHeight="1">
      <c r="A3455" s="7" t="n">
        <v>2028</v>
      </c>
      <c r="B3455" s="7" t="n">
        <v>12</v>
      </c>
      <c r="C3455" s="10" t="inlineStr">
        <is>
          <t>Sonstige Steuer</t>
        </is>
      </c>
      <c r="D3455" s="10" t="inlineStr">
        <is>
          <t>Fuhrparkkosten</t>
        </is>
      </c>
      <c r="E3455" s="7" t="n">
        <v>1587.15</v>
      </c>
      <c r="F3455" s="7" t="n">
        <v>19045.76</v>
      </c>
    </row>
    <row r="3456" ht="21" customHeight="1">
      <c r="A3456" s="7" t="n">
        <v>2030</v>
      </c>
      <c r="B3456" s="7" t="n">
        <v>12</v>
      </c>
      <c r="C3456" s="10" t="inlineStr">
        <is>
          <t>Weiterber. Frem</t>
        </is>
      </c>
      <c r="D3456" s="10" t="inlineStr">
        <is>
          <t>Vorleistungen</t>
        </is>
      </c>
      <c r="E3456" s="7" t="n">
        <v>0</v>
      </c>
      <c r="F3456" s="7" t="n">
        <v>0</v>
      </c>
    </row>
    <row r="3457" ht="21" customHeight="1">
      <c r="A3457" s="7" t="n">
        <v>2031</v>
      </c>
      <c r="B3457" s="7" t="n">
        <v>12</v>
      </c>
      <c r="C3457" s="10" t="inlineStr">
        <is>
          <t>Miete Behälter</t>
        </is>
      </c>
      <c r="D3457" s="10" t="inlineStr">
        <is>
          <t>Instandh. Betriebsausstattung</t>
        </is>
      </c>
      <c r="E3457" s="7" t="n">
        <v>27.88</v>
      </c>
      <c r="F3457" s="7" t="n">
        <v>334.55</v>
      </c>
    </row>
    <row r="3458" ht="21" customHeight="1">
      <c r="A3458" s="7" t="n">
        <v>2027</v>
      </c>
      <c r="B3458" s="7" t="n">
        <v>12</v>
      </c>
      <c r="C3458" s="10" t="inlineStr">
        <is>
          <t>Miete Grdst/Gebäud</t>
        </is>
      </c>
      <c r="D3458" s="10" t="inlineStr">
        <is>
          <t>Raumkosten</t>
        </is>
      </c>
      <c r="E3458" s="7" t="n">
        <v>15284.77</v>
      </c>
      <c r="F3458" s="7" t="n">
        <v>183417.26</v>
      </c>
    </row>
    <row r="3459" ht="21" customHeight="1">
      <c r="A3459" s="7" t="n">
        <v>2028</v>
      </c>
      <c r="B3459" s="7" t="n">
        <v>12</v>
      </c>
      <c r="C3459" s="10" t="inlineStr">
        <is>
          <t>Aufw. f. Alters</t>
        </is>
      </c>
      <c r="D3459" s="10" t="inlineStr">
        <is>
          <t>Personalaufwand</t>
        </is>
      </c>
      <c r="E3459" s="7" t="n">
        <v>1290.05</v>
      </c>
      <c r="F3459" s="7" t="n">
        <v>15480.56</v>
      </c>
    </row>
    <row r="3460" ht="21" customHeight="1">
      <c r="A3460" s="7" t="n">
        <v>2028</v>
      </c>
      <c r="B3460" s="7" t="n">
        <v>12</v>
      </c>
      <c r="C3460" s="10" t="inlineStr">
        <is>
          <t>Fremdl. Persona</t>
        </is>
      </c>
      <c r="D3460" s="10" t="inlineStr">
        <is>
          <t>Vorleistungen</t>
        </is>
      </c>
      <c r="E3460" s="7" t="n">
        <v>69.04000000000001</v>
      </c>
      <c r="F3460" s="7" t="n">
        <v>828.42</v>
      </c>
    </row>
    <row r="3461" ht="21" customHeight="1">
      <c r="A3461" s="7" t="n">
        <v>2030</v>
      </c>
      <c r="B3461" s="7" t="n">
        <v>12</v>
      </c>
      <c r="C3461" s="10" t="inlineStr">
        <is>
          <t>Vertriebskosten</t>
        </is>
      </c>
      <c r="D3461" s="10" t="inlineStr">
        <is>
          <t>Vertriebskosten</t>
        </is>
      </c>
      <c r="E3461" s="7" t="n">
        <v>12540.94</v>
      </c>
      <c r="F3461" s="7" t="n">
        <v>150491.26</v>
      </c>
    </row>
    <row r="3462" ht="21" customHeight="1">
      <c r="A3462" s="7" t="n">
        <v>2030</v>
      </c>
      <c r="B3462" s="7" t="n">
        <v>12</v>
      </c>
      <c r="C3462" s="10" t="inlineStr">
        <is>
          <t>Aufw. so. Hilfs</t>
        </is>
      </c>
      <c r="D3462" s="10" t="inlineStr">
        <is>
          <t>Vorleistungen</t>
        </is>
      </c>
      <c r="E3462" s="7" t="n">
        <v>-17197.35</v>
      </c>
      <c r="F3462" s="7" t="n">
        <v>-206368.2</v>
      </c>
    </row>
    <row r="3463" ht="21" customHeight="1">
      <c r="A3463" s="7" t="n">
        <v>2029</v>
      </c>
      <c r="B3463" s="7" t="n">
        <v>12</v>
      </c>
      <c r="C3463" s="10" t="inlineStr">
        <is>
          <t>Aufw. so. Hilfs</t>
        </is>
      </c>
      <c r="D3463" s="10" t="inlineStr">
        <is>
          <t>Vorleistungen</t>
        </is>
      </c>
      <c r="E3463" s="7" t="n">
        <v>-16834.66</v>
      </c>
      <c r="F3463" s="7" t="n">
        <v>-202015.88</v>
      </c>
    </row>
    <row r="3464" ht="21" customHeight="1">
      <c r="A3464" s="7" t="n">
        <v>2027</v>
      </c>
      <c r="B3464" s="7" t="n">
        <v>12</v>
      </c>
      <c r="C3464" s="10" t="inlineStr">
        <is>
          <t>Miete PKW</t>
        </is>
      </c>
      <c r="D3464" s="10" t="inlineStr">
        <is>
          <t>Fuhrparkkosten</t>
        </is>
      </c>
      <c r="E3464" s="7" t="n">
        <v>4613.79</v>
      </c>
      <c r="F3464" s="7" t="n">
        <v>55365.51</v>
      </c>
    </row>
    <row r="3465" ht="21" customHeight="1">
      <c r="A3465" s="7" t="n">
        <v>2030</v>
      </c>
      <c r="B3465" s="7" t="n">
        <v>12</v>
      </c>
      <c r="C3465" s="10" t="inlineStr">
        <is>
          <t>Fremdl. Fuhrlei</t>
        </is>
      </c>
      <c r="D3465" s="10" t="inlineStr">
        <is>
          <t>Vorleistungen</t>
        </is>
      </c>
      <c r="E3465" s="7" t="n">
        <v>368.3</v>
      </c>
      <c r="F3465" s="7" t="n">
        <v>4419.56</v>
      </c>
    </row>
    <row r="3466" ht="21" customHeight="1">
      <c r="A3466" s="7" t="n">
        <v>2030</v>
      </c>
      <c r="B3466" s="7" t="n">
        <v>12</v>
      </c>
      <c r="C3466" s="10" t="inlineStr">
        <is>
          <t>Miete PKW</t>
        </is>
      </c>
      <c r="D3466" s="10" t="inlineStr">
        <is>
          <t>Fuhrparkkosten</t>
        </is>
      </c>
      <c r="E3466" s="7" t="n">
        <v>5495.1</v>
      </c>
      <c r="F3466" s="7" t="n">
        <v>65941.19</v>
      </c>
    </row>
    <row r="3467" ht="21" customHeight="1">
      <c r="A3467" s="7" t="n">
        <v>2027</v>
      </c>
      <c r="B3467" s="7" t="n">
        <v>12</v>
      </c>
      <c r="C3467" s="10" t="inlineStr">
        <is>
          <t>Erl. Waren Dt.</t>
        </is>
      </c>
      <c r="D3467" s="10" t="inlineStr">
        <is>
          <t>Gesamtleistung</t>
        </is>
      </c>
      <c r="E3467" s="7" t="n">
        <v>42246.46</v>
      </c>
      <c r="F3467" s="7" t="n">
        <v>506957.51</v>
      </c>
    </row>
    <row r="3468" ht="21" customHeight="1">
      <c r="A3468" s="7" t="n">
        <v>2029</v>
      </c>
      <c r="B3468" s="7" t="n">
        <v>12</v>
      </c>
      <c r="C3468" s="10" t="inlineStr">
        <is>
          <t>Bestandsveraend</t>
        </is>
      </c>
      <c r="D3468" s="10" t="inlineStr">
        <is>
          <t>Gesamtleistung</t>
        </is>
      </c>
      <c r="E3468" s="7" t="n">
        <v>0</v>
      </c>
      <c r="F3468" s="7" t="n">
        <v>0</v>
      </c>
    </row>
    <row r="3469" ht="21" customHeight="1">
      <c r="A3469" s="7" t="n">
        <v>2031</v>
      </c>
      <c r="B3469" s="7" t="n">
        <v>12</v>
      </c>
      <c r="C3469" s="10" t="inlineStr">
        <is>
          <t>Leasing PKW</t>
        </is>
      </c>
      <c r="D3469" s="10" t="inlineStr">
        <is>
          <t>Fuhrparkkosten</t>
        </is>
      </c>
      <c r="E3469" s="7" t="n">
        <v>27699.28</v>
      </c>
      <c r="F3469" s="7" t="n">
        <v>332391.4</v>
      </c>
    </row>
    <row r="3470" ht="21" customHeight="1">
      <c r="A3470" s="7" t="n">
        <v>2029</v>
      </c>
      <c r="B3470" s="7" t="n">
        <v>12</v>
      </c>
      <c r="C3470" s="10" t="inlineStr">
        <is>
          <t>Behaelterkosten</t>
        </is>
      </c>
      <c r="D3470" s="10" t="inlineStr">
        <is>
          <t>Instandh. Betriebsausstattung</t>
        </is>
      </c>
      <c r="E3470" s="7" t="n">
        <v>12.15</v>
      </c>
      <c r="F3470" s="7" t="n">
        <v>145.74</v>
      </c>
    </row>
    <row r="3471" ht="21" customHeight="1">
      <c r="A3471" s="7" t="n">
        <v>2029</v>
      </c>
      <c r="B3471" s="7" t="n">
        <v>12</v>
      </c>
      <c r="C3471" s="10" t="inlineStr">
        <is>
          <t>Aufwand Umlage</t>
        </is>
      </c>
      <c r="D3471" s="10" t="inlineStr">
        <is>
          <t>Verwaltungskosten</t>
        </is>
      </c>
      <c r="E3471" s="7" t="n">
        <v>3589.28</v>
      </c>
      <c r="F3471" s="7" t="n">
        <v>43071.39</v>
      </c>
    </row>
    <row r="3472" ht="21" customHeight="1">
      <c r="A3472" s="7" t="n">
        <v>2030</v>
      </c>
      <c r="B3472" s="7" t="n">
        <v>12</v>
      </c>
      <c r="C3472" s="10" t="inlineStr">
        <is>
          <t>Instandh.Fuhrp</t>
        </is>
      </c>
      <c r="D3472" s="10" t="inlineStr">
        <is>
          <t>Fuhrparkkosten</t>
        </is>
      </c>
      <c r="E3472" s="7" t="n">
        <v>36157.89</v>
      </c>
      <c r="F3472" s="7" t="n">
        <v>433894.62</v>
      </c>
    </row>
    <row r="3473" ht="21" customHeight="1">
      <c r="A3473" s="7" t="n">
        <v>2028</v>
      </c>
      <c r="B3473" s="7" t="n">
        <v>12</v>
      </c>
      <c r="C3473" s="10" t="inlineStr">
        <is>
          <t>Sonderz. Prämie</t>
        </is>
      </c>
      <c r="D3473" s="10" t="inlineStr">
        <is>
          <t>Personalaufwand</t>
        </is>
      </c>
      <c r="E3473" s="7" t="n">
        <v>21386.26</v>
      </c>
      <c r="F3473" s="7" t="n">
        <v>256635.15</v>
      </c>
    </row>
    <row r="3474" ht="21" customHeight="1">
      <c r="A3474" s="7" t="n">
        <v>2029</v>
      </c>
      <c r="B3474" s="7" t="n">
        <v>12</v>
      </c>
      <c r="C3474" s="10" t="inlineStr">
        <is>
          <t>Aufw. f. Alters</t>
        </is>
      </c>
      <c r="D3474" s="10" t="inlineStr">
        <is>
          <t>Personalaufwand</t>
        </is>
      </c>
      <c r="E3474" s="7" t="n">
        <v>1366.43</v>
      </c>
      <c r="F3474" s="7" t="n">
        <v>16397.15</v>
      </c>
    </row>
    <row r="3475" ht="21" customHeight="1">
      <c r="A3475" s="7" t="n">
        <v>2027</v>
      </c>
      <c r="B3475" s="7" t="n">
        <v>12</v>
      </c>
      <c r="C3475" s="10" t="inlineStr">
        <is>
          <t>Ertr. weiterber</t>
        </is>
      </c>
      <c r="D3475" s="10" t="inlineStr">
        <is>
          <t>Gesamtleistung</t>
        </is>
      </c>
      <c r="E3475" s="7" t="n">
        <v>919.41</v>
      </c>
      <c r="F3475" s="7" t="n">
        <v>11032.96</v>
      </c>
    </row>
    <row r="3476" ht="21" customHeight="1">
      <c r="A3476" s="7" t="n">
        <v>2029</v>
      </c>
      <c r="B3476" s="7" t="n">
        <v>12</v>
      </c>
      <c r="C3476" s="10" t="inlineStr">
        <is>
          <t>So. betr. Aufwa</t>
        </is>
      </c>
      <c r="D3476" s="10" t="inlineStr">
        <is>
          <t>Verwaltungskosten</t>
        </is>
      </c>
      <c r="E3476" s="7" t="n">
        <v>693.25</v>
      </c>
      <c r="F3476" s="7" t="n">
        <v>8319.02</v>
      </c>
    </row>
    <row r="3477" ht="21" customHeight="1">
      <c r="A3477" s="7" t="n">
        <v>2031</v>
      </c>
      <c r="B3477" s="7" t="n">
        <v>12</v>
      </c>
      <c r="C3477" s="10" t="inlineStr">
        <is>
          <t>Ertr. weiterber</t>
        </is>
      </c>
      <c r="D3477" s="10" t="inlineStr">
        <is>
          <t>Gesamtleistung</t>
        </is>
      </c>
      <c r="E3477" s="7" t="n">
        <v>1173.93</v>
      </c>
      <c r="F3477" s="7" t="n">
        <v>14087.11</v>
      </c>
    </row>
    <row r="3478" ht="21" customHeight="1">
      <c r="A3478" s="7" t="n">
        <v>2031</v>
      </c>
      <c r="B3478" s="7" t="n">
        <v>12</v>
      </c>
      <c r="C3478" s="10" t="inlineStr">
        <is>
          <t>Ueb. bezog.Leis</t>
        </is>
      </c>
      <c r="D3478" s="10" t="inlineStr">
        <is>
          <t>Vorleistungen</t>
        </is>
      </c>
      <c r="E3478" s="7" t="n">
        <v>1404446.73</v>
      </c>
      <c r="F3478" s="7" t="n">
        <v>16853360.74</v>
      </c>
    </row>
    <row r="3479" ht="21" customHeight="1">
      <c r="A3479" s="7" t="n">
        <v>2027</v>
      </c>
      <c r="B3479" s="7" t="n">
        <v>12</v>
      </c>
      <c r="C3479" s="10" t="inlineStr">
        <is>
          <t>Fremdl. Fuhrlei</t>
        </is>
      </c>
      <c r="D3479" s="10" t="inlineStr">
        <is>
          <t>Vorleistungen</t>
        </is>
      </c>
      <c r="E3479" s="7" t="n">
        <v>371.09</v>
      </c>
      <c r="F3479" s="7" t="n">
        <v>4453.13</v>
      </c>
    </row>
    <row r="3480" ht="21" customHeight="1">
      <c r="A3480" s="7" t="n">
        <v>2027</v>
      </c>
      <c r="B3480" s="7" t="n">
        <v>12</v>
      </c>
      <c r="C3480" s="10" t="inlineStr">
        <is>
          <t>Behaelterkosten</t>
        </is>
      </c>
      <c r="D3480" s="10" t="inlineStr">
        <is>
          <t>Instandh. Betriebsausstattung</t>
        </is>
      </c>
      <c r="E3480" s="7" t="n">
        <v>11.02</v>
      </c>
      <c r="F3480" s="7" t="n">
        <v>132.19</v>
      </c>
    </row>
    <row r="3481" ht="21" customHeight="1">
      <c r="A3481" s="7" t="n">
        <v>2027</v>
      </c>
      <c r="B3481" s="7" t="n">
        <v>12</v>
      </c>
      <c r="C3481" s="10" t="inlineStr">
        <is>
          <t>Ueb Lohn-Gehalt</t>
        </is>
      </c>
      <c r="D3481" s="10" t="inlineStr">
        <is>
          <t>Personalaufwand</t>
        </is>
      </c>
      <c r="E3481" s="7" t="n">
        <v>30579.25</v>
      </c>
      <c r="F3481" s="7" t="n">
        <v>366951</v>
      </c>
    </row>
    <row r="3482" ht="21" customHeight="1">
      <c r="A3482" s="7" t="n">
        <v>2028</v>
      </c>
      <c r="B3482" s="7" t="n">
        <v>12</v>
      </c>
      <c r="C3482" s="10" t="inlineStr">
        <is>
          <t>Raumkosten</t>
        </is>
      </c>
      <c r="D3482" s="10" t="inlineStr">
        <is>
          <t>Raumkosten</t>
        </is>
      </c>
      <c r="E3482" s="7" t="n">
        <v>7023.98</v>
      </c>
      <c r="F3482" s="7" t="n">
        <v>84287.78</v>
      </c>
    </row>
    <row r="3483" ht="21" customHeight="1">
      <c r="A3483" s="7" t="n">
        <v>2031</v>
      </c>
      <c r="B3483" s="7" t="n">
        <v>12</v>
      </c>
      <c r="C3483" s="10" t="inlineStr">
        <is>
          <t>Bestandsveraend</t>
        </is>
      </c>
      <c r="D3483" s="10" t="inlineStr">
        <is>
          <t>Gesamtleistung</t>
        </is>
      </c>
      <c r="E3483" s="7" t="n">
        <v>0</v>
      </c>
      <c r="F3483" s="7" t="n">
        <v>0</v>
      </c>
    </row>
    <row r="3484" ht="21" customHeight="1">
      <c r="A3484" s="7" t="n">
        <v>2029</v>
      </c>
      <c r="B3484" s="7" t="n">
        <v>12</v>
      </c>
      <c r="C3484" s="10" t="inlineStr">
        <is>
          <t>Lohn + Gehalt</t>
        </is>
      </c>
      <c r="D3484" s="10" t="inlineStr">
        <is>
          <t>Personalaufwand</t>
        </is>
      </c>
      <c r="E3484" s="7" t="n">
        <v>356250.11</v>
      </c>
      <c r="F3484" s="7" t="n">
        <v>4275001.35</v>
      </c>
    </row>
    <row r="3485" ht="21" customHeight="1">
      <c r="A3485" s="7" t="n">
        <v>2029</v>
      </c>
      <c r="B3485" s="7" t="n">
        <v>12</v>
      </c>
      <c r="C3485" s="10" t="inlineStr">
        <is>
          <t>Aufw. Heizmat.</t>
        </is>
      </c>
      <c r="D3485" s="10" t="inlineStr">
        <is>
          <t>Vorleistungen</t>
        </is>
      </c>
      <c r="E3485" s="7" t="n">
        <v>245.07</v>
      </c>
      <c r="F3485" s="7" t="n">
        <v>2940.88</v>
      </c>
    </row>
    <row r="3486" ht="21" customHeight="1">
      <c r="A3486" s="7" t="n">
        <v>2031</v>
      </c>
      <c r="B3486" s="7" t="n">
        <v>12</v>
      </c>
      <c r="C3486" s="10" t="inlineStr">
        <is>
          <t>Verwaltungskost</t>
        </is>
      </c>
      <c r="D3486" s="10" t="inlineStr">
        <is>
          <t>Verwaltungskosten</t>
        </is>
      </c>
      <c r="E3486" s="7" t="n">
        <v>7531.31</v>
      </c>
      <c r="F3486" s="7" t="n">
        <v>90375.69</v>
      </c>
    </row>
    <row r="3487" ht="21" customHeight="1">
      <c r="A3487" s="7" t="n">
        <v>2028</v>
      </c>
      <c r="B3487" s="7" t="n">
        <v>12</v>
      </c>
      <c r="C3487" s="10" t="inlineStr">
        <is>
          <t>Erl. Waren Dt.</t>
        </is>
      </c>
      <c r="D3487" s="10" t="inlineStr">
        <is>
          <t>Gesamtleistung</t>
        </is>
      </c>
      <c r="E3487" s="7" t="n">
        <v>44950.49</v>
      </c>
      <c r="F3487" s="7" t="n">
        <v>539405.87</v>
      </c>
    </row>
    <row r="3488" ht="21" customHeight="1">
      <c r="A3488" s="7" t="n">
        <v>2030</v>
      </c>
      <c r="B3488" s="7" t="n">
        <v>12</v>
      </c>
      <c r="C3488" s="10" t="inlineStr">
        <is>
          <t>Uebr.neutr. Ert</t>
        </is>
      </c>
      <c r="D3488" s="10" t="inlineStr">
        <is>
          <t>Gesamtleistung</t>
        </is>
      </c>
      <c r="E3488" s="7" t="n">
        <v>207.38</v>
      </c>
      <c r="F3488" s="7" t="n">
        <v>2488.5</v>
      </c>
    </row>
    <row r="3489" ht="21" customHeight="1">
      <c r="A3489" s="7" t="n">
        <v>2030</v>
      </c>
      <c r="B3489" s="7" t="n">
        <v>12</v>
      </c>
      <c r="C3489" s="10" t="inlineStr">
        <is>
          <t>Raumkosten</t>
        </is>
      </c>
      <c r="D3489" s="10" t="inlineStr">
        <is>
          <t>Raumkosten</t>
        </is>
      </c>
      <c r="E3489" s="7" t="n">
        <v>7307.75</v>
      </c>
      <c r="F3489" s="7" t="n">
        <v>87693</v>
      </c>
    </row>
    <row r="3490" ht="21" customHeight="1">
      <c r="A3490" s="7" t="n">
        <v>2030</v>
      </c>
      <c r="B3490" s="7" t="n">
        <v>12</v>
      </c>
      <c r="C3490" s="10" t="inlineStr">
        <is>
          <t>Fremdl. Persona</t>
        </is>
      </c>
      <c r="D3490" s="10" t="inlineStr">
        <is>
          <t>Vorleistungen</t>
        </is>
      </c>
      <c r="E3490" s="7" t="n">
        <v>76.56999999999999</v>
      </c>
      <c r="F3490" s="7" t="n">
        <v>918.79</v>
      </c>
    </row>
    <row r="3491" ht="21" customHeight="1">
      <c r="A3491" s="7" t="n">
        <v>2027</v>
      </c>
      <c r="B3491" s="7" t="n">
        <v>12</v>
      </c>
      <c r="C3491" s="10" t="inlineStr">
        <is>
          <t>Leasing PKW</t>
        </is>
      </c>
      <c r="D3491" s="10" t="inlineStr">
        <is>
          <t>Fuhrparkkosten</t>
        </is>
      </c>
      <c r="E3491" s="7" t="n">
        <v>21940.43</v>
      </c>
      <c r="F3491" s="7" t="n">
        <v>263285.11</v>
      </c>
    </row>
    <row r="3492" ht="21" customHeight="1">
      <c r="A3492" s="7" t="n">
        <v>2030</v>
      </c>
      <c r="B3492" s="7" t="n">
        <v>12</v>
      </c>
      <c r="C3492" s="10" t="inlineStr">
        <is>
          <t>Ertrag KFZ-Nutz</t>
        </is>
      </c>
      <c r="D3492" s="10" t="inlineStr">
        <is>
          <t>Gesamtleistung</t>
        </is>
      </c>
      <c r="E3492" s="7" t="n">
        <v>9193.41</v>
      </c>
      <c r="F3492" s="7" t="n">
        <v>110320.94</v>
      </c>
    </row>
    <row r="3493" ht="21" customHeight="1">
      <c r="A3493" s="7" t="n">
        <v>2028</v>
      </c>
      <c r="B3493" s="7" t="n">
        <v>12</v>
      </c>
      <c r="C3493" s="10" t="inlineStr">
        <is>
          <t>Uebr.neutr. Ert</t>
        </is>
      </c>
      <c r="D3493" s="10" t="inlineStr">
        <is>
          <t>Gesamtleistung</t>
        </is>
      </c>
      <c r="E3493" s="7" t="n">
        <v>151.92</v>
      </c>
      <c r="F3493" s="7" t="n">
        <v>1823.08</v>
      </c>
    </row>
    <row r="3494" ht="21" customHeight="1">
      <c r="A3494" s="7" t="n">
        <v>2030</v>
      </c>
      <c r="B3494" s="7" t="n">
        <v>12</v>
      </c>
      <c r="C3494" s="10" t="inlineStr">
        <is>
          <t>Soziale Abgaben</t>
        </is>
      </c>
      <c r="D3494" s="10" t="inlineStr">
        <is>
          <t>Personalaufwand</t>
        </is>
      </c>
      <c r="E3494" s="7" t="n">
        <v>104141.87</v>
      </c>
      <c r="F3494" s="7" t="n">
        <v>1249702.47</v>
      </c>
    </row>
    <row r="3495" ht="21" customHeight="1">
      <c r="A3495" s="7" t="n">
        <v>2030</v>
      </c>
      <c r="B3495" s="7" t="n">
        <v>12</v>
      </c>
      <c r="C3495" s="10" t="inlineStr">
        <is>
          <t>Ankauf Rohstoff</t>
        </is>
      </c>
      <c r="D3495" s="10" t="inlineStr">
        <is>
          <t>Vorleistungen</t>
        </is>
      </c>
      <c r="E3495" s="7" t="n">
        <v>1483.55</v>
      </c>
      <c r="F3495" s="7" t="n">
        <v>17802.65</v>
      </c>
    </row>
    <row r="3496" ht="21" customHeight="1">
      <c r="A3496" s="7" t="n">
        <v>2031</v>
      </c>
      <c r="B3496" s="7" t="n">
        <v>12</v>
      </c>
      <c r="C3496" s="10" t="inlineStr">
        <is>
          <t>Aufw. Heizmat.</t>
        </is>
      </c>
      <c r="D3496" s="10" t="inlineStr">
        <is>
          <t>Vorleistungen</t>
        </is>
      </c>
      <c r="E3496" s="7" t="n">
        <v>216.16</v>
      </c>
      <c r="F3496" s="7" t="n">
        <v>2593.97</v>
      </c>
    </row>
    <row r="3497" ht="21" customHeight="1">
      <c r="A3497" s="7" t="n">
        <v>2030</v>
      </c>
      <c r="B3497" s="7" t="n">
        <v>12</v>
      </c>
      <c r="C3497" s="10" t="inlineStr">
        <is>
          <t>IT-Aufwendungen</t>
        </is>
      </c>
      <c r="D3497" s="10" t="inlineStr">
        <is>
          <t>Verwaltungskosten</t>
        </is>
      </c>
      <c r="E3497" s="7" t="n">
        <v>12671.51</v>
      </c>
      <c r="F3497" s="7" t="n">
        <v>152058.16</v>
      </c>
    </row>
    <row r="3498" ht="21" customHeight="1">
      <c r="A3498" s="7" t="n">
        <v>2027</v>
      </c>
      <c r="B3498" s="7" t="n">
        <v>12</v>
      </c>
      <c r="C3498" s="10" t="inlineStr">
        <is>
          <t>Treibstoffe, Oe</t>
        </is>
      </c>
      <c r="D3498" s="10" t="inlineStr">
        <is>
          <t>Fuhrparkkosten</t>
        </is>
      </c>
      <c r="E3498" s="7" t="n">
        <v>28695.87</v>
      </c>
      <c r="F3498" s="7" t="n">
        <v>344350.48</v>
      </c>
    </row>
    <row r="3499" ht="21" customHeight="1">
      <c r="A3499" s="7" t="n">
        <v>2028</v>
      </c>
      <c r="B3499" s="7" t="n">
        <v>12</v>
      </c>
      <c r="C3499" s="10" t="inlineStr">
        <is>
          <t>Aufw. Heizmat.</t>
        </is>
      </c>
      <c r="D3499" s="10" t="inlineStr">
        <is>
          <t>Vorleistungen</t>
        </is>
      </c>
      <c r="E3499" s="7" t="n">
        <v>260.43</v>
      </c>
      <c r="F3499" s="7" t="n">
        <v>3125.13</v>
      </c>
    </row>
    <row r="3500" ht="21" customHeight="1">
      <c r="A3500" s="7" t="n">
        <v>2031</v>
      </c>
      <c r="B3500" s="7" t="n">
        <v>12</v>
      </c>
      <c r="C3500" s="10" t="inlineStr">
        <is>
          <t>Ertrag KFZ-Nutz</t>
        </is>
      </c>
      <c r="D3500" s="10" t="inlineStr">
        <is>
          <t>Gesamtleistung</t>
        </is>
      </c>
      <c r="E3500" s="7" t="n">
        <v>9597.290000000001</v>
      </c>
      <c r="F3500" s="7" t="n">
        <v>115167.5</v>
      </c>
    </row>
    <row r="3501" ht="21" customHeight="1">
      <c r="A3501" s="7" t="n">
        <v>2027</v>
      </c>
      <c r="B3501" s="7" t="n">
        <v>12</v>
      </c>
      <c r="C3501" s="10" t="inlineStr">
        <is>
          <t>Raumkosten</t>
        </is>
      </c>
      <c r="D3501" s="10" t="inlineStr">
        <is>
          <t>Raumkosten</t>
        </is>
      </c>
      <c r="E3501" s="7" t="n">
        <v>5046.85</v>
      </c>
      <c r="F3501" s="7" t="n">
        <v>60562.14</v>
      </c>
    </row>
    <row r="3502" ht="21" customHeight="1">
      <c r="A3502" s="7" t="n">
        <v>2028</v>
      </c>
      <c r="B3502" s="7" t="n">
        <v>12</v>
      </c>
      <c r="C3502" s="10" t="inlineStr">
        <is>
          <t>Soziale Abgaben</t>
        </is>
      </c>
      <c r="D3502" s="10" t="inlineStr">
        <is>
          <t>Personalaufwand</t>
        </is>
      </c>
      <c r="E3502" s="7" t="n">
        <v>85007.57000000001</v>
      </c>
      <c r="F3502" s="7" t="n">
        <v>1020090.84</v>
      </c>
    </row>
    <row r="3503" ht="21" customHeight="1">
      <c r="A3503" s="7" t="n">
        <v>2029</v>
      </c>
      <c r="B3503" s="7" t="n">
        <v>12</v>
      </c>
      <c r="C3503" s="10" t="inlineStr">
        <is>
          <t>Miete Grdst/Gebäud</t>
        </is>
      </c>
      <c r="D3503" s="10" t="inlineStr">
        <is>
          <t>Raumkosten</t>
        </is>
      </c>
      <c r="E3503" s="7" t="n">
        <v>18238.55</v>
      </c>
      <c r="F3503" s="7" t="n">
        <v>218862.64</v>
      </c>
    </row>
    <row r="3504" ht="21" customHeight="1">
      <c r="A3504" s="7" t="n">
        <v>2031</v>
      </c>
      <c r="B3504" s="7" t="n">
        <v>12</v>
      </c>
      <c r="C3504" s="10" t="inlineStr">
        <is>
          <t>Raumkosten</t>
        </is>
      </c>
      <c r="D3504" s="10" t="inlineStr">
        <is>
          <t>Raumkosten</t>
        </is>
      </c>
      <c r="E3504" s="7" t="n">
        <v>7453.91</v>
      </c>
      <c r="F3504" s="7" t="n">
        <v>89446.89</v>
      </c>
    </row>
    <row r="3505" ht="21" customHeight="1">
      <c r="A3505" s="7" t="n">
        <v>2031</v>
      </c>
      <c r="B3505" s="7" t="n">
        <v>12</v>
      </c>
      <c r="C3505" s="10" t="inlineStr">
        <is>
          <t>Behaelterkosten</t>
        </is>
      </c>
      <c r="D3505" s="10" t="inlineStr">
        <is>
          <t>Instandh. Betriebsausstattung</t>
        </is>
      </c>
      <c r="E3505" s="7" t="n">
        <v>13.39</v>
      </c>
      <c r="F3505" s="7" t="n">
        <v>160.68</v>
      </c>
    </row>
    <row r="3506" ht="21" customHeight="1">
      <c r="A3506" s="7" t="n">
        <v>2031</v>
      </c>
      <c r="B3506" s="7" t="n">
        <v>12</v>
      </c>
      <c r="C3506" s="10" t="inlineStr">
        <is>
          <t>Instandh.Fuhrp</t>
        </is>
      </c>
      <c r="D3506" s="10" t="inlineStr">
        <is>
          <t>Fuhrparkkosten</t>
        </is>
      </c>
      <c r="E3506" s="7" t="n">
        <v>38327.36</v>
      </c>
      <c r="F3506" s="7" t="n">
        <v>459928.28</v>
      </c>
    </row>
    <row r="3507" ht="21" customHeight="1">
      <c r="A3507" s="7" t="n">
        <v>2030</v>
      </c>
      <c r="B3507" s="7" t="n">
        <v>12</v>
      </c>
      <c r="C3507" s="10" t="inlineStr">
        <is>
          <t>Ueb. bezog.Leis</t>
        </is>
      </c>
      <c r="D3507" s="10" t="inlineStr">
        <is>
          <t>Vorleistungen</t>
        </is>
      </c>
      <c r="E3507" s="7" t="n">
        <v>1385029.28</v>
      </c>
      <c r="F3507" s="7" t="n">
        <v>16620351.38</v>
      </c>
    </row>
    <row r="3508" ht="21" customHeight="1">
      <c r="A3508" s="7" t="n">
        <v>2027</v>
      </c>
      <c r="B3508" s="7" t="n">
        <v>12</v>
      </c>
      <c r="C3508" s="10" t="inlineStr">
        <is>
          <t>Miete LKW,Schiffe</t>
        </is>
      </c>
      <c r="D3508" s="10" t="inlineStr">
        <is>
          <t>Fuhrparkkosten</t>
        </is>
      </c>
      <c r="E3508" s="7" t="n">
        <v>36751.61</v>
      </c>
      <c r="F3508" s="7" t="n">
        <v>441019.28</v>
      </c>
    </row>
    <row r="3509" ht="21" customHeight="1">
      <c r="A3509" s="7" t="n">
        <v>2030</v>
      </c>
      <c r="B3509" s="7" t="n">
        <v>12</v>
      </c>
      <c r="C3509" s="10" t="inlineStr">
        <is>
          <t>Leasing LKW</t>
        </is>
      </c>
      <c r="D3509" s="10" t="inlineStr">
        <is>
          <t>Fuhrparkkosten</t>
        </is>
      </c>
      <c r="E3509" s="7" t="n">
        <v>2745.62</v>
      </c>
      <c r="F3509" s="7" t="n">
        <v>32947.44</v>
      </c>
    </row>
    <row r="3510" ht="21" customHeight="1">
      <c r="A3510" s="7" t="n">
        <v>2031</v>
      </c>
      <c r="B3510" s="7" t="n">
        <v>12</v>
      </c>
      <c r="C3510" s="10" t="inlineStr">
        <is>
          <t>Vertriebskosten</t>
        </is>
      </c>
      <c r="D3510" s="10" t="inlineStr">
        <is>
          <t>Vertriebskosten</t>
        </is>
      </c>
      <c r="E3510" s="7" t="n">
        <v>13167.99</v>
      </c>
      <c r="F3510" s="7" t="n">
        <v>158015.82</v>
      </c>
    </row>
    <row r="3511" ht="21" customHeight="1">
      <c r="A3511" s="7" t="n">
        <v>2028</v>
      </c>
      <c r="B3511" s="7" t="n">
        <v>12</v>
      </c>
      <c r="C3511" s="10" t="inlineStr">
        <is>
          <t>Behaelterkosten</t>
        </is>
      </c>
      <c r="D3511" s="10" t="inlineStr">
        <is>
          <t>Instandh. Betriebsausstattung</t>
        </is>
      </c>
      <c r="E3511" s="7" t="n">
        <v>11.57</v>
      </c>
      <c r="F3511" s="7" t="n">
        <v>138.8</v>
      </c>
    </row>
    <row r="3512" ht="21" customHeight="1">
      <c r="A3512" s="7" t="n">
        <v>2030</v>
      </c>
      <c r="B3512" s="7" t="n">
        <v>12</v>
      </c>
      <c r="C3512" s="10" t="inlineStr">
        <is>
          <t>Verwaltungskost</t>
        </is>
      </c>
      <c r="D3512" s="10" t="inlineStr">
        <is>
          <t>Verwaltungskosten</t>
        </is>
      </c>
      <c r="E3512" s="7" t="n">
        <v>7311.95</v>
      </c>
      <c r="F3512" s="7" t="n">
        <v>87743.38</v>
      </c>
    </row>
    <row r="3513" ht="21" customHeight="1">
      <c r="A3513" s="7" t="n">
        <v>2030</v>
      </c>
      <c r="B3513" s="7" t="n">
        <v>12</v>
      </c>
      <c r="C3513" s="10" t="inlineStr">
        <is>
          <t>Rechts- u. Beratungs</t>
        </is>
      </c>
      <c r="D3513" s="10" t="inlineStr">
        <is>
          <t>Verwaltungskosten</t>
        </is>
      </c>
      <c r="E3513" s="7" t="n">
        <v>28013.14</v>
      </c>
      <c r="F3513" s="7" t="n">
        <v>336157.66</v>
      </c>
    </row>
    <row r="3514" ht="21" customHeight="1">
      <c r="A3514" s="7" t="n">
        <v>2028</v>
      </c>
      <c r="B3514" s="7" t="n">
        <v>12</v>
      </c>
      <c r="C3514" s="10" t="inlineStr">
        <is>
          <t>Sonst Fuhrparkkosten</t>
        </is>
      </c>
      <c r="D3514" s="10" t="inlineStr">
        <is>
          <t>Fuhrparkkosten</t>
        </is>
      </c>
      <c r="E3514" s="7" t="n">
        <v>5288.59</v>
      </c>
      <c r="F3514" s="7" t="n">
        <v>63463.1</v>
      </c>
    </row>
    <row r="3515" ht="21" customHeight="1">
      <c r="A3515" s="7" t="n">
        <v>2029</v>
      </c>
      <c r="B3515" s="7" t="n">
        <v>12</v>
      </c>
      <c r="C3515" s="10" t="inlineStr">
        <is>
          <t>Erl. so. DL Dt.</t>
        </is>
      </c>
      <c r="D3515" s="10" t="inlineStr">
        <is>
          <t>Gesamtleistung</t>
        </is>
      </c>
      <c r="E3515" s="7" t="n">
        <v>2200755.15</v>
      </c>
      <c r="F3515" s="7" t="n">
        <v>26409061.76</v>
      </c>
    </row>
    <row r="3516" ht="21" customHeight="1">
      <c r="A3516" s="7" t="n">
        <v>2031</v>
      </c>
      <c r="B3516" s="7" t="n">
        <v>12</v>
      </c>
      <c r="C3516" s="10" t="inlineStr">
        <is>
          <t>Uebr.neutr. Ert</t>
        </is>
      </c>
      <c r="D3516" s="10" t="inlineStr">
        <is>
          <t>Gesamtleistung</t>
        </is>
      </c>
      <c r="E3516" s="7" t="n">
        <v>227.28</v>
      </c>
      <c r="F3516" s="7" t="n">
        <v>2727.33</v>
      </c>
    </row>
    <row r="3517" ht="21" customHeight="1">
      <c r="A3517" s="7" t="n">
        <v>2030</v>
      </c>
      <c r="B3517" s="7" t="n">
        <v>12</v>
      </c>
      <c r="C3517" s="10" t="inlineStr">
        <is>
          <t>Erl. Waren Dt.</t>
        </is>
      </c>
      <c r="D3517" s="10" t="inlineStr">
        <is>
          <t>Gesamtleistung</t>
        </is>
      </c>
      <c r="E3517" s="7" t="n">
        <v>49038.99</v>
      </c>
      <c r="F3517" s="7" t="n">
        <v>588467.85</v>
      </c>
    </row>
    <row r="3518" ht="21" customHeight="1">
      <c r="A3518" s="7" t="n">
        <v>2028</v>
      </c>
      <c r="B3518" s="7" t="n">
        <v>12</v>
      </c>
      <c r="C3518" s="10" t="inlineStr">
        <is>
          <t>Weiterber. Frem</t>
        </is>
      </c>
      <c r="D3518" s="10" t="inlineStr">
        <is>
          <t>Vorleistungen</t>
        </is>
      </c>
      <c r="E3518" s="7" t="n">
        <v>0</v>
      </c>
      <c r="F3518" s="7" t="n">
        <v>0</v>
      </c>
    </row>
    <row r="3519" ht="21" customHeight="1">
      <c r="A3519" s="7" t="n">
        <v>2027</v>
      </c>
      <c r="B3519" s="7" t="n">
        <v>12</v>
      </c>
      <c r="C3519" s="10" t="inlineStr">
        <is>
          <t>IT-Aufwendungen</t>
        </is>
      </c>
      <c r="D3519" s="10" t="inlineStr">
        <is>
          <t>Verwaltungskosten</t>
        </is>
      </c>
      <c r="E3519" s="7" t="n">
        <v>11596.23</v>
      </c>
      <c r="F3519" s="7" t="n">
        <v>139154.76</v>
      </c>
    </row>
    <row r="3520" ht="21" customHeight="1">
      <c r="A3520" s="7" t="n">
        <v>2028</v>
      </c>
      <c r="B3520" s="7" t="n">
        <v>12</v>
      </c>
      <c r="C3520" s="10" t="inlineStr">
        <is>
          <t>Leasing LKW</t>
        </is>
      </c>
      <c r="D3520" s="10" t="inlineStr">
        <is>
          <t>Fuhrparkkosten</t>
        </is>
      </c>
      <c r="E3520" s="7" t="n">
        <v>2443.59</v>
      </c>
      <c r="F3520" s="7" t="n">
        <v>29323.11</v>
      </c>
    </row>
    <row r="3521" ht="21" customHeight="1">
      <c r="A3521" s="7" t="n">
        <v>2031</v>
      </c>
      <c r="B3521" s="7" t="n">
        <v>12</v>
      </c>
      <c r="C3521" s="10" t="inlineStr">
        <is>
          <t>Weiterber. Frem</t>
        </is>
      </c>
      <c r="D3521" s="10" t="inlineStr">
        <is>
          <t>Vorleistungen</t>
        </is>
      </c>
      <c r="E3521" s="7" t="n">
        <v>0</v>
      </c>
      <c r="F3521" s="7" t="n">
        <v>0</v>
      </c>
    </row>
    <row r="3522" ht="21" customHeight="1">
      <c r="A3522" s="7" t="n">
        <v>2028</v>
      </c>
      <c r="B3522" s="7" t="n">
        <v>12</v>
      </c>
      <c r="C3522" s="10" t="inlineStr">
        <is>
          <t>Lohn + Gehalt</t>
        </is>
      </c>
      <c r="D3522" s="10" t="inlineStr">
        <is>
          <t>Personalaufwand</t>
        </is>
      </c>
      <c r="E3522" s="7" t="n">
        <v>321097.26</v>
      </c>
      <c r="F3522" s="7" t="n">
        <v>3853167.13</v>
      </c>
    </row>
    <row r="3523" ht="21" customHeight="1">
      <c r="A3523" s="7" t="n">
        <v>2029</v>
      </c>
      <c r="B3523" s="7" t="n">
        <v>12</v>
      </c>
      <c r="C3523" s="10" t="inlineStr">
        <is>
          <t>Miete LKW,Schiffe</t>
        </is>
      </c>
      <c r="D3523" s="10" t="inlineStr">
        <is>
          <t>Fuhrparkkosten</t>
        </is>
      </c>
      <c r="E3523" s="7" t="n">
        <v>41294.11</v>
      </c>
      <c r="F3523" s="7" t="n">
        <v>495529.28</v>
      </c>
    </row>
    <row r="3524" ht="21" customHeight="1">
      <c r="A3524" s="7" t="n">
        <v>2030</v>
      </c>
      <c r="B3524" s="7" t="n">
        <v>12</v>
      </c>
      <c r="C3524" s="10" t="inlineStr">
        <is>
          <t>Erl. so. DL Dt.</t>
        </is>
      </c>
      <c r="D3524" s="10" t="inlineStr">
        <is>
          <t>Gesamtleistung</t>
        </is>
      </c>
      <c r="E3524" s="7" t="n">
        <v>2311684.01</v>
      </c>
      <c r="F3524" s="7" t="n">
        <v>27740208.09</v>
      </c>
    </row>
    <row r="3525" ht="21" customHeight="1">
      <c r="A3525" s="7" t="n">
        <v>2030</v>
      </c>
      <c r="B3525" s="7" t="n">
        <v>12</v>
      </c>
      <c r="C3525" s="10" t="inlineStr">
        <is>
          <t>Versicherungskosten</t>
        </is>
      </c>
      <c r="D3525" s="10" t="inlineStr">
        <is>
          <t>Verwaltungskosten</t>
        </is>
      </c>
      <c r="E3525" s="7" t="n">
        <v>11790.1</v>
      </c>
      <c r="F3525" s="7" t="n">
        <v>141481.23</v>
      </c>
    </row>
    <row r="3526" ht="21" customHeight="1">
      <c r="A3526" s="7" t="n">
        <v>2029</v>
      </c>
      <c r="B3526" s="7" t="n">
        <v>12</v>
      </c>
      <c r="C3526" s="10" t="inlineStr">
        <is>
          <t>Sonstige Steuer</t>
        </is>
      </c>
      <c r="D3526" s="10" t="inlineStr">
        <is>
          <t>Fuhrparkkosten</t>
        </is>
      </c>
      <c r="E3526" s="7" t="n">
        <v>1682.38</v>
      </c>
      <c r="F3526" s="7" t="n">
        <v>20188.51</v>
      </c>
    </row>
    <row r="3527" ht="21" customHeight="1">
      <c r="A3527" s="7" t="n">
        <v>2027</v>
      </c>
      <c r="B3527" s="7" t="n">
        <v>12</v>
      </c>
      <c r="C3527" s="10" t="inlineStr">
        <is>
          <t>Sonst Fuhrparkkosten</t>
        </is>
      </c>
      <c r="D3527" s="10" t="inlineStr">
        <is>
          <t>Fuhrparkkosten</t>
        </is>
      </c>
      <c r="E3527" s="7" t="n">
        <v>4989.24</v>
      </c>
      <c r="F3527" s="7" t="n">
        <v>59870.86</v>
      </c>
    </row>
    <row r="3528" ht="21" customHeight="1">
      <c r="A3528" s="7" t="n">
        <v>2028</v>
      </c>
      <c r="B3528" s="7" t="n">
        <v>12</v>
      </c>
      <c r="C3528" s="10" t="inlineStr">
        <is>
          <t>Bestandsveraend</t>
        </is>
      </c>
      <c r="D3528" s="10" t="inlineStr">
        <is>
          <t>Gesamtleistung</t>
        </is>
      </c>
      <c r="E3528" s="7" t="n">
        <v>0</v>
      </c>
      <c r="F3528" s="7" t="n">
        <v>0</v>
      </c>
    </row>
    <row r="3529" ht="21" customHeight="1">
      <c r="A3529" s="7" t="n">
        <v>2028</v>
      </c>
      <c r="B3529" s="7" t="n">
        <v>12</v>
      </c>
      <c r="C3529" s="10" t="inlineStr">
        <is>
          <t>So. betr. Aufwa</t>
        </is>
      </c>
      <c r="D3529" s="10" t="inlineStr">
        <is>
          <t>Verwaltungskosten</t>
        </is>
      </c>
      <c r="E3529" s="7" t="n">
        <v>673.0599999999999</v>
      </c>
      <c r="F3529" s="7" t="n">
        <v>8076.71</v>
      </c>
    </row>
    <row r="3530" ht="21" customHeight="1">
      <c r="A3530" s="7" t="n">
        <v>2030</v>
      </c>
      <c r="B3530" s="7" t="n">
        <v>12</v>
      </c>
      <c r="C3530" s="10" t="inlineStr">
        <is>
          <t>Miete LKW,Schiffe</t>
        </is>
      </c>
      <c r="D3530" s="10" t="inlineStr">
        <is>
          <t>Fuhrparkkosten</t>
        </is>
      </c>
      <c r="E3530" s="7" t="n">
        <v>43771.75</v>
      </c>
      <c r="F3530" s="7" t="n">
        <v>525261.04</v>
      </c>
    </row>
    <row r="3531" ht="21" customHeight="1">
      <c r="A3531" s="7" t="n">
        <v>2028</v>
      </c>
      <c r="B3531" s="7" t="n">
        <v>12</v>
      </c>
      <c r="C3531" s="10" t="inlineStr">
        <is>
          <t>Miete LKW,Schiffe</t>
        </is>
      </c>
      <c r="D3531" s="10" t="inlineStr">
        <is>
          <t>Fuhrparkkosten</t>
        </is>
      </c>
      <c r="E3531" s="7" t="n">
        <v>38956.71</v>
      </c>
      <c r="F3531" s="7" t="n">
        <v>467480.47</v>
      </c>
    </row>
    <row r="3532" ht="21" customHeight="1">
      <c r="A3532" s="7" t="n">
        <v>2028</v>
      </c>
      <c r="B3532" s="7" t="n">
        <v>12</v>
      </c>
      <c r="C3532" s="10" t="inlineStr">
        <is>
          <t>sonst Personalk</t>
        </is>
      </c>
      <c r="D3532" s="10" t="inlineStr">
        <is>
          <t>Personalaufwand</t>
        </is>
      </c>
      <c r="E3532" s="7" t="n">
        <v>12597.51</v>
      </c>
      <c r="F3532" s="7" t="n">
        <v>151170.09</v>
      </c>
    </row>
    <row r="3533" ht="21" customHeight="1">
      <c r="A3533" s="7" t="n">
        <v>2030</v>
      </c>
      <c r="B3533" s="7" t="n">
        <v>12</v>
      </c>
      <c r="C3533" s="10" t="inlineStr">
        <is>
          <t>Leasing PKW</t>
        </is>
      </c>
      <c r="D3533" s="10" t="inlineStr">
        <is>
          <t>Fuhrparkkosten</t>
        </is>
      </c>
      <c r="E3533" s="7" t="n">
        <v>26131.4</v>
      </c>
      <c r="F3533" s="7" t="n">
        <v>313576.76</v>
      </c>
    </row>
    <row r="3534" ht="21" customHeight="1">
      <c r="A3534" s="7" t="n">
        <v>2031</v>
      </c>
      <c r="B3534" s="7" t="n">
        <v>12</v>
      </c>
      <c r="C3534" s="10" t="inlineStr">
        <is>
          <t>Aufwand Umlage</t>
        </is>
      </c>
      <c r="D3534" s="10" t="inlineStr">
        <is>
          <t>Verwaltungskosten</t>
        </is>
      </c>
      <c r="E3534" s="7" t="n">
        <v>3807.87</v>
      </c>
      <c r="F3534" s="7" t="n">
        <v>45694.43</v>
      </c>
    </row>
    <row r="3535" ht="21" customHeight="1">
      <c r="A3535" s="7" t="n">
        <v>2031</v>
      </c>
      <c r="B3535" s="7" t="n">
        <v>12</v>
      </c>
      <c r="C3535" s="10" t="inlineStr">
        <is>
          <t>sonst Personalk</t>
        </is>
      </c>
      <c r="D3535" s="10" t="inlineStr">
        <is>
          <t>Personalaufwand</t>
        </is>
      </c>
      <c r="E3535" s="7" t="n">
        <v>17070.54</v>
      </c>
      <c r="F3535" s="7" t="n">
        <v>204846.51</v>
      </c>
    </row>
    <row r="3536" ht="21" customHeight="1">
      <c r="A3536" s="7" t="n">
        <v>2027</v>
      </c>
      <c r="B3536" s="7" t="n">
        <v>12</v>
      </c>
      <c r="C3536" s="10" t="inlineStr">
        <is>
          <t>sonst Personalk</t>
        </is>
      </c>
      <c r="D3536" s="10" t="inlineStr">
        <is>
          <t>Personalaufwand</t>
        </is>
      </c>
      <c r="E3536" s="7" t="n">
        <v>10949.84</v>
      </c>
      <c r="F3536" s="7" t="n">
        <v>131398.1</v>
      </c>
    </row>
    <row r="3537" ht="21" customHeight="1">
      <c r="A3537" s="7" t="n">
        <v>2031</v>
      </c>
      <c r="B3537" s="7" t="n">
        <v>12</v>
      </c>
      <c r="C3537" s="10" t="inlineStr">
        <is>
          <t>Miete PKW</t>
        </is>
      </c>
      <c r="D3537" s="10" t="inlineStr">
        <is>
          <t>Fuhrparkkosten</t>
        </is>
      </c>
      <c r="E3537" s="7" t="n">
        <v>5824.81</v>
      </c>
      <c r="F3537" s="7" t="n">
        <v>69897.67</v>
      </c>
    </row>
    <row r="3538" ht="21" customHeight="1">
      <c r="A3538" s="7" t="n">
        <v>2029</v>
      </c>
      <c r="B3538" s="7" t="n">
        <v>12</v>
      </c>
      <c r="C3538" s="10" t="inlineStr">
        <is>
          <t>Raumkosten</t>
        </is>
      </c>
      <c r="D3538" s="10" t="inlineStr">
        <is>
          <t>Raumkosten</t>
        </is>
      </c>
      <c r="E3538" s="7" t="n">
        <v>7164.46</v>
      </c>
      <c r="F3538" s="7" t="n">
        <v>85973.53</v>
      </c>
    </row>
    <row r="3539" ht="21" customHeight="1">
      <c r="A3539" s="7" t="n">
        <v>2031</v>
      </c>
      <c r="B3539" s="7" t="n">
        <v>12</v>
      </c>
      <c r="C3539" s="10" t="inlineStr">
        <is>
          <t>Aufw. f. Alters</t>
        </is>
      </c>
      <c r="D3539" s="10" t="inlineStr">
        <is>
          <t>Personalaufwand</t>
        </is>
      </c>
      <c r="E3539" s="7" t="n">
        <v>1434.03</v>
      </c>
      <c r="F3539" s="7" t="n">
        <v>17208.41</v>
      </c>
    </row>
    <row r="3540" ht="21" customHeight="1">
      <c r="A3540" s="7" t="n">
        <v>2031</v>
      </c>
      <c r="B3540" s="7" t="n">
        <v>12</v>
      </c>
      <c r="C3540" s="10" t="inlineStr">
        <is>
          <t>IT-Aufwendungen</t>
        </is>
      </c>
      <c r="D3540" s="10" t="inlineStr">
        <is>
          <t>Verwaltungskosten</t>
        </is>
      </c>
      <c r="E3540" s="7" t="n">
        <v>13051.66</v>
      </c>
      <c r="F3540" s="7" t="n">
        <v>156619.9</v>
      </c>
    </row>
    <row r="3541" ht="21" customHeight="1">
      <c r="A3541" s="7" t="n">
        <v>2028</v>
      </c>
      <c r="B3541" s="7" t="n">
        <v>12</v>
      </c>
      <c r="C3541" s="10" t="inlineStr">
        <is>
          <t>Miete Grdst/Gebäud</t>
        </is>
      </c>
      <c r="D3541" s="10" t="inlineStr">
        <is>
          <t>Raumkosten</t>
        </is>
      </c>
      <c r="E3541" s="7" t="n">
        <v>17880.93</v>
      </c>
      <c r="F3541" s="7" t="n">
        <v>214571.21</v>
      </c>
    </row>
    <row r="3542" ht="21" customHeight="1">
      <c r="A3542" s="7" t="n">
        <v>2027</v>
      </c>
      <c r="B3542" s="7" t="n">
        <v>12</v>
      </c>
      <c r="C3542" s="10" t="inlineStr">
        <is>
          <t>Erloesschmaeler</t>
        </is>
      </c>
      <c r="D3542" s="10" t="inlineStr">
        <is>
          <t>Gesamtleistung</t>
        </is>
      </c>
      <c r="E3542" s="7" t="n">
        <v>-7483.88</v>
      </c>
      <c r="F3542" s="7" t="n">
        <v>-89806.53</v>
      </c>
    </row>
    <row r="3543" ht="21" customHeight="1">
      <c r="A3543" s="7" t="n">
        <v>2029</v>
      </c>
      <c r="B3543" s="7" t="n">
        <v>12</v>
      </c>
      <c r="C3543" s="10" t="inlineStr">
        <is>
          <t>sonst Personalk</t>
        </is>
      </c>
      <c r="D3543" s="10" t="inlineStr">
        <is>
          <t>Personalaufwand</t>
        </is>
      </c>
      <c r="E3543" s="7" t="n">
        <v>13957.15</v>
      </c>
      <c r="F3543" s="7" t="n">
        <v>167485.78</v>
      </c>
    </row>
    <row r="3544" ht="21" customHeight="1">
      <c r="A3544" s="7" t="n">
        <v>2028</v>
      </c>
      <c r="B3544" s="7" t="n">
        <v>12</v>
      </c>
      <c r="C3544" s="10" t="inlineStr">
        <is>
          <t>Fremdl. Fuhrlei</t>
        </is>
      </c>
      <c r="D3544" s="10" t="inlineStr">
        <is>
          <t>Vorleistungen</t>
        </is>
      </c>
      <c r="E3544" s="7" t="n">
        <v>363.29</v>
      </c>
      <c r="F3544" s="7" t="n">
        <v>4359.52</v>
      </c>
    </row>
    <row r="3545" ht="21" customHeight="1">
      <c r="A3545" s="7" t="n">
        <v>2027</v>
      </c>
      <c r="B3545" s="7" t="n">
        <v>12</v>
      </c>
      <c r="C3545" s="10" t="inlineStr">
        <is>
          <t>Erl. so. DL Dt.</t>
        </is>
      </c>
      <c r="D3545" s="10" t="inlineStr">
        <is>
          <t>Gesamtleistung</t>
        </is>
      </c>
      <c r="E3545" s="7" t="n">
        <v>1996174.37</v>
      </c>
      <c r="F3545" s="7" t="n">
        <v>23954092.45</v>
      </c>
    </row>
    <row r="3546" ht="21" customHeight="1">
      <c r="A3546" s="7" t="n">
        <v>2027</v>
      </c>
      <c r="B3546" s="7" t="n">
        <v>12</v>
      </c>
      <c r="C3546" s="10" t="inlineStr">
        <is>
          <t>Aufw. Heizmat.</t>
        </is>
      </c>
      <c r="D3546" s="10" t="inlineStr">
        <is>
          <t>Vorleistungen</t>
        </is>
      </c>
      <c r="E3546" s="7" t="n">
        <v>275.72</v>
      </c>
      <c r="F3546" s="7" t="n">
        <v>3308.65</v>
      </c>
    </row>
    <row r="3547" ht="21" customHeight="1">
      <c r="A3547" s="7" t="n">
        <v>2028</v>
      </c>
      <c r="B3547" s="7" t="n">
        <v>12</v>
      </c>
      <c r="C3547" s="10" t="inlineStr">
        <is>
          <t>Versicherungskosten</t>
        </is>
      </c>
      <c r="D3547" s="10" t="inlineStr">
        <is>
          <t>Verwaltungskosten</t>
        </is>
      </c>
      <c r="E3547" s="7" t="n">
        <v>11113.3</v>
      </c>
      <c r="F3547" s="7" t="n">
        <v>133359.63</v>
      </c>
    </row>
    <row r="3548" ht="21" customHeight="1">
      <c r="A3548" s="7" t="n">
        <v>2031</v>
      </c>
      <c r="B3548" s="7" t="n">
        <v>12</v>
      </c>
      <c r="C3548" s="10" t="inlineStr">
        <is>
          <t>Miete LKW,Schiffe</t>
        </is>
      </c>
      <c r="D3548" s="10" t="inlineStr">
        <is>
          <t>Fuhrparkkosten</t>
        </is>
      </c>
      <c r="E3548" s="7" t="n">
        <v>46398.06</v>
      </c>
      <c r="F3548" s="7" t="n">
        <v>556776.71</v>
      </c>
    </row>
    <row r="3549" ht="21" customHeight="1">
      <c r="A3549" s="7" t="n">
        <v>2027</v>
      </c>
      <c r="B3549" s="7" t="n">
        <v>12</v>
      </c>
      <c r="C3549" s="10" t="inlineStr">
        <is>
          <t>Weiterber. Frem</t>
        </is>
      </c>
      <c r="D3549" s="10" t="inlineStr">
        <is>
          <t>Vorleistungen</t>
        </is>
      </c>
      <c r="E3549" s="7" t="n">
        <v>0</v>
      </c>
      <c r="F3549" s="7" t="n">
        <v>0</v>
      </c>
    </row>
    <row r="3550" ht="21" customHeight="1">
      <c r="A3550" s="7" t="n">
        <v>2028</v>
      </c>
      <c r="B3550" s="7" t="n">
        <v>12</v>
      </c>
      <c r="C3550" s="10" t="inlineStr">
        <is>
          <t>Erloesschmaeler</t>
        </is>
      </c>
      <c r="D3550" s="10" t="inlineStr">
        <is>
          <t>Gesamtleistung</t>
        </is>
      </c>
      <c r="E3550" s="7" t="n">
        <v>-8355.469999999999</v>
      </c>
      <c r="F3550" s="7" t="n">
        <v>-100265.61</v>
      </c>
    </row>
    <row r="3551" ht="21" customHeight="1">
      <c r="A3551" s="7" t="n">
        <v>2027</v>
      </c>
      <c r="B3551" s="7" t="n">
        <v>12</v>
      </c>
      <c r="C3551" s="10" t="inlineStr">
        <is>
          <t>Uebr.neutr. Ert</t>
        </is>
      </c>
      <c r="D3551" s="10" t="inlineStr">
        <is>
          <t>Gesamtleistung</t>
        </is>
      </c>
      <c r="E3551" s="7" t="n">
        <v>113.94</v>
      </c>
      <c r="F3551" s="7" t="n">
        <v>1367.31</v>
      </c>
    </row>
    <row r="3552" ht="21" customHeight="1">
      <c r="A3552" s="7" t="n">
        <v>2028</v>
      </c>
      <c r="B3552" s="7" t="n">
        <v>12</v>
      </c>
      <c r="C3552" s="10" t="inlineStr">
        <is>
          <t>Miete Behälter</t>
        </is>
      </c>
      <c r="D3552" s="10" t="inlineStr">
        <is>
          <t>Instandh. Betriebsausstattung</t>
        </is>
      </c>
      <c r="E3552" s="7" t="n">
        <v>24.08</v>
      </c>
      <c r="F3552" s="7" t="n">
        <v>289</v>
      </c>
    </row>
    <row r="3553" ht="21" customHeight="1">
      <c r="A3553" s="7" t="n">
        <v>2028</v>
      </c>
      <c r="B3553" s="7" t="n">
        <v>12</v>
      </c>
      <c r="C3553" s="10" t="inlineStr">
        <is>
          <t>Aufw. so. Hilfs</t>
        </is>
      </c>
      <c r="D3553" s="10" t="inlineStr">
        <is>
          <t>Vorleistungen</t>
        </is>
      </c>
      <c r="E3553" s="7" t="n">
        <v>-16546.31</v>
      </c>
      <c r="F3553" s="7" t="n">
        <v>-198555.67</v>
      </c>
    </row>
    <row r="3554" ht="21" customHeight="1">
      <c r="A3554" s="7" t="n">
        <v>2030</v>
      </c>
      <c r="B3554" s="7" t="n">
        <v>12</v>
      </c>
      <c r="C3554" s="10" t="inlineStr">
        <is>
          <t>Treibstoffe, Oe</t>
        </is>
      </c>
      <c r="D3554" s="10" t="inlineStr">
        <is>
          <t>Fuhrparkkosten</t>
        </is>
      </c>
      <c r="E3554" s="7" t="n">
        <v>34177.25</v>
      </c>
      <c r="F3554" s="7" t="n">
        <v>410126.96</v>
      </c>
    </row>
    <row r="3555" ht="21" customHeight="1">
      <c r="A3555" s="7" t="n">
        <v>2030</v>
      </c>
      <c r="B3555" s="7" t="n">
        <v>12</v>
      </c>
      <c r="C3555" s="10" t="inlineStr">
        <is>
          <t>Ueb Lohn-Gehalt</t>
        </is>
      </c>
      <c r="D3555" s="10" t="inlineStr">
        <is>
          <t>Personalaufwand</t>
        </is>
      </c>
      <c r="E3555" s="7" t="n">
        <v>41842.02</v>
      </c>
      <c r="F3555" s="7" t="n">
        <v>502104.18</v>
      </c>
    </row>
    <row r="3556" ht="21" customHeight="1">
      <c r="A3556" s="7" t="n">
        <v>2030</v>
      </c>
      <c r="B3556" s="7" t="n">
        <v>12</v>
      </c>
      <c r="C3556" s="10" t="inlineStr">
        <is>
          <t>Aufw. f. Alters</t>
        </is>
      </c>
      <c r="D3556" s="10" t="inlineStr">
        <is>
          <t>Personalaufwand</t>
        </is>
      </c>
      <c r="E3556" s="7" t="n">
        <v>1387.56</v>
      </c>
      <c r="F3556" s="7" t="n">
        <v>16650.69</v>
      </c>
    </row>
    <row r="3557" ht="21" customHeight="1">
      <c r="A3557" s="7" t="n">
        <v>2031</v>
      </c>
      <c r="B3557" s="7" t="n">
        <v>12</v>
      </c>
      <c r="C3557" s="10" t="inlineStr">
        <is>
          <t>Fremdl. Persona</t>
        </is>
      </c>
      <c r="D3557" s="10" t="inlineStr">
        <is>
          <t>Vorleistungen</t>
        </is>
      </c>
      <c r="E3557" s="7" t="n">
        <v>79.40000000000001</v>
      </c>
      <c r="F3557" s="7" t="n">
        <v>952.79</v>
      </c>
    </row>
    <row r="3561" ht="24" customHeight="1">
      <c r="A3561" s="58" t="inlineStr">
        <is>
          <t>v_guv_quelle</t>
        </is>
      </c>
    </row>
    <row r="3562" ht="36" customHeight="1">
      <c r="A3562" s="3" t="inlineStr">
        <is>
          <t>jahr</t>
        </is>
      </c>
      <c r="B3562" s="3" t="inlineStr">
        <is>
          <t>monat</t>
        </is>
      </c>
      <c r="C3562" s="3" t="inlineStr">
        <is>
          <t>co_belege</t>
        </is>
      </c>
      <c r="D3562" s="3" t="inlineStr">
        <is>
          <t>co_vollstaendig</t>
        </is>
      </c>
      <c r="E3562" s="3" t="inlineStr">
        <is>
          <t>fi_belege</t>
        </is>
      </c>
      <c r="F3562" s="3" t="inlineStr">
        <is>
          <t>fi_vollstaendig</t>
        </is>
      </c>
      <c r="G3562" s="3" t="inlineStr">
        <is>
          <t>quelle</t>
        </is>
      </c>
    </row>
    <row r="3563" ht="21" customHeight="1">
      <c r="A3563" s="7" t="n">
        <v>2026</v>
      </c>
      <c r="B3563" s="7" t="n">
        <v>1</v>
      </c>
      <c r="C3563" s="7" t="n">
        <v>2029</v>
      </c>
      <c r="D3563" s="10" t="b">
        <v>1</v>
      </c>
      <c r="E3563" s="7" t="n">
        <v>4079</v>
      </c>
      <c r="F3563" s="10" t="b">
        <v>1</v>
      </c>
      <c r="G3563" s="10" t="inlineStr">
        <is>
          <t>CO</t>
        </is>
      </c>
    </row>
    <row r="3564" ht="21" customHeight="1">
      <c r="A3564" s="7" t="n">
        <v>2026</v>
      </c>
      <c r="B3564" s="7" t="n">
        <v>9</v>
      </c>
      <c r="C3564" s="7" t="n">
        <v>320</v>
      </c>
      <c r="D3564" s="10" t="b">
        <v>0</v>
      </c>
      <c r="E3564" s="7" t="n">
        <v>3575</v>
      </c>
      <c r="F3564" s="10" t="b">
        <v>1</v>
      </c>
      <c r="G3564" s="10" t="inlineStr">
        <is>
          <t>FI</t>
        </is>
      </c>
    </row>
    <row r="3565" ht="21" customHeight="1">
      <c r="A3565" s="7" t="n">
        <v>2026</v>
      </c>
      <c r="B3565" s="7" t="n">
        <v>3</v>
      </c>
      <c r="C3565" s="7" t="n">
        <v>2844</v>
      </c>
      <c r="D3565" s="10" t="b">
        <v>1</v>
      </c>
      <c r="E3565" s="7" t="n">
        <v>5430</v>
      </c>
      <c r="F3565" s="10" t="b">
        <v>1</v>
      </c>
      <c r="G3565" s="10" t="inlineStr">
        <is>
          <t>CO</t>
        </is>
      </c>
    </row>
    <row r="3566" ht="21" customHeight="1">
      <c r="A3566" s="7" t="n">
        <v>2026</v>
      </c>
      <c r="B3566" s="7" t="n">
        <v>2</v>
      </c>
      <c r="C3566" s="7" t="n">
        <v>2483</v>
      </c>
      <c r="D3566" s="10" t="b">
        <v>1</v>
      </c>
      <c r="E3566" s="7" t="n">
        <v>4768</v>
      </c>
      <c r="F3566" s="10" t="b">
        <v>1</v>
      </c>
      <c r="G3566" s="10" t="inlineStr">
        <is>
          <t>CO</t>
        </is>
      </c>
    </row>
    <row r="3567" ht="21" customHeight="1">
      <c r="A3567" s="7" t="n">
        <v>2026</v>
      </c>
      <c r="B3567" s="7" t="n">
        <v>8</v>
      </c>
      <c r="C3567" s="7" t="n">
        <v>468</v>
      </c>
      <c r="D3567" s="10" t="b">
        <v>0</v>
      </c>
      <c r="E3567" s="7" t="n">
        <v>4907</v>
      </c>
      <c r="F3567" s="10" t="b">
        <v>1</v>
      </c>
      <c r="G3567" s="10" t="inlineStr">
        <is>
          <t>FI</t>
        </is>
      </c>
    </row>
    <row r="3568" ht="21" customHeight="1">
      <c r="A3568" s="7" t="n">
        <v>2026</v>
      </c>
      <c r="B3568" s="7" t="n">
        <v>7</v>
      </c>
      <c r="C3568" s="7" t="n">
        <v>2773</v>
      </c>
      <c r="D3568" s="10" t="b">
        <v>1</v>
      </c>
      <c r="E3568" s="7" t="n">
        <v>5450</v>
      </c>
      <c r="F3568" s="10" t="b">
        <v>1</v>
      </c>
      <c r="G3568" s="10" t="inlineStr">
        <is>
          <t>CO</t>
        </is>
      </c>
    </row>
    <row r="3569" ht="21" customHeight="1">
      <c r="A3569" s="7" t="n">
        <v>2026</v>
      </c>
      <c r="B3569" s="7" t="n">
        <v>4</v>
      </c>
      <c r="C3569" s="7" t="n">
        <v>2674</v>
      </c>
      <c r="D3569" s="10" t="b">
        <v>1</v>
      </c>
      <c r="E3569" s="7" t="n">
        <v>5281</v>
      </c>
      <c r="F3569" s="10" t="b">
        <v>1</v>
      </c>
      <c r="G3569" s="10" t="inlineStr">
        <is>
          <t>CO</t>
        </is>
      </c>
    </row>
    <row r="3570" ht="21" customHeight="1">
      <c r="A3570" s="7" t="n">
        <v>2026</v>
      </c>
      <c r="B3570" s="7" t="n">
        <v>6</v>
      </c>
      <c r="C3570" s="7" t="n">
        <v>2517</v>
      </c>
      <c r="D3570" s="10" t="b">
        <v>1</v>
      </c>
      <c r="E3570" s="7" t="n">
        <v>5044</v>
      </c>
      <c r="F3570" s="10" t="b">
        <v>1</v>
      </c>
      <c r="G3570" s="10" t="inlineStr">
        <is>
          <t>CO</t>
        </is>
      </c>
    </row>
    <row r="3571" ht="21" customHeight="1">
      <c r="A3571" s="7" t="n">
        <v>2026</v>
      </c>
      <c r="B3571" s="7" t="n">
        <v>5</v>
      </c>
      <c r="C3571" s="7" t="n">
        <v>2476</v>
      </c>
      <c r="D3571" s="10" t="b">
        <v>1</v>
      </c>
      <c r="E3571" s="7" t="n">
        <v>4878</v>
      </c>
      <c r="F3571" s="10" t="b">
        <v>1</v>
      </c>
      <c r="G3571" s="10" t="inlineStr">
        <is>
          <t>CO</t>
        </is>
      </c>
    </row>
  </sheetData>
  <mergeCells count="21">
    <mergeCell ref="A211:N211"/>
    <mergeCell ref="A276:H276"/>
    <mergeCell ref="A627:H627"/>
    <mergeCell ref="A1156:F1156"/>
    <mergeCell ref="A1139:Q1139"/>
    <mergeCell ref="A1056:U1056"/>
    <mergeCell ref="C2:Z2"/>
    <mergeCell ref="A43:F43"/>
    <mergeCell ref="A180:I180"/>
    <mergeCell ref="A6:J6"/>
    <mergeCell ref="A1070:J1070"/>
    <mergeCell ref="A442:P442"/>
    <mergeCell ref="A305:G305"/>
    <mergeCell ref="A3561:G3561"/>
    <mergeCell ref="C3:Z3"/>
    <mergeCell ref="A37:J37"/>
    <mergeCell ref="A267:D267"/>
    <mergeCell ref="A20:H20"/>
    <mergeCell ref="A119:O119"/>
    <mergeCell ref="A197:O197"/>
    <mergeCell ref="A801:H801"/>
  </mergeCells>
  <pageMargins left="0.7" right="0.7" top="0.75" bottom="0.75" header="0.3" footer="0.3"/>
  <tableParts count="20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  <tablePart xmlns:r="http://schemas.openxmlformats.org/officeDocument/2006/relationships" r:id="rId14"/>
    <tablePart xmlns:r="http://schemas.openxmlformats.org/officeDocument/2006/relationships" r:id="rId15"/>
    <tablePart xmlns:r="http://schemas.openxmlformats.org/officeDocument/2006/relationships" r:id="rId16"/>
    <tablePart xmlns:r="http://schemas.openxmlformats.org/officeDocument/2006/relationships" r:id="rId17"/>
    <tablePart xmlns:r="http://schemas.openxmlformats.org/officeDocument/2006/relationships" r:id="rId18"/>
    <tablePart xmlns:r="http://schemas.openxmlformats.org/officeDocument/2006/relationships" r:id="rId19"/>
    <tablePart xmlns:r="http://schemas.openxmlformats.org/officeDocument/2006/relationships" r:id="rId2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2026-10-12T07:24:09Z</dcterms:created>
  <dcterms:modified xsi:type="dcterms:W3CDTF">2026-10-12T10:25:04Z</dcterms:modified>
  <cp:lastModifiedBy>F S</cp:lastModifiedBy>
</cp:coreProperties>
</file>